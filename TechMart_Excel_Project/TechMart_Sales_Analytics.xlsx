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mohda\OneDrive\Desktop\TechMart_Excel_Project\"/>
    </mc:Choice>
  </mc:AlternateContent>
  <xr:revisionPtr revIDLastSave="0" documentId="13_ncr:1_{77F470E4-A91A-42A2-88B3-0B38526D64D6}" xr6:coauthVersionLast="47" xr6:coauthVersionMax="47" xr10:uidLastSave="{00000000-0000-0000-0000-000000000000}"/>
  <bookViews>
    <workbookView xWindow="-110" yWindow="-110" windowWidth="19420" windowHeight="11020" firstSheet="3" activeTab="5" xr2:uid="{9CB06EE4-15DC-4E1D-B1F1-13E450D6A5EC}"/>
  </bookViews>
  <sheets>
    <sheet name="customers" sheetId="2" r:id="rId1"/>
    <sheet name="products" sheetId="4" r:id="rId2"/>
    <sheet name="orders" sheetId="3" r:id="rId3"/>
    <sheet name="sales_reps" sheetId="5" r:id="rId4"/>
    <sheet name="Analysis" sheetId="1" r:id="rId5"/>
    <sheet name="Dashboard" sheetId="6" r:id="rId6"/>
    <sheet name="KPI_Engine" sheetId="9" r:id="rId7"/>
    <sheet name="Data_Audit" sheetId="8" r:id="rId8"/>
    <sheet name="README" sheetId="7" r:id="rId9"/>
  </sheets>
  <definedNames>
    <definedName name="ExternalData_1" localSheetId="0" hidden="1">'customers'!$A$1:$O$501</definedName>
    <definedName name="ExternalData_2" localSheetId="2" hidden="1">orders!$A$1:$W$501</definedName>
    <definedName name="ExternalData_3" localSheetId="1" hidden="1">products!$A$1:$P$501</definedName>
    <definedName name="ExternalData_4" localSheetId="3" hidden="1">sales_reps!$A$1:$AA$501</definedName>
    <definedName name="Slicer_Channel">#N/A</definedName>
    <definedName name="Slicer_OrderYear">#N/A</definedName>
    <definedName name="Slicer_Region">#N/A</definedName>
    <definedName name="Slicer_Status">#N/A</definedName>
  </definedNames>
  <calcPr calcId="191029"/>
  <pivotCaches>
    <pivotCache cacheId="1" r:id="rId10"/>
    <pivotCache cacheId="2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8" l="1" a="1"/>
  <c r="B22" i="8" s="1"/>
  <c r="C5" i="8"/>
  <c r="B62" i="9" a="1"/>
  <c r="B62" i="9" s="1"/>
  <c r="B61" i="9"/>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83" i="1"/>
  <c r="A44" i="1"/>
  <c r="A45" i="1"/>
  <c r="A46" i="1"/>
  <c r="A47" i="1"/>
  <c r="A48" i="1"/>
  <c r="A49" i="1"/>
  <c r="A50" i="1"/>
  <c r="A51" i="1"/>
  <c r="A52" i="1"/>
  <c r="A53" i="1"/>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Y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Z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C24" i="1"/>
  <c r="C25" i="1"/>
  <c r="C26" i="1"/>
  <c r="C27" i="1"/>
  <c r="C28" i="1"/>
  <c r="C29" i="1"/>
  <c r="C30" i="1"/>
  <c r="C31" i="1"/>
  <c r="C32" i="1"/>
  <c r="C33" i="1"/>
  <c r="C34" i="1"/>
  <c r="C35" i="1"/>
  <c r="C23" i="1"/>
  <c r="B5" i="9"/>
  <c r="B92" i="9"/>
  <c r="B91" i="9"/>
  <c r="B90" i="9"/>
  <c r="B89" i="9"/>
  <c r="B83" i="9"/>
  <c r="B88" i="9"/>
  <c r="B81" i="9" a="1"/>
  <c r="B81" i="9" s="1"/>
  <c r="B80" i="9"/>
  <c r="B79" i="9"/>
  <c r="B78" i="9"/>
  <c r="B77" i="9"/>
  <c r="B76" i="9"/>
  <c r="B75" i="9"/>
  <c r="B73" i="9"/>
  <c r="B72" i="9"/>
  <c r="B74" i="9" s="1"/>
  <c r="B71" i="9"/>
  <c r="B69" i="9"/>
  <c r="B68" i="9"/>
  <c r="B67" i="9"/>
  <c r="B66" i="9"/>
  <c r="B65" i="9"/>
  <c r="B64" i="9"/>
  <c r="B63" i="9"/>
  <c r="B60" i="9"/>
  <c r="B59" i="9"/>
  <c r="B56" i="9" a="1"/>
  <c r="B56" i="9" s="1"/>
  <c r="B57" i="9" s="1"/>
  <c r="B55" i="9" a="1"/>
  <c r="B55" i="9" s="1"/>
  <c r="B43" i="9" a="1"/>
  <c r="B43" i="9" s="1"/>
  <c r="B54" i="9"/>
  <c r="B53" i="9"/>
  <c r="B52" i="9"/>
  <c r="B51" i="9"/>
  <c r="B50" i="9"/>
  <c r="B48" i="9"/>
  <c r="B47" i="9"/>
  <c r="B44" i="9"/>
  <c r="B42" i="9" a="1"/>
  <c r="B42" i="9" s="1"/>
  <c r="B41" i="9"/>
  <c r="B40" i="9"/>
  <c r="B39" i="9"/>
  <c r="B38" i="9"/>
  <c r="B35" i="9"/>
  <c r="B34" i="9"/>
  <c r="B33" i="9"/>
  <c r="B32" i="9"/>
  <c r="B30" i="9" a="1"/>
  <c r="B30" i="9" s="1"/>
  <c r="B28" i="9"/>
  <c r="B27" i="9"/>
  <c r="B29" i="9" s="1"/>
  <c r="B26" i="9"/>
  <c r="B21" i="9"/>
  <c r="B18" i="9"/>
  <c r="B17" i="9"/>
  <c r="B16" i="9"/>
  <c r="B15" i="9"/>
  <c r="B14" i="9"/>
  <c r="B13" i="9"/>
  <c r="B12" i="9"/>
  <c r="B11" i="9"/>
  <c r="B8" i="9"/>
  <c r="B25" i="9" s="1"/>
  <c r="B7" i="9"/>
  <c r="B6" i="9"/>
  <c r="B23" i="9" s="1"/>
  <c r="A2" i="9"/>
  <c r="B23" i="8"/>
  <c r="B21" i="8" a="1"/>
  <c r="B21" i="8" s="1"/>
  <c r="B20" i="8"/>
  <c r="B19" i="8"/>
  <c r="B18" i="8"/>
  <c r="B17" i="8"/>
  <c r="B13" i="8"/>
  <c r="F8" i="8"/>
  <c r="E8" i="8" a="1"/>
  <c r="E8" i="8" s="1"/>
  <c r="D8" i="8" a="1"/>
  <c r="D8" i="8" s="1"/>
  <c r="C8" i="8"/>
  <c r="B8" i="8"/>
  <c r="F7" i="8"/>
  <c r="E7" i="8" a="1"/>
  <c r="E7" i="8" s="1"/>
  <c r="D7" i="8" a="1"/>
  <c r="D7" i="8" s="1"/>
  <c r="C7" i="8"/>
  <c r="B7" i="8"/>
  <c r="B6" i="8"/>
  <c r="B5" i="8"/>
  <c r="F6" i="8"/>
  <c r="E6" i="8" a="1"/>
  <c r="E6" i="8" s="1"/>
  <c r="D5" i="8" a="1"/>
  <c r="D5" i="8" s="1"/>
  <c r="D6" i="8" a="1"/>
  <c r="D6" i="8" s="1"/>
  <c r="C6" i="8"/>
  <c r="F5" i="8"/>
  <c r="E5" i="8" a="1"/>
  <c r="E5" i="8" s="1"/>
  <c r="G5" i="8" s="1"/>
  <c r="A2" i="8"/>
  <c r="G8" i="8" l="1"/>
  <c r="H8" i="8" s="1"/>
  <c r="G7" i="8"/>
  <c r="H7" i="8" s="1"/>
  <c r="G6" i="8"/>
  <c r="H6" i="8" s="1"/>
  <c r="B93" i="9" a="1"/>
  <c r="B93" i="9" s="1"/>
  <c r="B85" i="9"/>
  <c r="B84" i="9"/>
  <c r="B49" i="9"/>
  <c r="B22" i="9"/>
  <c r="B15" i="8"/>
  <c r="B10" i="9"/>
  <c r="B19" i="9" a="1"/>
  <c r="B19" i="9" s="1"/>
  <c r="B37" i="9"/>
  <c r="B16" i="8"/>
  <c r="B9" i="9"/>
  <c r="B36" i="9"/>
  <c r="B24" i="9"/>
  <c r="B14" i="8"/>
  <c r="H5" i="8"/>
  <c r="B87" i="9" l="1"/>
  <c r="B8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E59CB8-FE58-4C5B-8DE2-82FE3C6F2DBE}"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79528255-D6AE-4208-AE80-43529FA747CF}"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1999F744-4BC6-4498-9A0A-FEDB5085B26C}"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ADA07FBC-7D5C-4FD2-B232-B452B65AE66F}" keepAlive="1" name="Query - sales_reps" description="Connection to the 'sales_reps' query in the workbook." type="5" refreshedVersion="8" background="1" saveData="1">
    <dbPr connection="Provider=Microsoft.Mashup.OleDb.1;Data Source=$Workbook$;Location=sales_reps;Extended Properties=&quot;&quot;" command="SELECT * FROM [sales_rep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<sst xmlns="http://schemas.openxmlformats.org/spreadsheetml/2006/main" count="22863" uniqueCount="5133">
  <si>
    <t>CustomerID</t>
  </si>
  <si>
    <t>CustomerName</t>
  </si>
  <si>
    <t>FirstName</t>
  </si>
  <si>
    <t>LastName</t>
  </si>
  <si>
    <t>Email</t>
  </si>
  <si>
    <t>Phone</t>
  </si>
  <si>
    <t>Age</t>
  </si>
  <si>
    <t>Gender</t>
  </si>
  <si>
    <t>City</t>
  </si>
  <si>
    <t>State</t>
  </si>
  <si>
    <t>Region</t>
  </si>
  <si>
    <t>Pincode</t>
  </si>
  <si>
    <t>JoinDate</t>
  </si>
  <si>
    <t>CustomerSegment</t>
  </si>
  <si>
    <t>TenureYears</t>
  </si>
  <si>
    <t>C0001</t>
  </si>
  <si>
    <t>Kalpana Nair</t>
  </si>
  <si>
    <t>Kalpana</t>
  </si>
  <si>
    <t>Nair</t>
  </si>
  <si>
    <t>kalpana.nair26@yahoo.com</t>
  </si>
  <si>
    <t>9719835355</t>
  </si>
  <si>
    <t>Male</t>
  </si>
  <si>
    <t>Jaipur</t>
  </si>
  <si>
    <t>Rajasthan</t>
  </si>
  <si>
    <t>North</t>
  </si>
  <si>
    <t>217473</t>
  </si>
  <si>
    <t>Enterprise</t>
  </si>
  <si>
    <t>C0002</t>
  </si>
  <si>
    <t>Lalit Gupta</t>
  </si>
  <si>
    <t>Lalit</t>
  </si>
  <si>
    <t>Gupta</t>
  </si>
  <si>
    <t>lalit.gupta31@gmail.com</t>
  </si>
  <si>
    <t>9724908867</t>
  </si>
  <si>
    <t>Guwahati</t>
  </si>
  <si>
    <t>Assam</t>
  </si>
  <si>
    <t>East</t>
  </si>
  <si>
    <t>741262</t>
  </si>
  <si>
    <t>C0003</t>
  </si>
  <si>
    <t>Usha Mishra</t>
  </si>
  <si>
    <t>Usha</t>
  </si>
  <si>
    <t>Mishra</t>
  </si>
  <si>
    <t>usha.mishra460@gmail.com</t>
  </si>
  <si>
    <t>9603488995</t>
  </si>
  <si>
    <t>Female</t>
  </si>
  <si>
    <t>Surat</t>
  </si>
  <si>
    <t>Gujarat</t>
  </si>
  <si>
    <t>West</t>
  </si>
  <si>
    <t>842052</t>
  </si>
  <si>
    <t>Retail</t>
  </si>
  <si>
    <t>C0004</t>
  </si>
  <si>
    <t>Rekha Roy</t>
  </si>
  <si>
    <t>Rekha</t>
  </si>
  <si>
    <t>Roy</t>
  </si>
  <si>
    <t>rekha.roy345@gmail.com</t>
  </si>
  <si>
    <t>9803971919</t>
  </si>
  <si>
    <t>Other</t>
  </si>
  <si>
    <t>Pune</t>
  </si>
  <si>
    <t>Maharashtra</t>
  </si>
  <si>
    <t>486417</t>
  </si>
  <si>
    <t>C0005</t>
  </si>
  <si>
    <t>Anita Basu</t>
  </si>
  <si>
    <t>Anita</t>
  </si>
  <si>
    <t>Basu</t>
  </si>
  <si>
    <t>anita.basu471@gmail.com</t>
  </si>
  <si>
    <t>9803224098</t>
  </si>
  <si>
    <t>Kolkata</t>
  </si>
  <si>
    <t>West Bengal</t>
  </si>
  <si>
    <t>688856</t>
  </si>
  <si>
    <t>C0006</t>
  </si>
  <si>
    <t>Ravi Singh</t>
  </si>
  <si>
    <t>Ravi</t>
  </si>
  <si>
    <t>Singh</t>
  </si>
  <si>
    <t>ravi.singh47@outlook.com</t>
  </si>
  <si>
    <t>9642837990</t>
  </si>
  <si>
    <t>Bhopal</t>
  </si>
  <si>
    <t>Madhya Pradesh</t>
  </si>
  <si>
    <t>Central</t>
  </si>
  <si>
    <t>215907</t>
  </si>
  <si>
    <t>C0007</t>
  </si>
  <si>
    <t>Sanjay Kapoor</t>
  </si>
  <si>
    <t>Sanjay</t>
  </si>
  <si>
    <t>Kapoor</t>
  </si>
  <si>
    <t>sanjay.kapoor364@gmail.com</t>
  </si>
  <si>
    <t>9743332624</t>
  </si>
  <si>
    <t>Faridabad</t>
  </si>
  <si>
    <t>Haryana</t>
  </si>
  <si>
    <t>826751</t>
  </si>
  <si>
    <t>C0008</t>
  </si>
  <si>
    <t>Kamlesh Basu</t>
  </si>
  <si>
    <t>Kamlesh</t>
  </si>
  <si>
    <t>kamlesh.basu251@gmail.com</t>
  </si>
  <si>
    <t>9803718590</t>
  </si>
  <si>
    <t>Vadodara</t>
  </si>
  <si>
    <t>781088</t>
  </si>
  <si>
    <t>C0009</t>
  </si>
  <si>
    <t>Alok Naidu</t>
  </si>
  <si>
    <t>Alok</t>
  </si>
  <si>
    <t>Naidu</t>
  </si>
  <si>
    <t>alok.naidu58@gmail.com</t>
  </si>
  <si>
    <t>9617233684</t>
  </si>
  <si>
    <t>Nashik</t>
  </si>
  <si>
    <t>530651</t>
  </si>
  <si>
    <t>C0010</t>
  </si>
  <si>
    <t>Manju Dubey</t>
  </si>
  <si>
    <t>Manju</t>
  </si>
  <si>
    <t>Dubey</t>
  </si>
  <si>
    <t>manju.dubey218@outlook.com</t>
  </si>
  <si>
    <t>9945128470</t>
  </si>
  <si>
    <t>Navi Mumbai</t>
  </si>
  <si>
    <t>259811</t>
  </si>
  <si>
    <t>C0011</t>
  </si>
  <si>
    <t>Kamlesh Agarwal</t>
  </si>
  <si>
    <t>Agarwal</t>
  </si>
  <si>
    <t>kamlesh.agarwal765@gmail.com</t>
  </si>
  <si>
    <t>9913281854</t>
  </si>
  <si>
    <t>Srinagar</t>
  </si>
  <si>
    <t>Jammu &amp; Kashmir</t>
  </si>
  <si>
    <t>489580</t>
  </si>
  <si>
    <t>Smb</t>
  </si>
  <si>
    <t>C0012</t>
  </si>
  <si>
    <t>Pooja Roy</t>
  </si>
  <si>
    <t>Pooja</t>
  </si>
  <si>
    <t>pooja.roy49@yahoo.com</t>
  </si>
  <si>
    <t>9936857528</t>
  </si>
  <si>
    <t>823536</t>
  </si>
  <si>
    <t>C0013</t>
  </si>
  <si>
    <t>Mukesh Qureshi</t>
  </si>
  <si>
    <t>Mukesh</t>
  </si>
  <si>
    <t>Qureshi</t>
  </si>
  <si>
    <t>mukesh.qureshi542@gmail.com</t>
  </si>
  <si>
    <t>9897010891</t>
  </si>
  <si>
    <t>Mumbai</t>
  </si>
  <si>
    <t>823328</t>
  </si>
  <si>
    <t>C0014</t>
  </si>
  <si>
    <t>Alok Hazra</t>
  </si>
  <si>
    <t>Hazra</t>
  </si>
  <si>
    <t>alok.hazra349@gmail.com</t>
  </si>
  <si>
    <t>9833412819</t>
  </si>
  <si>
    <t>585763</t>
  </si>
  <si>
    <t>C0015</t>
  </si>
  <si>
    <t>Yash Nambiar</t>
  </si>
  <si>
    <t>Yash</t>
  </si>
  <si>
    <t>Nambiar</t>
  </si>
  <si>
    <t>yash.nambiar109@outlook.com</t>
  </si>
  <si>
    <t>9943033396</t>
  </si>
  <si>
    <t>748551</t>
  </si>
  <si>
    <t>C0016</t>
  </si>
  <si>
    <t>Asha Naidu</t>
  </si>
  <si>
    <t>Asha</t>
  </si>
  <si>
    <t>asha.naidu945@gmail.com</t>
  </si>
  <si>
    <t>9600307034</t>
  </si>
  <si>
    <t>Gwalior</t>
  </si>
  <si>
    <t>449902</t>
  </si>
  <si>
    <t>C0017</t>
  </si>
  <si>
    <t>Richa Pillai</t>
  </si>
  <si>
    <t>Richa</t>
  </si>
  <si>
    <t>Pillai</t>
  </si>
  <si>
    <t>richa.pillai60@gmail.com</t>
  </si>
  <si>
    <t>9904597436</t>
  </si>
  <si>
    <t>199814</t>
  </si>
  <si>
    <t>C0018</t>
  </si>
  <si>
    <t>Alok Reddy</t>
  </si>
  <si>
    <t>Reddy</t>
  </si>
  <si>
    <t>alok.reddy132@hotmail.com</t>
  </si>
  <si>
    <t>9688651861</t>
  </si>
  <si>
    <t>Patna</t>
  </si>
  <si>
    <t>Bihar</t>
  </si>
  <si>
    <t>663306</t>
  </si>
  <si>
    <t>C0019</t>
  </si>
  <si>
    <t>Vijay Basu</t>
  </si>
  <si>
    <t>Vijay</t>
  </si>
  <si>
    <t>vijay.basu707@gmail.com</t>
  </si>
  <si>
    <t>9767351411</t>
  </si>
  <si>
    <t>814314</t>
  </si>
  <si>
    <t>C0020</t>
  </si>
  <si>
    <t>Lata Nair</t>
  </si>
  <si>
    <t>Lata</t>
  </si>
  <si>
    <t>lata.nair254@gmail.com</t>
  </si>
  <si>
    <t>9781508307</t>
  </si>
  <si>
    <t>Delhi</t>
  </si>
  <si>
    <t>726886</t>
  </si>
  <si>
    <t>C0021</t>
  </si>
  <si>
    <t>Aayush Singh</t>
  </si>
  <si>
    <t>Aayush</t>
  </si>
  <si>
    <t>aayush.singh725@yahoo.com</t>
  </si>
  <si>
    <t>9636185272</t>
  </si>
  <si>
    <t>Bangalore</t>
  </si>
  <si>
    <t>Karnataka</t>
  </si>
  <si>
    <t>South</t>
  </si>
  <si>
    <t>456479</t>
  </si>
  <si>
    <t>C0022</t>
  </si>
  <si>
    <t>Sheela Saxena</t>
  </si>
  <si>
    <t>Sheela</t>
  </si>
  <si>
    <t>Saxena</t>
  </si>
  <si>
    <t>sheela.saxena220@gmail.com</t>
  </si>
  <si>
    <t>9988346949</t>
  </si>
  <si>
    <t>Bareilly</t>
  </si>
  <si>
    <t>Uttar Pradesh</t>
  </si>
  <si>
    <t>714201</t>
  </si>
  <si>
    <t>C0023</t>
  </si>
  <si>
    <t>Vivek Mehta</t>
  </si>
  <si>
    <t>Vivek</t>
  </si>
  <si>
    <t>Mehta</t>
  </si>
  <si>
    <t>vivek.mehta100@outlook.com</t>
  </si>
  <si>
    <t>9827407042</t>
  </si>
  <si>
    <t>Aurangabad</t>
  </si>
  <si>
    <t>599710</t>
  </si>
  <si>
    <t>C0024</t>
  </si>
  <si>
    <t>Bhavna Basu</t>
  </si>
  <si>
    <t>Bhavna</t>
  </si>
  <si>
    <t>bhavna.basu348@yahoo.com</t>
  </si>
  <si>
    <t>9733496352</t>
  </si>
  <si>
    <t>Nagpur</t>
  </si>
  <si>
    <t>309448</t>
  </si>
  <si>
    <t>C0025</t>
  </si>
  <si>
    <t>Nisha Bose</t>
  </si>
  <si>
    <t>Nisha</t>
  </si>
  <si>
    <t>Bose</t>
  </si>
  <si>
    <t>nisha.bose474@gmail.com</t>
  </si>
  <si>
    <t>9640471954</t>
  </si>
  <si>
    <t>Amritsar</t>
  </si>
  <si>
    <t>Punjab</t>
  </si>
  <si>
    <t>687057</t>
  </si>
  <si>
    <t>C0026</t>
  </si>
  <si>
    <t>pooja.roy870@gmail.com</t>
  </si>
  <si>
    <t>9818191887</t>
  </si>
  <si>
    <t>Chandigarh</t>
  </si>
  <si>
    <t>614740</t>
  </si>
  <si>
    <t>C0027</t>
  </si>
  <si>
    <t>Varun Sharma</t>
  </si>
  <si>
    <t>Varun</t>
  </si>
  <si>
    <t>Sharma</t>
  </si>
  <si>
    <t>varun.sharma400@gmail.com</t>
  </si>
  <si>
    <t>9844280759</t>
  </si>
  <si>
    <t>Ludhiana</t>
  </si>
  <si>
    <t>553555</t>
  </si>
  <si>
    <t>C0028</t>
  </si>
  <si>
    <t>Vivek Chopra</t>
  </si>
  <si>
    <t>Chopra</t>
  </si>
  <si>
    <t>vivek.chopra223@hotmail.com</t>
  </si>
  <si>
    <t>9994995888</t>
  </si>
  <si>
    <t>Hubli</t>
  </si>
  <si>
    <t>173918</t>
  </si>
  <si>
    <t>C0029</t>
  </si>
  <si>
    <t>Brijesh Rastogi</t>
  </si>
  <si>
    <t>Brijesh</t>
  </si>
  <si>
    <t>Rastogi</t>
  </si>
  <si>
    <t>brijesh.rastogi515@hotmail.com</t>
  </si>
  <si>
    <t>9684521052</t>
  </si>
  <si>
    <t>Hyderabad</t>
  </si>
  <si>
    <t>Telangana</t>
  </si>
  <si>
    <t>642496</t>
  </si>
  <si>
    <t>C0030</t>
  </si>
  <si>
    <t>Arjun Mukherjee</t>
  </si>
  <si>
    <t>Arjun</t>
  </si>
  <si>
    <t>Mukherjee</t>
  </si>
  <si>
    <t>arjun.mukherjee883@gmail.com</t>
  </si>
  <si>
    <t>9664363633</t>
  </si>
  <si>
    <t>368175</t>
  </si>
  <si>
    <t>C0031</t>
  </si>
  <si>
    <t>Usha Karmakar</t>
  </si>
  <si>
    <t>Karmakar</t>
  </si>
  <si>
    <t>usha.karmakar598@gmail.com</t>
  </si>
  <si>
    <t>9769849767</t>
  </si>
  <si>
    <t>324181</t>
  </si>
  <si>
    <t>C0032</t>
  </si>
  <si>
    <t>Siddharth Reddy</t>
  </si>
  <si>
    <t>Siddharth</t>
  </si>
  <si>
    <t>siddharth.reddy688@outlook.com</t>
  </si>
  <si>
    <t>9769746337</t>
  </si>
  <si>
    <t>Chennai</t>
  </si>
  <si>
    <t>Tamil Nadu</t>
  </si>
  <si>
    <t>119767</t>
  </si>
  <si>
    <t>C0033</t>
  </si>
  <si>
    <t>Rekha Tiwari</t>
  </si>
  <si>
    <t>Tiwari</t>
  </si>
  <si>
    <t>rekha.tiwari272@gmail.com</t>
  </si>
  <si>
    <t>9787372691</t>
  </si>
  <si>
    <t>366150</t>
  </si>
  <si>
    <t>C0034</t>
  </si>
  <si>
    <t>Asha Biswas</t>
  </si>
  <si>
    <t>Biswas</t>
  </si>
  <si>
    <t>asha.biswas310@hotmail.com</t>
  </si>
  <si>
    <t>9883972873</t>
  </si>
  <si>
    <t>810305</t>
  </si>
  <si>
    <t>C0035</t>
  </si>
  <si>
    <t>Sunita Agarwal</t>
  </si>
  <si>
    <t>Sunita</t>
  </si>
  <si>
    <t>sunita.agarwal119@hotmail.com</t>
  </si>
  <si>
    <t>9897009682</t>
  </si>
  <si>
    <t>Lucknow</t>
  </si>
  <si>
    <t>395577</t>
  </si>
  <si>
    <t>C0036</t>
  </si>
  <si>
    <t>Sadhana Ganguly</t>
  </si>
  <si>
    <t>Sadhana</t>
  </si>
  <si>
    <t>Ganguly</t>
  </si>
  <si>
    <t>sadhana.ganguly874@gmail.com</t>
  </si>
  <si>
    <t>9862278540</t>
  </si>
  <si>
    <t>163266</t>
  </si>
  <si>
    <t>C0037</t>
  </si>
  <si>
    <t>Aayush Ghosh</t>
  </si>
  <si>
    <t>Ghosh</t>
  </si>
  <si>
    <t>aayush.ghosh790@gmail.com</t>
  </si>
  <si>
    <t>9740636163</t>
  </si>
  <si>
    <t>573298</t>
  </si>
  <si>
    <t>C0038</t>
  </si>
  <si>
    <t>Suresh Singh</t>
  </si>
  <si>
    <t>Suresh</t>
  </si>
  <si>
    <t>suresh.singh968@yahoo.com</t>
  </si>
  <si>
    <t>9892911559</t>
  </si>
  <si>
    <t>497151</t>
  </si>
  <si>
    <t>C0039</t>
  </si>
  <si>
    <t>Deepak Gupta</t>
  </si>
  <si>
    <t>Deepak</t>
  </si>
  <si>
    <t>deepak.gupta316@gmail.com</t>
  </si>
  <si>
    <t>9621418396</t>
  </si>
  <si>
    <t>Meerut</t>
  </si>
  <si>
    <t>330281</t>
  </si>
  <si>
    <t>C0040</t>
  </si>
  <si>
    <t>Shanti Yadav</t>
  </si>
  <si>
    <t>Shanti</t>
  </si>
  <si>
    <t>Yadav</t>
  </si>
  <si>
    <t>shanti.yadav906@hotmail.com</t>
  </si>
  <si>
    <t>9682975191</t>
  </si>
  <si>
    <t>Visakhapatnam</t>
  </si>
  <si>
    <t>Andhra Pradesh</t>
  </si>
  <si>
    <t>280395</t>
  </si>
  <si>
    <t>C0041</t>
  </si>
  <si>
    <t>Rajesh Mitra</t>
  </si>
  <si>
    <t>Rajesh</t>
  </si>
  <si>
    <t>Mitra</t>
  </si>
  <si>
    <t>rajesh.mitra947@gmail.com</t>
  </si>
  <si>
    <t>9821036821</t>
  </si>
  <si>
    <t>Gurugram</t>
  </si>
  <si>
    <t>370222</t>
  </si>
  <si>
    <t>C0042</t>
  </si>
  <si>
    <t>Vikram Prasad</t>
  </si>
  <si>
    <t>Vikram</t>
  </si>
  <si>
    <t>Prasad</t>
  </si>
  <si>
    <t>vikram.prasad482@gmail.com</t>
  </si>
  <si>
    <t>9847123418</t>
  </si>
  <si>
    <t>430015</t>
  </si>
  <si>
    <t>C0043</t>
  </si>
  <si>
    <t>Umesh Verma</t>
  </si>
  <si>
    <t>Umesh</t>
  </si>
  <si>
    <t>Verma</t>
  </si>
  <si>
    <t>umesh.verma409@gmail.com</t>
  </si>
  <si>
    <t>9637269982</t>
  </si>
  <si>
    <t>478203</t>
  </si>
  <si>
    <t>C0044</t>
  </si>
  <si>
    <t>Kunal Patel</t>
  </si>
  <si>
    <t>Kunal</t>
  </si>
  <si>
    <t>Patel</t>
  </si>
  <si>
    <t>kunal.patel119@outlook.com</t>
  </si>
  <si>
    <t>9695867867</t>
  </si>
  <si>
    <t>Mysore</t>
  </si>
  <si>
    <t>388361</t>
  </si>
  <si>
    <t>C0045</t>
  </si>
  <si>
    <t>Vinod Basu</t>
  </si>
  <si>
    <t>Vinod</t>
  </si>
  <si>
    <t>vinod.basu806@gmail.com</t>
  </si>
  <si>
    <t>9925455898</t>
  </si>
  <si>
    <t>231263</t>
  </si>
  <si>
    <t>C0046</t>
  </si>
  <si>
    <t>Ravi Oberoi</t>
  </si>
  <si>
    <t>Oberoi</t>
  </si>
  <si>
    <t>ravi.oberoi2@gmail.com</t>
  </si>
  <si>
    <t>9889079213</t>
  </si>
  <si>
    <t>Thane</t>
  </si>
  <si>
    <t>813204</t>
  </si>
  <si>
    <t>C0047</t>
  </si>
  <si>
    <t>Sheela Nambiar</t>
  </si>
  <si>
    <t>sheela.nambiar339@hotmail.com</t>
  </si>
  <si>
    <t>9666907706</t>
  </si>
  <si>
    <t>Agra</t>
  </si>
  <si>
    <t>641756</t>
  </si>
  <si>
    <t>C0048</t>
  </si>
  <si>
    <t>Kamla Chopra</t>
  </si>
  <si>
    <t>Kamla</t>
  </si>
  <si>
    <t>kamla.chopra568@gmail.com</t>
  </si>
  <si>
    <t>9825725407</t>
  </si>
  <si>
    <t>507562</t>
  </si>
  <si>
    <t>C0049</t>
  </si>
  <si>
    <t>Piyush Malhotra</t>
  </si>
  <si>
    <t>Piyush</t>
  </si>
  <si>
    <t>Malhotra</t>
  </si>
  <si>
    <t>piyush.malhotra562@outlook.com</t>
  </si>
  <si>
    <t>9754035629</t>
  </si>
  <si>
    <t>Indore</t>
  </si>
  <si>
    <t>560770</t>
  </si>
  <si>
    <t>C0050</t>
  </si>
  <si>
    <t>Naveen Mukherjee</t>
  </si>
  <si>
    <t>Naveen</t>
  </si>
  <si>
    <t>naveen.mukherjee219@gmail.com</t>
  </si>
  <si>
    <t>9995116294</t>
  </si>
  <si>
    <t>800855</t>
  </si>
  <si>
    <t>C0051</t>
  </si>
  <si>
    <t>Kunal Desai</t>
  </si>
  <si>
    <t>Desai</t>
  </si>
  <si>
    <t>kunal.desai839@yahoo.com</t>
  </si>
  <si>
    <t>9961204424</t>
  </si>
  <si>
    <t>345552</t>
  </si>
  <si>
    <t>C0052</t>
  </si>
  <si>
    <t>Anita Pillai</t>
  </si>
  <si>
    <t>anita.pillai487@yahoo.com</t>
  </si>
  <si>
    <t>9844499692</t>
  </si>
  <si>
    <t>770356</t>
  </si>
  <si>
    <t>C0053</t>
  </si>
  <si>
    <t>Bhavna Pillai</t>
  </si>
  <si>
    <t>bhavna.pillai152@yahoo.com</t>
  </si>
  <si>
    <t>9657223618</t>
  </si>
  <si>
    <t>Dhanbad</t>
  </si>
  <si>
    <t>Jharkhand</t>
  </si>
  <si>
    <t>339471</t>
  </si>
  <si>
    <t>C0054</t>
  </si>
  <si>
    <t>Sushma Pillai</t>
  </si>
  <si>
    <t>Sushma</t>
  </si>
  <si>
    <t>sushma.pillai940@outlook.com</t>
  </si>
  <si>
    <t>9671585884</t>
  </si>
  <si>
    <t>810005</t>
  </si>
  <si>
    <t>C0055</t>
  </si>
  <si>
    <t>Vijay Menon</t>
  </si>
  <si>
    <t>Menon</t>
  </si>
  <si>
    <t>vijay.menon454@hotmail.com</t>
  </si>
  <si>
    <t>9871000712</t>
  </si>
  <si>
    <t>684485</t>
  </si>
  <si>
    <t>C0056</t>
  </si>
  <si>
    <t>Preeti Roy</t>
  </si>
  <si>
    <t>Preeti</t>
  </si>
  <si>
    <t>preeti.roy254@outlook.com</t>
  </si>
  <si>
    <t>9879870706</t>
  </si>
  <si>
    <t>767193</t>
  </si>
  <si>
    <t>C0057</t>
  </si>
  <si>
    <t>Manju Chopra</t>
  </si>
  <si>
    <t>manju.chopra241@gmail.com</t>
  </si>
  <si>
    <t>9771642764</t>
  </si>
  <si>
    <t>194491</t>
  </si>
  <si>
    <t>C0058</t>
  </si>
  <si>
    <t>Sunil Joshi</t>
  </si>
  <si>
    <t>Sunil</t>
  </si>
  <si>
    <t>Joshi</t>
  </si>
  <si>
    <t>sunil.joshi724@gmail.com</t>
  </si>
  <si>
    <t>9822730506</t>
  </si>
  <si>
    <t>456954</t>
  </si>
  <si>
    <t>C0059</t>
  </si>
  <si>
    <t>Nikhil Babu</t>
  </si>
  <si>
    <t>Nikhil</t>
  </si>
  <si>
    <t>Babu</t>
  </si>
  <si>
    <t>nikhil.babu431@gmail.com</t>
  </si>
  <si>
    <t>9913575246</t>
  </si>
  <si>
    <t>130480</t>
  </si>
  <si>
    <t>C0060</t>
  </si>
  <si>
    <t>Aparna Das</t>
  </si>
  <si>
    <t>Aparna</t>
  </si>
  <si>
    <t>Das</t>
  </si>
  <si>
    <t>aparna.das772@gmail.com</t>
  </si>
  <si>
    <t>9824960337</t>
  </si>
  <si>
    <t>682661</t>
  </si>
  <si>
    <t>C0061</t>
  </si>
  <si>
    <t>Manish Oberoi</t>
  </si>
  <si>
    <t>Manish</t>
  </si>
  <si>
    <t>manish.oberoi498@gmail.com</t>
  </si>
  <si>
    <t>9780458173</t>
  </si>
  <si>
    <t>822131</t>
  </si>
  <si>
    <t>C0062</t>
  </si>
  <si>
    <t>Deepak Dey</t>
  </si>
  <si>
    <t>Dey</t>
  </si>
  <si>
    <t>deepak.dey547@gmail.com</t>
  </si>
  <si>
    <t>9811538012</t>
  </si>
  <si>
    <t>701807</t>
  </si>
  <si>
    <t>C0063</t>
  </si>
  <si>
    <t>Sunita Srinivas</t>
  </si>
  <si>
    <t>Srinivas</t>
  </si>
  <si>
    <t>sunita.srinivas473@gmail.com</t>
  </si>
  <si>
    <t>9739670356</t>
  </si>
  <si>
    <t>Varanasi</t>
  </si>
  <si>
    <t>453254</t>
  </si>
  <si>
    <t>C0064</t>
  </si>
  <si>
    <t>Pushpa Krishnan</t>
  </si>
  <si>
    <t>Pushpa</t>
  </si>
  <si>
    <t>Krishnan</t>
  </si>
  <si>
    <t>pushpa.krishnan389@gmail.com</t>
  </si>
  <si>
    <t>9826325894</t>
  </si>
  <si>
    <t>195884</t>
  </si>
  <si>
    <t>C0065</t>
  </si>
  <si>
    <t>Vinod Mishra</t>
  </si>
  <si>
    <t>vinod.mishra666@gmail.com</t>
  </si>
  <si>
    <t>9949908116</t>
  </si>
  <si>
    <t>142537</t>
  </si>
  <si>
    <t>C0066</t>
  </si>
  <si>
    <t>Ritu Pillai</t>
  </si>
  <si>
    <t>Ritu</t>
  </si>
  <si>
    <t>ritu.pillai130@gmail.com</t>
  </si>
  <si>
    <t>9661412366</t>
  </si>
  <si>
    <t>338552</t>
  </si>
  <si>
    <t>C0067</t>
  </si>
  <si>
    <t>Jyoti Chakraborty</t>
  </si>
  <si>
    <t>Jyoti</t>
  </si>
  <si>
    <t>Chakraborty</t>
  </si>
  <si>
    <t>jyoti.chakraborty987@yahoo.com</t>
  </si>
  <si>
    <t>9687921097</t>
  </si>
  <si>
    <t>223349</t>
  </si>
  <si>
    <t>C0068</t>
  </si>
  <si>
    <t>Rajiv Nambiar</t>
  </si>
  <si>
    <t>Rajiv</t>
  </si>
  <si>
    <t>rajiv.nambiar982@gmail.com</t>
  </si>
  <si>
    <t>9983870596</t>
  </si>
  <si>
    <t>189688</t>
  </si>
  <si>
    <t>C0069</t>
  </si>
  <si>
    <t>Sadhana Chakraborty</t>
  </si>
  <si>
    <t>sadhana.chakraborty825@gmail.com</t>
  </si>
  <si>
    <t>9903832724</t>
  </si>
  <si>
    <t>474069</t>
  </si>
  <si>
    <t>C0070</t>
  </si>
  <si>
    <t>Yash Hazra</t>
  </si>
  <si>
    <t>yash.hazra350@gmail.com</t>
  </si>
  <si>
    <t>9825517319</t>
  </si>
  <si>
    <t>220665</t>
  </si>
  <si>
    <t>C0071</t>
  </si>
  <si>
    <t>Geeta Rao</t>
  </si>
  <si>
    <t>Geeta</t>
  </si>
  <si>
    <t>Rao</t>
  </si>
  <si>
    <t>geeta.rao752@gmail.com</t>
  </si>
  <si>
    <t>9949211667</t>
  </si>
  <si>
    <t>755830</t>
  </si>
  <si>
    <t>C0072</t>
  </si>
  <si>
    <t>Geeta Chandra</t>
  </si>
  <si>
    <t>Chandra</t>
  </si>
  <si>
    <t>geeta.chandra749@gmail.com</t>
  </si>
  <si>
    <t>9773035952</t>
  </si>
  <si>
    <t>200872</t>
  </si>
  <si>
    <t>C0073</t>
  </si>
  <si>
    <t>Rajan Dey</t>
  </si>
  <si>
    <t>Rajan</t>
  </si>
  <si>
    <t>rajan.dey685@gmail.com</t>
  </si>
  <si>
    <t>9615408192</t>
  </si>
  <si>
    <t>450802</t>
  </si>
  <si>
    <t>C0074</t>
  </si>
  <si>
    <t>Preeti Ghosh</t>
  </si>
  <si>
    <t>preeti.ghosh287@hotmail.com</t>
  </si>
  <si>
    <t>9748320562</t>
  </si>
  <si>
    <t>Tiruchirappalli</t>
  </si>
  <si>
    <t>120644</t>
  </si>
  <si>
    <t>C0075</t>
  </si>
  <si>
    <t>Naresh Nanda</t>
  </si>
  <si>
    <t>Naresh</t>
  </si>
  <si>
    <t>Nanda</t>
  </si>
  <si>
    <t>naresh.nanda501@gmail.com</t>
  </si>
  <si>
    <t>9729022929</t>
  </si>
  <si>
    <t>609219</t>
  </si>
  <si>
    <t>C0076</t>
  </si>
  <si>
    <t>Pooja Chopra</t>
  </si>
  <si>
    <t>pooja.chopra227@gmail.com</t>
  </si>
  <si>
    <t>9730623464</t>
  </si>
  <si>
    <t>806212</t>
  </si>
  <si>
    <t>C0077</t>
  </si>
  <si>
    <t>Vidya Jain</t>
  </si>
  <si>
    <t>Vidya</t>
  </si>
  <si>
    <t>Jain</t>
  </si>
  <si>
    <t>vidya.jain436@hotmail.com</t>
  </si>
  <si>
    <t>9777592227</t>
  </si>
  <si>
    <t>846996</t>
  </si>
  <si>
    <t>C0078</t>
  </si>
  <si>
    <t>Shweta Nair</t>
  </si>
  <si>
    <t>Shweta</t>
  </si>
  <si>
    <t>shweta.nair739@gmail.com</t>
  </si>
  <si>
    <t>9664185463</t>
  </si>
  <si>
    <t>833688</t>
  </si>
  <si>
    <t>C0079</t>
  </si>
  <si>
    <t>Seema Basu</t>
  </si>
  <si>
    <t>Seema</t>
  </si>
  <si>
    <t>seema.basu604@hotmail.com</t>
  </si>
  <si>
    <t>9920399589</t>
  </si>
  <si>
    <t>215409</t>
  </si>
  <si>
    <t>C0080</t>
  </si>
  <si>
    <t>Girish Rao</t>
  </si>
  <si>
    <t>Girish</t>
  </si>
  <si>
    <t>girish.rao310@gmail.com</t>
  </si>
  <si>
    <t>9886761594</t>
  </si>
  <si>
    <t>397636</t>
  </si>
  <si>
    <t>C0081</t>
  </si>
  <si>
    <t>Kamla Reddy</t>
  </si>
  <si>
    <t>kamla.reddy654@outlook.com</t>
  </si>
  <si>
    <t>9655076321</t>
  </si>
  <si>
    <t>711949</t>
  </si>
  <si>
    <t>C0082</t>
  </si>
  <si>
    <t>Madhuri Rao</t>
  </si>
  <si>
    <t>Madhuri</t>
  </si>
  <si>
    <t>madhuri.rao989@gmail.com</t>
  </si>
  <si>
    <t>9856478906</t>
  </si>
  <si>
    <t>Ahmedabad</t>
  </si>
  <si>
    <t>178517</t>
  </si>
  <si>
    <t>C0083</t>
  </si>
  <si>
    <t>Shailesh Mukherjee</t>
  </si>
  <si>
    <t>Shailesh</t>
  </si>
  <si>
    <t>shailesh.mukherjee55@gmail.com</t>
  </si>
  <si>
    <t>9902172204</t>
  </si>
  <si>
    <t>199318</t>
  </si>
  <si>
    <t>C0084</t>
  </si>
  <si>
    <t>jyoti.chakraborty810@hotmail.com</t>
  </si>
  <si>
    <t>9804213899</t>
  </si>
  <si>
    <t>574226</t>
  </si>
  <si>
    <t>C0085</t>
  </si>
  <si>
    <t>Veena Iyer</t>
  </si>
  <si>
    <t>Veena</t>
  </si>
  <si>
    <t>Iyer</t>
  </si>
  <si>
    <t>veena.iyer625@yahoo.com</t>
  </si>
  <si>
    <t>9711555281</t>
  </si>
  <si>
    <t>Bhubaneswar</t>
  </si>
  <si>
    <t>Odisha</t>
  </si>
  <si>
    <t>331275</t>
  </si>
  <si>
    <t>C0086</t>
  </si>
  <si>
    <t>Rajesh Yadav</t>
  </si>
  <si>
    <t>rajesh.yadav77@gmail.com</t>
  </si>
  <si>
    <t>9819321201</t>
  </si>
  <si>
    <t>832858</t>
  </si>
  <si>
    <t>C0087</t>
  </si>
  <si>
    <t>Shweta Chopra</t>
  </si>
  <si>
    <t>shweta.chopra724@gmail.com</t>
  </si>
  <si>
    <t>9843756212</t>
  </si>
  <si>
    <t>830775</t>
  </si>
  <si>
    <t>C0088</t>
  </si>
  <si>
    <t>Lalit Nair</t>
  </si>
  <si>
    <t>lalit.nair558@gmail.com</t>
  </si>
  <si>
    <t>9679988072</t>
  </si>
  <si>
    <t>259145</t>
  </si>
  <si>
    <t>C0089</t>
  </si>
  <si>
    <t>Mukesh Mitra</t>
  </si>
  <si>
    <t>mukesh.mitra845@gmail.com</t>
  </si>
  <si>
    <t>9754946631</t>
  </si>
  <si>
    <t>240394</t>
  </si>
  <si>
    <t>C0090</t>
  </si>
  <si>
    <t>Yash Vyas</t>
  </si>
  <si>
    <t>Vyas</t>
  </si>
  <si>
    <t>yash.vyas506@gmail.com</t>
  </si>
  <si>
    <t>9921068488</t>
  </si>
  <si>
    <t>563014</t>
  </si>
  <si>
    <t>C0091</t>
  </si>
  <si>
    <t>Sneha Desai</t>
  </si>
  <si>
    <t>Sneha</t>
  </si>
  <si>
    <t>sneha.desai235@hotmail.com</t>
  </si>
  <si>
    <t>9915209223</t>
  </si>
  <si>
    <t>814938</t>
  </si>
  <si>
    <t>C0092</t>
  </si>
  <si>
    <t>Pushpa Roy</t>
  </si>
  <si>
    <t>pushpa.roy180@gmail.com</t>
  </si>
  <si>
    <t>9949776495</t>
  </si>
  <si>
    <t>401668</t>
  </si>
  <si>
    <t>C0093</t>
  </si>
  <si>
    <t>Chetan Jain</t>
  </si>
  <si>
    <t>Chetan</t>
  </si>
  <si>
    <t>chetan.jain419@gmail.com</t>
  </si>
  <si>
    <t>9959775190</t>
  </si>
  <si>
    <t>278637</t>
  </si>
  <si>
    <t>C0094</t>
  </si>
  <si>
    <t>Umesh Malhotra</t>
  </si>
  <si>
    <t>umesh.malhotra834@yahoo.com</t>
  </si>
  <si>
    <t>9844182802</t>
  </si>
  <si>
    <t>439795</t>
  </si>
  <si>
    <t>C0095</t>
  </si>
  <si>
    <t>Shruti Chandra</t>
  </si>
  <si>
    <t>Shruti</t>
  </si>
  <si>
    <t>shruti.chandra2@hotmail.com</t>
  </si>
  <si>
    <t>9848021663</t>
  </si>
  <si>
    <t>166837</t>
  </si>
  <si>
    <t>C0096</t>
  </si>
  <si>
    <t>Vijay Saxena</t>
  </si>
  <si>
    <t>vijay.saxena641@gmail.com</t>
  </si>
  <si>
    <t>9627708863</t>
  </si>
  <si>
    <t>390028</t>
  </si>
  <si>
    <t>C0097</t>
  </si>
  <si>
    <t>Kamla Saxena</t>
  </si>
  <si>
    <t>kamla.saxena125@gmail.com</t>
  </si>
  <si>
    <t>9938240632</t>
  </si>
  <si>
    <t>360921</t>
  </si>
  <si>
    <t>C0098</t>
  </si>
  <si>
    <t>Priya Yadav</t>
  </si>
  <si>
    <t>Priya</t>
  </si>
  <si>
    <t>priya.yadav418@gmail.com</t>
  </si>
  <si>
    <t>9660913975</t>
  </si>
  <si>
    <t>233172</t>
  </si>
  <si>
    <t>C0099</t>
  </si>
  <si>
    <t>Shruti Biswas</t>
  </si>
  <si>
    <t>shruti.biswas280@gmail.com</t>
  </si>
  <si>
    <t>9859039987</t>
  </si>
  <si>
    <t>Kochi</t>
  </si>
  <si>
    <t>Kerala</t>
  </si>
  <si>
    <t>365570</t>
  </si>
  <si>
    <t>C0100</t>
  </si>
  <si>
    <t>Vivek Nambiar</t>
  </si>
  <si>
    <t>vivek.nambiar614@gmail.com</t>
  </si>
  <si>
    <t>9673287358</t>
  </si>
  <si>
    <t>399666</t>
  </si>
  <si>
    <t>C0101</t>
  </si>
  <si>
    <t>Manish Chandra</t>
  </si>
  <si>
    <t>manish.chandra3@gmail.com</t>
  </si>
  <si>
    <t>9760285951</t>
  </si>
  <si>
    <t>718093</t>
  </si>
  <si>
    <t>C0102</t>
  </si>
  <si>
    <t>Kamlesh Rastogi</t>
  </si>
  <si>
    <t>kamlesh.rastogi354@gmail.com</t>
  </si>
  <si>
    <t>9891751795</t>
  </si>
  <si>
    <t>587463</t>
  </si>
  <si>
    <t>C0103</t>
  </si>
  <si>
    <t>Aarti Mishra</t>
  </si>
  <si>
    <t>Aarti</t>
  </si>
  <si>
    <t>aarti.mishra877@yahoo.com</t>
  </si>
  <si>
    <t>9770819615</t>
  </si>
  <si>
    <t>849485</t>
  </si>
  <si>
    <t>C0104</t>
  </si>
  <si>
    <t>Sangita Gupta</t>
  </si>
  <si>
    <t>Sangita</t>
  </si>
  <si>
    <t>sangita.gupta130@gmail.com</t>
  </si>
  <si>
    <t>9916850705</t>
  </si>
  <si>
    <t>Coimbatore</t>
  </si>
  <si>
    <t>215239</t>
  </si>
  <si>
    <t>C0105</t>
  </si>
  <si>
    <t>Hemant Sharma</t>
  </si>
  <si>
    <t>Hemant</t>
  </si>
  <si>
    <t>hemant.sharma740@gmail.com</t>
  </si>
  <si>
    <t>9951533045</t>
  </si>
  <si>
    <t>188463</t>
  </si>
  <si>
    <t>C0106</t>
  </si>
  <si>
    <t>Sunil Malhotra</t>
  </si>
  <si>
    <t>sunil.malhotra666@gmail.com</t>
  </si>
  <si>
    <t>9776397305</t>
  </si>
  <si>
    <t>669543</t>
  </si>
  <si>
    <t>C0107</t>
  </si>
  <si>
    <t>Vikram Dey</t>
  </si>
  <si>
    <t>vikram.dey71@gmail.com</t>
  </si>
  <si>
    <t>9967434220</t>
  </si>
  <si>
    <t>348536</t>
  </si>
  <si>
    <t>C0108</t>
  </si>
  <si>
    <t>Pushpa Ganguly</t>
  </si>
  <si>
    <t>pushpa.ganguly721@outlook.com</t>
  </si>
  <si>
    <t>9689316412</t>
  </si>
  <si>
    <t>424012</t>
  </si>
  <si>
    <t>C0109</t>
  </si>
  <si>
    <t>Smita Jain</t>
  </si>
  <si>
    <t>Smita</t>
  </si>
  <si>
    <t>smita.jain384@gmail.com</t>
  </si>
  <si>
    <t>9731102499</t>
  </si>
  <si>
    <t>Solapur</t>
  </si>
  <si>
    <t>542067</t>
  </si>
  <si>
    <t>C0110</t>
  </si>
  <si>
    <t>Rohit Dey</t>
  </si>
  <si>
    <t>Rohit</t>
  </si>
  <si>
    <t>rohit.dey892@gmail.com</t>
  </si>
  <si>
    <t>9966755085</t>
  </si>
  <si>
    <t>631841</t>
  </si>
  <si>
    <t>C0111</t>
  </si>
  <si>
    <t>Kalpana Agarwal</t>
  </si>
  <si>
    <t>kalpana.agarwal471@gmail.com</t>
  </si>
  <si>
    <t>9605045206</t>
  </si>
  <si>
    <t>411603</t>
  </si>
  <si>
    <t>C0112</t>
  </si>
  <si>
    <t>Naveen Jain</t>
  </si>
  <si>
    <t>naveen.jain602@gmail.com</t>
  </si>
  <si>
    <t>9827799127</t>
  </si>
  <si>
    <t>372246</t>
  </si>
  <si>
    <t>C0113</t>
  </si>
  <si>
    <t>Radha Mehta</t>
  </si>
  <si>
    <t>Radha</t>
  </si>
  <si>
    <t>radha.mehta243@gmail.com</t>
  </si>
  <si>
    <t>9792714730</t>
  </si>
  <si>
    <t>420244</t>
  </si>
  <si>
    <t>C0114</t>
  </si>
  <si>
    <t>Seema Sharma</t>
  </si>
  <si>
    <t>seema.sharma580@hotmail.com</t>
  </si>
  <si>
    <t>9626330428</t>
  </si>
  <si>
    <t>630856</t>
  </si>
  <si>
    <t>C0115</t>
  </si>
  <si>
    <t>Aparna Mishra</t>
  </si>
  <si>
    <t>aparna.mishra652@gmail.com</t>
  </si>
  <si>
    <t>9734554237</t>
  </si>
  <si>
    <t>801201</t>
  </si>
  <si>
    <t>C0116</t>
  </si>
  <si>
    <t>Richa Raju</t>
  </si>
  <si>
    <t>Raju</t>
  </si>
  <si>
    <t>richa.raju452@gmail.com</t>
  </si>
  <si>
    <t>9795883382</t>
  </si>
  <si>
    <t>204511</t>
  </si>
  <si>
    <t>C0117</t>
  </si>
  <si>
    <t>Swati Reddy</t>
  </si>
  <si>
    <t>Swati</t>
  </si>
  <si>
    <t>swati.reddy806@gmail.com</t>
  </si>
  <si>
    <t>9796418266</t>
  </si>
  <si>
    <t>636169</t>
  </si>
  <si>
    <t>C0118</t>
  </si>
  <si>
    <t>Smita Mitra</t>
  </si>
  <si>
    <t>smita.mitra892@gmail.com</t>
  </si>
  <si>
    <t>9661831266</t>
  </si>
  <si>
    <t>188957</t>
  </si>
  <si>
    <t>C0119</t>
  </si>
  <si>
    <t>Girish Desai</t>
  </si>
  <si>
    <t>girish.desai810@gmail.com</t>
  </si>
  <si>
    <t>9741980118</t>
  </si>
  <si>
    <t>239592</t>
  </si>
  <si>
    <t>C0120</t>
  </si>
  <si>
    <t>Varun Chandra</t>
  </si>
  <si>
    <t>varun.chandra654@yahoo.com</t>
  </si>
  <si>
    <t>9962300116</t>
  </si>
  <si>
    <t>604379</t>
  </si>
  <si>
    <t>C0121</t>
  </si>
  <si>
    <t>Arun Hazra</t>
  </si>
  <si>
    <t>Arun</t>
  </si>
  <si>
    <t>arun.hazra65@outlook.com</t>
  </si>
  <si>
    <t>9976387939</t>
  </si>
  <si>
    <t>790776</t>
  </si>
  <si>
    <t>C0122</t>
  </si>
  <si>
    <t>Vikram Das</t>
  </si>
  <si>
    <t>vikram.das505@gmail.com</t>
  </si>
  <si>
    <t>9726057305</t>
  </si>
  <si>
    <t>252254</t>
  </si>
  <si>
    <t>C0123</t>
  </si>
  <si>
    <t>Usha Banerjee</t>
  </si>
  <si>
    <t>Banerjee</t>
  </si>
  <si>
    <t>usha.banerjee761@outlook.com</t>
  </si>
  <si>
    <t>9951608518</t>
  </si>
  <si>
    <t>623117</t>
  </si>
  <si>
    <t>C0124</t>
  </si>
  <si>
    <t>Sunil Kapoor</t>
  </si>
  <si>
    <t>sunil.kapoor223@gmail.com</t>
  </si>
  <si>
    <t>9726762007</t>
  </si>
  <si>
    <t>Rajkot</t>
  </si>
  <si>
    <t>214180</t>
  </si>
  <si>
    <t>C0125</t>
  </si>
  <si>
    <t>Divya Malhotra</t>
  </si>
  <si>
    <t>Divya</t>
  </si>
  <si>
    <t>divya.malhotra283@gmail.com</t>
  </si>
  <si>
    <t>9665583999</t>
  </si>
  <si>
    <t>206126</t>
  </si>
  <si>
    <t>C0126</t>
  </si>
  <si>
    <t>Karan Raju</t>
  </si>
  <si>
    <t>Karan</t>
  </si>
  <si>
    <t>karan.raju342@gmail.com</t>
  </si>
  <si>
    <t>9667604868</t>
  </si>
  <si>
    <t>325173</t>
  </si>
  <si>
    <t>C0127</t>
  </si>
  <si>
    <t>Rekha Chandra</t>
  </si>
  <si>
    <t>rekha.chandra891@gmail.com</t>
  </si>
  <si>
    <t>9679217544</t>
  </si>
  <si>
    <t>112973</t>
  </si>
  <si>
    <t>C0128</t>
  </si>
  <si>
    <t>Gaurav Murthy</t>
  </si>
  <si>
    <t>Gaurav</t>
  </si>
  <si>
    <t>Murthy</t>
  </si>
  <si>
    <t>gaurav.murthy179@gmail.com</t>
  </si>
  <si>
    <t>9613840614</t>
  </si>
  <si>
    <t>125582</t>
  </si>
  <si>
    <t>C0129</t>
  </si>
  <si>
    <t>Rahul Rao</t>
  </si>
  <si>
    <t>Rahul</t>
  </si>
  <si>
    <t>rahul.rao272@gmail.com</t>
  </si>
  <si>
    <t>9998206851</t>
  </si>
  <si>
    <t>661640</t>
  </si>
  <si>
    <t>C0130</t>
  </si>
  <si>
    <t>Shanti Kapoor</t>
  </si>
  <si>
    <t>shanti.kapoor526@gmail.com</t>
  </si>
  <si>
    <t>9842668563</t>
  </si>
  <si>
    <t>342311</t>
  </si>
  <si>
    <t>C0131</t>
  </si>
  <si>
    <t>Hemant Hazra</t>
  </si>
  <si>
    <t>hemant.hazra988@gmail.com</t>
  </si>
  <si>
    <t>9857151453</t>
  </si>
  <si>
    <t>556980</t>
  </si>
  <si>
    <t>C0132</t>
  </si>
  <si>
    <t>Meera Menon</t>
  </si>
  <si>
    <t>Meera</t>
  </si>
  <si>
    <t>meera.menon83@gmail.com</t>
  </si>
  <si>
    <t>9679636119</t>
  </si>
  <si>
    <t>242321</t>
  </si>
  <si>
    <t>C0133</t>
  </si>
  <si>
    <t>Mukesh Upadhyay</t>
  </si>
  <si>
    <t>Upadhyay</t>
  </si>
  <si>
    <t>mukesh.upadhyay302@gmail.com</t>
  </si>
  <si>
    <t>9925036034</t>
  </si>
  <si>
    <t>213996</t>
  </si>
  <si>
    <t>C0134</t>
  </si>
  <si>
    <t>Geeta Pandey</t>
  </si>
  <si>
    <t>Pandey</t>
  </si>
  <si>
    <t>geeta.pandey910@gmail.com</t>
  </si>
  <si>
    <t>9781962524</t>
  </si>
  <si>
    <t>528098</t>
  </si>
  <si>
    <t>C0135</t>
  </si>
  <si>
    <t>Abhishek Karmakar</t>
  </si>
  <si>
    <t>Abhishek</t>
  </si>
  <si>
    <t>abhishek.karmakar262@gmail.com</t>
  </si>
  <si>
    <t>9681947397</t>
  </si>
  <si>
    <t>607305</t>
  </si>
  <si>
    <t>C0136</t>
  </si>
  <si>
    <t>Geeta Mehta</t>
  </si>
  <si>
    <t>geeta.mehta763@yahoo.com</t>
  </si>
  <si>
    <t>9898699264</t>
  </si>
  <si>
    <t>724953</t>
  </si>
  <si>
    <t>C0137</t>
  </si>
  <si>
    <t>Harish Jain</t>
  </si>
  <si>
    <t>Harish</t>
  </si>
  <si>
    <t>harish.jain895@outlook.com</t>
  </si>
  <si>
    <t>9987116504</t>
  </si>
  <si>
    <t>411601</t>
  </si>
  <si>
    <t>C0138</t>
  </si>
  <si>
    <t>Sarita Tiwari</t>
  </si>
  <si>
    <t>Sarita</t>
  </si>
  <si>
    <t>sarita.tiwari218@gmail.com</t>
  </si>
  <si>
    <t>9858873463</t>
  </si>
  <si>
    <t>223475</t>
  </si>
  <si>
    <t>C0139</t>
  </si>
  <si>
    <t>Pushpa Bose</t>
  </si>
  <si>
    <t>pushpa.bose588@gmail.com</t>
  </si>
  <si>
    <t>9830377969</t>
  </si>
  <si>
    <t>761924</t>
  </si>
  <si>
    <t>C0140</t>
  </si>
  <si>
    <t>Umesh Babu</t>
  </si>
  <si>
    <t>umesh.babu711@gmail.com</t>
  </si>
  <si>
    <t>9696860142</t>
  </si>
  <si>
    <t>846833</t>
  </si>
  <si>
    <t>C0141</t>
  </si>
  <si>
    <t>Aayush Rao</t>
  </si>
  <si>
    <t>aayush.rao891@gmail.com</t>
  </si>
  <si>
    <t>9952909212</t>
  </si>
  <si>
    <t>182965</t>
  </si>
  <si>
    <t>C0142</t>
  </si>
  <si>
    <t>Rekha Lal</t>
  </si>
  <si>
    <t>Lal</t>
  </si>
  <si>
    <t>rekha.lal430@gmail.com</t>
  </si>
  <si>
    <t>9684508460</t>
  </si>
  <si>
    <t>436775</t>
  </si>
  <si>
    <t>C0143</t>
  </si>
  <si>
    <t>Rohit Krishnan</t>
  </si>
  <si>
    <t>rohit.krishnan54@gmail.com</t>
  </si>
  <si>
    <t>9931699349</t>
  </si>
  <si>
    <t>816707</t>
  </si>
  <si>
    <t>C0144</t>
  </si>
  <si>
    <t>Pratik Chakraborty</t>
  </si>
  <si>
    <t>Pratik</t>
  </si>
  <si>
    <t>pratik.chakraborty453@gmail.com</t>
  </si>
  <si>
    <t>9715732707</t>
  </si>
  <si>
    <t>229346</t>
  </si>
  <si>
    <t>C0145</t>
  </si>
  <si>
    <t>Rajiv Mukherjee</t>
  </si>
  <si>
    <t>rajiv.mukherjee608@gmail.com</t>
  </si>
  <si>
    <t>9958164066</t>
  </si>
  <si>
    <t>157623</t>
  </si>
  <si>
    <t>C0146</t>
  </si>
  <si>
    <t>Aayush Shah</t>
  </si>
  <si>
    <t>Shah</t>
  </si>
  <si>
    <t>aayush.shah309@yahoo.com</t>
  </si>
  <si>
    <t>9737180991</t>
  </si>
  <si>
    <t>454061</t>
  </si>
  <si>
    <t>C0147</t>
  </si>
  <si>
    <t>Rajesh Reddy</t>
  </si>
  <si>
    <t>rajesh.reddy390@gmail.com</t>
  </si>
  <si>
    <t>9723539748</t>
  </si>
  <si>
    <t>695864</t>
  </si>
  <si>
    <t>C0148</t>
  </si>
  <si>
    <t>Ajay Gupta</t>
  </si>
  <si>
    <t>Ajay</t>
  </si>
  <si>
    <t>ajay.gupta447@gmail.com</t>
  </si>
  <si>
    <t>9641802168</t>
  </si>
  <si>
    <t>713727</t>
  </si>
  <si>
    <t>C0149</t>
  </si>
  <si>
    <t>Suresh Malhotra</t>
  </si>
  <si>
    <t>suresh.malhotra22@yahoo.com</t>
  </si>
  <si>
    <t>9931853473</t>
  </si>
  <si>
    <t>833108</t>
  </si>
  <si>
    <t>C0150</t>
  </si>
  <si>
    <t>Pallavi Oberoi</t>
  </si>
  <si>
    <t>Pallavi</t>
  </si>
  <si>
    <t>pallavi.oberoi604@gmail.com</t>
  </si>
  <si>
    <t>9642223335</t>
  </si>
  <si>
    <t>435346</t>
  </si>
  <si>
    <t>C0151</t>
  </si>
  <si>
    <t>Shanti Kumar</t>
  </si>
  <si>
    <t>Kumar</t>
  </si>
  <si>
    <t>shanti.kumar79@gmail.com</t>
  </si>
  <si>
    <t>9661217586</t>
  </si>
  <si>
    <t>644723</t>
  </si>
  <si>
    <t>C0152</t>
  </si>
  <si>
    <t>Sachin Mehta</t>
  </si>
  <si>
    <t>Sachin</t>
  </si>
  <si>
    <t>sachin.mehta150@gmail.com</t>
  </si>
  <si>
    <t>9693146579</t>
  </si>
  <si>
    <t>270295</t>
  </si>
  <si>
    <t>C0153</t>
  </si>
  <si>
    <t>Sudha Roy</t>
  </si>
  <si>
    <t>Sudha</t>
  </si>
  <si>
    <t>sudha.roy578@outlook.com</t>
  </si>
  <si>
    <t>9965680748</t>
  </si>
  <si>
    <t>784225</t>
  </si>
  <si>
    <t>C0154</t>
  </si>
  <si>
    <t>Naveen Singh</t>
  </si>
  <si>
    <t>naveen.singh481@gmail.com</t>
  </si>
  <si>
    <t>9762575482</t>
  </si>
  <si>
    <t>730148</t>
  </si>
  <si>
    <t>C0155</t>
  </si>
  <si>
    <t>Richa Qureshi</t>
  </si>
  <si>
    <t>richa.qureshi463@gmail.com</t>
  </si>
  <si>
    <t>9797964490</t>
  </si>
  <si>
    <t>190458</t>
  </si>
  <si>
    <t>C0156</t>
  </si>
  <si>
    <t>Yash Lal</t>
  </si>
  <si>
    <t>yash.lal474@gmail.com</t>
  </si>
  <si>
    <t>9996705213</t>
  </si>
  <si>
    <t>581579</t>
  </si>
  <si>
    <t>C0157</t>
  </si>
  <si>
    <t>Chetan Tiwari</t>
  </si>
  <si>
    <t>chetan.tiwari155@outlook.com</t>
  </si>
  <si>
    <t>9655567147</t>
  </si>
  <si>
    <t>198425</t>
  </si>
  <si>
    <t>C0158</t>
  </si>
  <si>
    <t>Ravi Pandey</t>
  </si>
  <si>
    <t>ravi.pandey450@gmail.com</t>
  </si>
  <si>
    <t>9927386786</t>
  </si>
  <si>
    <t>491574</t>
  </si>
  <si>
    <t>C0159</t>
  </si>
  <si>
    <t>Shanti Ghosh</t>
  </si>
  <si>
    <t>shanti.ghosh696@gmail.com</t>
  </si>
  <si>
    <t>9938704651</t>
  </si>
  <si>
    <t>Noida</t>
  </si>
  <si>
    <t>460905</t>
  </si>
  <si>
    <t>C0160</t>
  </si>
  <si>
    <t>Rajiv Lal</t>
  </si>
  <si>
    <t>rajiv.lal291@gmail.com</t>
  </si>
  <si>
    <t>9952490156</t>
  </si>
  <si>
    <t>267677</t>
  </si>
  <si>
    <t>C0161</t>
  </si>
  <si>
    <t>Vinod Das</t>
  </si>
  <si>
    <t>vinod.das991@hotmail.com</t>
  </si>
  <si>
    <t>9810430840</t>
  </si>
  <si>
    <t>733945</t>
  </si>
  <si>
    <t>C0162</t>
  </si>
  <si>
    <t>Varun Hazra</t>
  </si>
  <si>
    <t>varun.hazra811@gmail.com</t>
  </si>
  <si>
    <t>9668608752</t>
  </si>
  <si>
    <t>846971</t>
  </si>
  <si>
    <t>C0163</t>
  </si>
  <si>
    <t>Shruti Kapoor</t>
  </si>
  <si>
    <t>shruti.kapoor19@gmail.com</t>
  </si>
  <si>
    <t>9696777917</t>
  </si>
  <si>
    <t>468332</t>
  </si>
  <si>
    <t>C0164</t>
  </si>
  <si>
    <t>Sunita Joshi</t>
  </si>
  <si>
    <t>sunita.joshi80@gmail.com</t>
  </si>
  <si>
    <t>9654299533</t>
  </si>
  <si>
    <t>675990</t>
  </si>
  <si>
    <t>C0165</t>
  </si>
  <si>
    <t>Alok Dey</t>
  </si>
  <si>
    <t>alok.dey135@gmail.com</t>
  </si>
  <si>
    <t>9682813821</t>
  </si>
  <si>
    <t>299630</t>
  </si>
  <si>
    <t>C0166</t>
  </si>
  <si>
    <t>Harish Kapoor</t>
  </si>
  <si>
    <t>harish.kapoor693@outlook.com</t>
  </si>
  <si>
    <t>9927810920</t>
  </si>
  <si>
    <t>580735</t>
  </si>
  <si>
    <t>C0167</t>
  </si>
  <si>
    <t>Chetan Menon</t>
  </si>
  <si>
    <t>chetan.menon856@gmail.com</t>
  </si>
  <si>
    <t>9964163202</t>
  </si>
  <si>
    <t>571999</t>
  </si>
  <si>
    <t>C0168</t>
  </si>
  <si>
    <t>Vidya Nanda</t>
  </si>
  <si>
    <t>vidya.nanda990@gmail.com</t>
  </si>
  <si>
    <t>9707211903</t>
  </si>
  <si>
    <t>255121</t>
  </si>
  <si>
    <t>C0169</t>
  </si>
  <si>
    <t>Monika Yadav</t>
  </si>
  <si>
    <t>Monika</t>
  </si>
  <si>
    <t>monika.yadav957@gmail.com</t>
  </si>
  <si>
    <t>9876976742</t>
  </si>
  <si>
    <t>408910</t>
  </si>
  <si>
    <t>C0170</t>
  </si>
  <si>
    <t>Shruti Joshi</t>
  </si>
  <si>
    <t>shruti.joshi851@gmail.com</t>
  </si>
  <si>
    <t>9719205747</t>
  </si>
  <si>
    <t>476566</t>
  </si>
  <si>
    <t>C0171</t>
  </si>
  <si>
    <t>Yash Kapoor</t>
  </si>
  <si>
    <t>yash.kapoor242@gmail.com</t>
  </si>
  <si>
    <t>9643811585</t>
  </si>
  <si>
    <t>345445</t>
  </si>
  <si>
    <t>C0172</t>
  </si>
  <si>
    <t>Manoj Reddy</t>
  </si>
  <si>
    <t>Manoj</t>
  </si>
  <si>
    <t>manoj.reddy40@gmail.com</t>
  </si>
  <si>
    <t>9853647309</t>
  </si>
  <si>
    <t>255534</t>
  </si>
  <si>
    <t>C0173</t>
  </si>
  <si>
    <t>Aayush Menon</t>
  </si>
  <si>
    <t>aayush.menon82@gmail.com</t>
  </si>
  <si>
    <t>9715778757</t>
  </si>
  <si>
    <t>685462</t>
  </si>
  <si>
    <t>C0174</t>
  </si>
  <si>
    <t>Shanti Chopra</t>
  </si>
  <si>
    <t>shanti.chopra244@gmail.com</t>
  </si>
  <si>
    <t>9625635288</t>
  </si>
  <si>
    <t>550218</t>
  </si>
  <si>
    <t>C0175</t>
  </si>
  <si>
    <t>Sangita Chakraborty</t>
  </si>
  <si>
    <t>sangita.chakraborty549@gmail.com</t>
  </si>
  <si>
    <t>9876690238</t>
  </si>
  <si>
    <t>363690</t>
  </si>
  <si>
    <t>C0176</t>
  </si>
  <si>
    <t>Aayush Dey</t>
  </si>
  <si>
    <t>aayush.dey362@gmail.com</t>
  </si>
  <si>
    <t>9823643027</t>
  </si>
  <si>
    <t>Kanpur</t>
  </si>
  <si>
    <t>806643</t>
  </si>
  <si>
    <t>C0177</t>
  </si>
  <si>
    <t>Arjun Upadhyay</t>
  </si>
  <si>
    <t>arjun.upadhyay558@gmail.com</t>
  </si>
  <si>
    <t>9872527802</t>
  </si>
  <si>
    <t>131322</t>
  </si>
  <si>
    <t>C0178</t>
  </si>
  <si>
    <t>Monika Agarwal</t>
  </si>
  <si>
    <t>monika.agarwal766@gmail.com</t>
  </si>
  <si>
    <t>9636270760</t>
  </si>
  <si>
    <t>362838</t>
  </si>
  <si>
    <t>C0179</t>
  </si>
  <si>
    <t>Sunita Gupta</t>
  </si>
  <si>
    <t>sunita.gupta361@gmail.com</t>
  </si>
  <si>
    <t>9945098270</t>
  </si>
  <si>
    <t>827941</t>
  </si>
  <si>
    <t>C0180</t>
  </si>
  <si>
    <t>Arjun Biswas</t>
  </si>
  <si>
    <t>arjun.biswas795@yahoo.com</t>
  </si>
  <si>
    <t>9757540783</t>
  </si>
  <si>
    <t>155934</t>
  </si>
  <si>
    <t>C0181</t>
  </si>
  <si>
    <t>Richa Tiwari</t>
  </si>
  <si>
    <t>richa.tiwari408@hotmail.com</t>
  </si>
  <si>
    <t>9854154564</t>
  </si>
  <si>
    <t>148399</t>
  </si>
  <si>
    <t>C0182</t>
  </si>
  <si>
    <t>Shanti Iyer</t>
  </si>
  <si>
    <t>shanti.iyer887@outlook.com</t>
  </si>
  <si>
    <t>9666827009</t>
  </si>
  <si>
    <t>568176</t>
  </si>
  <si>
    <t>C0183</t>
  </si>
  <si>
    <t>madhuri.rao509@outlook.com</t>
  </si>
  <si>
    <t>9878784100</t>
  </si>
  <si>
    <t>196624</t>
  </si>
  <si>
    <t>C0184</t>
  </si>
  <si>
    <t>Jyoti Chandra</t>
  </si>
  <si>
    <t>jyoti.chandra185@gmail.com</t>
  </si>
  <si>
    <t>9772449074</t>
  </si>
  <si>
    <t>193958</t>
  </si>
  <si>
    <t>C0185</t>
  </si>
  <si>
    <t>Jyoti Biswas</t>
  </si>
  <si>
    <t>jyoti.biswas437@gmail.com</t>
  </si>
  <si>
    <t>9838321498</t>
  </si>
  <si>
    <t>578849</t>
  </si>
  <si>
    <t>C0186</t>
  </si>
  <si>
    <t>Seema Ganguly</t>
  </si>
  <si>
    <t>seema.ganguly811@yahoo.com</t>
  </si>
  <si>
    <t>9960339106</t>
  </si>
  <si>
    <t>535942</t>
  </si>
  <si>
    <t>C0187</t>
  </si>
  <si>
    <t>Manoj Prasad</t>
  </si>
  <si>
    <t>manoj.prasad623@outlook.com</t>
  </si>
  <si>
    <t>9618682554</t>
  </si>
  <si>
    <t>180499</t>
  </si>
  <si>
    <t>C0188</t>
  </si>
  <si>
    <t>Rajan Gupta</t>
  </si>
  <si>
    <t>rajan.gupta620@gmail.com</t>
  </si>
  <si>
    <t>9841550338</t>
  </si>
  <si>
    <t>500084</t>
  </si>
  <si>
    <t>C0189</t>
  </si>
  <si>
    <t>Vidya Kapoor</t>
  </si>
  <si>
    <t>vidya.kapoor408@gmail.com</t>
  </si>
  <si>
    <t>9749620431</t>
  </si>
  <si>
    <t>228959</t>
  </si>
  <si>
    <t>C0190</t>
  </si>
  <si>
    <t>Aarti Nambiar</t>
  </si>
  <si>
    <t>aarti.nambiar576@gmail.com</t>
  </si>
  <si>
    <t>9739742004</t>
  </si>
  <si>
    <t>334993</t>
  </si>
  <si>
    <t>C0191</t>
  </si>
  <si>
    <t>Kavita Reddy</t>
  </si>
  <si>
    <t>Kavita</t>
  </si>
  <si>
    <t>kavita.reddy874@gmail.com</t>
  </si>
  <si>
    <t>9692694177</t>
  </si>
  <si>
    <t>202055</t>
  </si>
  <si>
    <t>C0192</t>
  </si>
  <si>
    <t>Nitin Vyas</t>
  </si>
  <si>
    <t>Nitin</t>
  </si>
  <si>
    <t>nitin.vyas298@yahoo.com</t>
  </si>
  <si>
    <t>9982149600</t>
  </si>
  <si>
    <t>778676</t>
  </si>
  <si>
    <t>C0193</t>
  </si>
  <si>
    <t>Kavita Verma</t>
  </si>
  <si>
    <t>kavita.verma812@gmail.com</t>
  </si>
  <si>
    <t>9865226009</t>
  </si>
  <si>
    <t>488427</t>
  </si>
  <si>
    <t>C0194</t>
  </si>
  <si>
    <t>deepak.dey906@gmail.com</t>
  </si>
  <si>
    <t>9766049191</t>
  </si>
  <si>
    <t>611916</t>
  </si>
  <si>
    <t>C0195</t>
  </si>
  <si>
    <t>Meera Reddy</t>
  </si>
  <si>
    <t>meera.reddy996@gmail.com</t>
  </si>
  <si>
    <t>9639817040</t>
  </si>
  <si>
    <t>598461</t>
  </si>
  <si>
    <t>C0196</t>
  </si>
  <si>
    <t>shanti.yadav656@gmail.com</t>
  </si>
  <si>
    <t>9669274043</t>
  </si>
  <si>
    <t>637290</t>
  </si>
  <si>
    <t>C0197</t>
  </si>
  <si>
    <t>Ritu Das</t>
  </si>
  <si>
    <t>ritu.das169@gmail.com</t>
  </si>
  <si>
    <t>9980819791</t>
  </si>
  <si>
    <t>472831</t>
  </si>
  <si>
    <t>C0198</t>
  </si>
  <si>
    <t>Swati Ganguly</t>
  </si>
  <si>
    <t>swati.ganguly980@gmail.com</t>
  </si>
  <si>
    <t>9667200288</t>
  </si>
  <si>
    <t>427534</t>
  </si>
  <si>
    <t>C0199</t>
  </si>
  <si>
    <t>Mahesh Kumar</t>
  </si>
  <si>
    <t>Mahesh</t>
  </si>
  <si>
    <t>mahesh.kumar607@yahoo.com</t>
  </si>
  <si>
    <t>9691912633</t>
  </si>
  <si>
    <t>764813</t>
  </si>
  <si>
    <t>C0200</t>
  </si>
  <si>
    <t>sneha.desai47@hotmail.com</t>
  </si>
  <si>
    <t>9742086056</t>
  </si>
  <si>
    <t>331048</t>
  </si>
  <si>
    <t>C0201</t>
  </si>
  <si>
    <t>Sangita Krishnan</t>
  </si>
  <si>
    <t>sangita.krishnan643@gmail.com</t>
  </si>
  <si>
    <t>9944621350</t>
  </si>
  <si>
    <t>616404</t>
  </si>
  <si>
    <t>C0202</t>
  </si>
  <si>
    <t>Meera Sen</t>
  </si>
  <si>
    <t>Sen</t>
  </si>
  <si>
    <t>meera.sen62@gmail.com</t>
  </si>
  <si>
    <t>9823135225</t>
  </si>
  <si>
    <t>597002</t>
  </si>
  <si>
    <t>C0203</t>
  </si>
  <si>
    <t>Abhishek Srinivas</t>
  </si>
  <si>
    <t>abhishek.srinivas736@gmail.com</t>
  </si>
  <si>
    <t>9785419405</t>
  </si>
  <si>
    <t>247118</t>
  </si>
  <si>
    <t>C0204</t>
  </si>
  <si>
    <t>Neha Dubey</t>
  </si>
  <si>
    <t>Neha</t>
  </si>
  <si>
    <t>neha.dubey248@gmail.com</t>
  </si>
  <si>
    <t>9743597762</t>
  </si>
  <si>
    <t>369961</t>
  </si>
  <si>
    <t>C0205</t>
  </si>
  <si>
    <t>Aarti Srinivas</t>
  </si>
  <si>
    <t>aarti.srinivas631@gmail.com</t>
  </si>
  <si>
    <t>9685738103</t>
  </si>
  <si>
    <t>715748</t>
  </si>
  <si>
    <t>C0206</t>
  </si>
  <si>
    <t>Sangita Tiwari</t>
  </si>
  <si>
    <t>sangita.tiwari479@gmail.com</t>
  </si>
  <si>
    <t>9765646409</t>
  </si>
  <si>
    <t>134302</t>
  </si>
  <si>
    <t>C0207</t>
  </si>
  <si>
    <t>Sachin Shah</t>
  </si>
  <si>
    <t>sachin.shah598@gmail.com</t>
  </si>
  <si>
    <t>9627133673</t>
  </si>
  <si>
    <t>628934</t>
  </si>
  <si>
    <t>C0208</t>
  </si>
  <si>
    <t>Priya Prasad</t>
  </si>
  <si>
    <t>priya.prasad111@gmail.com</t>
  </si>
  <si>
    <t>9741987804</t>
  </si>
  <si>
    <t>532842</t>
  </si>
  <si>
    <t>C0209</t>
  </si>
  <si>
    <t>Rajan Yadav</t>
  </si>
  <si>
    <t>rajan.yadav200@gmail.com</t>
  </si>
  <si>
    <t>9754941858</t>
  </si>
  <si>
    <t>515116</t>
  </si>
  <si>
    <t>C0210</t>
  </si>
  <si>
    <t>Veena Mukherjee</t>
  </si>
  <si>
    <t>veena.mukherjee626@gmail.com</t>
  </si>
  <si>
    <t>9651905477</t>
  </si>
  <si>
    <t>501326</t>
  </si>
  <si>
    <t>C0211</t>
  </si>
  <si>
    <t>Vijay Joshi</t>
  </si>
  <si>
    <t>vijay.joshi204@outlook.com</t>
  </si>
  <si>
    <t>9868477282</t>
  </si>
  <si>
    <t>157504</t>
  </si>
  <si>
    <t>C0212</t>
  </si>
  <si>
    <t>Dinesh Qureshi</t>
  </si>
  <si>
    <t>Dinesh</t>
  </si>
  <si>
    <t>dinesh.qureshi153@hotmail.com</t>
  </si>
  <si>
    <t>9675044347</t>
  </si>
  <si>
    <t>752848</t>
  </si>
  <si>
    <t>C0213</t>
  </si>
  <si>
    <t>Ajay Babu</t>
  </si>
  <si>
    <t>ajay.babu307@gmail.com</t>
  </si>
  <si>
    <t>9872362658</t>
  </si>
  <si>
    <t>668198</t>
  </si>
  <si>
    <t>C0214</t>
  </si>
  <si>
    <t>Monika Ghosh</t>
  </si>
  <si>
    <t>monika.ghosh690@gmail.com</t>
  </si>
  <si>
    <t>9823628354</t>
  </si>
  <si>
    <t>432623</t>
  </si>
  <si>
    <t>C0215</t>
  </si>
  <si>
    <t>Preeti Hazra</t>
  </si>
  <si>
    <t>preeti.hazra802@hotmail.com</t>
  </si>
  <si>
    <t>9910115104</t>
  </si>
  <si>
    <t>163849</t>
  </si>
  <si>
    <t>C0216</t>
  </si>
  <si>
    <t>Shailesh Basu</t>
  </si>
  <si>
    <t>shailesh.basu635@outlook.com</t>
  </si>
  <si>
    <t>9679336479</t>
  </si>
  <si>
    <t>363961</t>
  </si>
  <si>
    <t>C0217</t>
  </si>
  <si>
    <t>Naveen Dubey</t>
  </si>
  <si>
    <t>naveen.dubey429@gmail.com</t>
  </si>
  <si>
    <t>9970709507</t>
  </si>
  <si>
    <t>540311</t>
  </si>
  <si>
    <t>C0218</t>
  </si>
  <si>
    <t>Dinesh Shah</t>
  </si>
  <si>
    <t>dinesh.shah575@gmail.com</t>
  </si>
  <si>
    <t>9955530307</t>
  </si>
  <si>
    <t>661002</t>
  </si>
  <si>
    <t>C0219</t>
  </si>
  <si>
    <t>Kamlesh Ghosh</t>
  </si>
  <si>
    <t>kamlesh.ghosh560@gmail.com</t>
  </si>
  <si>
    <t>9987043425</t>
  </si>
  <si>
    <t>784558</t>
  </si>
  <si>
    <t>C0220</t>
  </si>
  <si>
    <t>Vivek Pillai</t>
  </si>
  <si>
    <t>vivek.pillai286@gmail.com</t>
  </si>
  <si>
    <t>9720724569</t>
  </si>
  <si>
    <t>413042</t>
  </si>
  <si>
    <t>C0221</t>
  </si>
  <si>
    <t>Radha Jain</t>
  </si>
  <si>
    <t>radha.jain574@hotmail.com</t>
  </si>
  <si>
    <t>9746811397</t>
  </si>
  <si>
    <t>237794</t>
  </si>
  <si>
    <t>C0222</t>
  </si>
  <si>
    <t>Vinod Naidu</t>
  </si>
  <si>
    <t>vinod.naidu824@gmail.com</t>
  </si>
  <si>
    <t>9622584272</t>
  </si>
  <si>
    <t>192868</t>
  </si>
  <si>
    <t>C0223</t>
  </si>
  <si>
    <t>Rekha Verma</t>
  </si>
  <si>
    <t>rekha.verma848@gmail.com</t>
  </si>
  <si>
    <t>9901731126</t>
  </si>
  <si>
    <t>394815</t>
  </si>
  <si>
    <t>C0224</t>
  </si>
  <si>
    <t>Sachin Pillai</t>
  </si>
  <si>
    <t>sachin.pillai52@hotmail.com</t>
  </si>
  <si>
    <t>9721156543</t>
  </si>
  <si>
    <t>354146</t>
  </si>
  <si>
    <t>C0225</t>
  </si>
  <si>
    <t>Manju Rastogi</t>
  </si>
  <si>
    <t>manju.rastogi103@yahoo.com</t>
  </si>
  <si>
    <t>9602781764</t>
  </si>
  <si>
    <t>275613</t>
  </si>
  <si>
    <t>C0226</t>
  </si>
  <si>
    <t>Vijay Chopra</t>
  </si>
  <si>
    <t>vijay.chopra329@gmail.com</t>
  </si>
  <si>
    <t>9631762671</t>
  </si>
  <si>
    <t>793984</t>
  </si>
  <si>
    <t>C0227</t>
  </si>
  <si>
    <t>Rajesh Nanda</t>
  </si>
  <si>
    <t>rajesh.nanda904@yahoo.com</t>
  </si>
  <si>
    <t>9813134837</t>
  </si>
  <si>
    <t>305361</t>
  </si>
  <si>
    <t>C0228</t>
  </si>
  <si>
    <t>Piyush Zutshi</t>
  </si>
  <si>
    <t>Zutshi</t>
  </si>
  <si>
    <t>piyush.zutshi618@gmail.com</t>
  </si>
  <si>
    <t>9779874367</t>
  </si>
  <si>
    <t>586419</t>
  </si>
  <si>
    <t>C0229</t>
  </si>
  <si>
    <t>Sunita Prasad</t>
  </si>
  <si>
    <t>sunita.prasad517@gmail.com</t>
  </si>
  <si>
    <t>9703514831</t>
  </si>
  <si>
    <t>456747</t>
  </si>
  <si>
    <t>C0230</t>
  </si>
  <si>
    <t>Priya Mitra</t>
  </si>
  <si>
    <t>priya.mitra346@hotmail.com</t>
  </si>
  <si>
    <t>9962066354</t>
  </si>
  <si>
    <t>294019</t>
  </si>
  <si>
    <t>C0231</t>
  </si>
  <si>
    <t>Tanvi Desai</t>
  </si>
  <si>
    <t>Tanvi</t>
  </si>
  <si>
    <t>tanvi.desai411@yahoo.com</t>
  </si>
  <si>
    <t>9675490426</t>
  </si>
  <si>
    <t>449320</t>
  </si>
  <si>
    <t>C0232</t>
  </si>
  <si>
    <t>Sachin Pandey</t>
  </si>
  <si>
    <t>sachin.pandey772@gmail.com</t>
  </si>
  <si>
    <t>9776966236</t>
  </si>
  <si>
    <t>720754</t>
  </si>
  <si>
    <t>C0233</t>
  </si>
  <si>
    <t>Sunil Pillai</t>
  </si>
  <si>
    <t>sunil.pillai64@outlook.com</t>
  </si>
  <si>
    <t>9764715401</t>
  </si>
  <si>
    <t>535110</t>
  </si>
  <si>
    <t>C0234</t>
  </si>
  <si>
    <t>Kalpana Nambiar</t>
  </si>
  <si>
    <t>kalpana.nambiar964@gmail.com</t>
  </si>
  <si>
    <t>9929974525</t>
  </si>
  <si>
    <t>339772</t>
  </si>
  <si>
    <t>C0235</t>
  </si>
  <si>
    <t>Seema Chakraborty</t>
  </si>
  <si>
    <t>seema.chakraborty383@gmail.com</t>
  </si>
  <si>
    <t>9894868029</t>
  </si>
  <si>
    <t>673628</t>
  </si>
  <si>
    <t>C0236</t>
  </si>
  <si>
    <t>Rohit Upadhyay</t>
  </si>
  <si>
    <t>rohit.upadhyay458@gmail.com</t>
  </si>
  <si>
    <t>9794231772</t>
  </si>
  <si>
    <t>701573</t>
  </si>
  <si>
    <t>C0237</t>
  </si>
  <si>
    <t>Swati Zutshi</t>
  </si>
  <si>
    <t>swati.zutshi550@gmail.com</t>
  </si>
  <si>
    <t>9776156812</t>
  </si>
  <si>
    <t>573303</t>
  </si>
  <si>
    <t>C0238</t>
  </si>
  <si>
    <t>Pooja Menon</t>
  </si>
  <si>
    <t>pooja.menon523@gmail.com</t>
  </si>
  <si>
    <t>9629869246</t>
  </si>
  <si>
    <t>248353</t>
  </si>
  <si>
    <t>C0239</t>
  </si>
  <si>
    <t>Divya Yadav</t>
  </si>
  <si>
    <t>divya.yadav474@outlook.com</t>
  </si>
  <si>
    <t>9988308039</t>
  </si>
  <si>
    <t>525182</t>
  </si>
  <si>
    <t>C0240</t>
  </si>
  <si>
    <t>Meera Gupta</t>
  </si>
  <si>
    <t>meera.gupta434@gmail.com</t>
  </si>
  <si>
    <t>9634230842</t>
  </si>
  <si>
    <t>173182</t>
  </si>
  <si>
    <t>C0241</t>
  </si>
  <si>
    <t>Harish Rao</t>
  </si>
  <si>
    <t>harish.rao788@gmail.com</t>
  </si>
  <si>
    <t>9944416111</t>
  </si>
  <si>
    <t>550781</t>
  </si>
  <si>
    <t>C0242</t>
  </si>
  <si>
    <t>Varun Desai</t>
  </si>
  <si>
    <t>varun.desai700@hotmail.com</t>
  </si>
  <si>
    <t>9671398357</t>
  </si>
  <si>
    <t>474663</t>
  </si>
  <si>
    <t>C0243</t>
  </si>
  <si>
    <t>Vidya Reddy</t>
  </si>
  <si>
    <t>vidya.reddy746@yahoo.com</t>
  </si>
  <si>
    <t>9612205932</t>
  </si>
  <si>
    <t>595494</t>
  </si>
  <si>
    <t>C0244</t>
  </si>
  <si>
    <t>varun.chandra236@gmail.com</t>
  </si>
  <si>
    <t>9785843094</t>
  </si>
  <si>
    <t>399039</t>
  </si>
  <si>
    <t>C0245</t>
  </si>
  <si>
    <t>Ramesh Naidu</t>
  </si>
  <si>
    <t>Ramesh</t>
  </si>
  <si>
    <t>ramesh.naidu959@yahoo.com</t>
  </si>
  <si>
    <t>9729206732</t>
  </si>
  <si>
    <t>180559</t>
  </si>
  <si>
    <t>C0246</t>
  </si>
  <si>
    <t>Rajiv Biswas</t>
  </si>
  <si>
    <t>rajiv.biswas894@gmail.com</t>
  </si>
  <si>
    <t>9997574965</t>
  </si>
  <si>
    <t>531805</t>
  </si>
  <si>
    <t>C0247</t>
  </si>
  <si>
    <t>Vijay Srinivas</t>
  </si>
  <si>
    <t>vijay.srinivas795@gmail.com</t>
  </si>
  <si>
    <t>9870527022</t>
  </si>
  <si>
    <t>355536</t>
  </si>
  <si>
    <t>C0248</t>
  </si>
  <si>
    <t>Alok Mukherjee</t>
  </si>
  <si>
    <t>alok.mukherjee839@gmail.com</t>
  </si>
  <si>
    <t>9762008547</t>
  </si>
  <si>
    <t>802282</t>
  </si>
  <si>
    <t>C0249</t>
  </si>
  <si>
    <t>Seema Iyer</t>
  </si>
  <si>
    <t>seema.iyer571@hotmail.com</t>
  </si>
  <si>
    <t>9694023915</t>
  </si>
  <si>
    <t>821721</t>
  </si>
  <si>
    <t>C0250</t>
  </si>
  <si>
    <t>Vinod Hazra</t>
  </si>
  <si>
    <t>vinod.hazra688@gmail.com</t>
  </si>
  <si>
    <t>9881568960</t>
  </si>
  <si>
    <t>840132</t>
  </si>
  <si>
    <t>C0251</t>
  </si>
  <si>
    <t>Varun Rao</t>
  </si>
  <si>
    <t>varun.rao773@gmail.com</t>
  </si>
  <si>
    <t>9729368809</t>
  </si>
  <si>
    <t>425344</t>
  </si>
  <si>
    <t>C0252</t>
  </si>
  <si>
    <t>Sushma Nanda</t>
  </si>
  <si>
    <t>sushma.nanda992@gmail.com</t>
  </si>
  <si>
    <t>9884537188</t>
  </si>
  <si>
    <t>517286</t>
  </si>
  <si>
    <t>C0253</t>
  </si>
  <si>
    <t>Mahesh Desai</t>
  </si>
  <si>
    <t>mahesh.desai945@gmail.com</t>
  </si>
  <si>
    <t>9799220713</t>
  </si>
  <si>
    <t>671654</t>
  </si>
  <si>
    <t>C0254</t>
  </si>
  <si>
    <t>Varun Mukherjee</t>
  </si>
  <si>
    <t>varun.mukherjee620@yahoo.com</t>
  </si>
  <si>
    <t>9701019398</t>
  </si>
  <si>
    <t>814066</t>
  </si>
  <si>
    <t>C0255</t>
  </si>
  <si>
    <t>Kunal Das</t>
  </si>
  <si>
    <t>kunal.das980@yahoo.com</t>
  </si>
  <si>
    <t>9702018193</t>
  </si>
  <si>
    <t>612184</t>
  </si>
  <si>
    <t>C0256</t>
  </si>
  <si>
    <t>Nitin Dubey</t>
  </si>
  <si>
    <t>nitin.dubey795@gmail.com</t>
  </si>
  <si>
    <t>9850316310</t>
  </si>
  <si>
    <t>790233</t>
  </si>
  <si>
    <t>C0257</t>
  </si>
  <si>
    <t>Shruti Krishnan</t>
  </si>
  <si>
    <t>shruti.krishnan510@gmail.com</t>
  </si>
  <si>
    <t>9987842833</t>
  </si>
  <si>
    <t>445788</t>
  </si>
  <si>
    <t>C0258</t>
  </si>
  <si>
    <t>Anita Zutshi</t>
  </si>
  <si>
    <t>anita.zutshi885@gmail.com</t>
  </si>
  <si>
    <t>9678341660</t>
  </si>
  <si>
    <t>383441</t>
  </si>
  <si>
    <t>C0259</t>
  </si>
  <si>
    <t>Swati Ghosh</t>
  </si>
  <si>
    <t>swati.ghosh236@gmail.com</t>
  </si>
  <si>
    <t>9731925296</t>
  </si>
  <si>
    <t>687390</t>
  </si>
  <si>
    <t>C0260</t>
  </si>
  <si>
    <t>Naresh Hazra</t>
  </si>
  <si>
    <t>naresh.hazra758@gmail.com</t>
  </si>
  <si>
    <t>9690319750</t>
  </si>
  <si>
    <t>287487</t>
  </si>
  <si>
    <t>C0261</t>
  </si>
  <si>
    <t>Asha Hazra</t>
  </si>
  <si>
    <t>asha.hazra981@gmail.com</t>
  </si>
  <si>
    <t>9618158991</t>
  </si>
  <si>
    <t>810674</t>
  </si>
  <si>
    <t>C0262</t>
  </si>
  <si>
    <t>Shailesh Mishra</t>
  </si>
  <si>
    <t>shailesh.mishra70@yahoo.com</t>
  </si>
  <si>
    <t>9717424229</t>
  </si>
  <si>
    <t>588160</t>
  </si>
  <si>
    <t>C0263</t>
  </si>
  <si>
    <t>Radha Karmakar</t>
  </si>
  <si>
    <t>radha.karmakar500@gmail.com</t>
  </si>
  <si>
    <t>9885729400</t>
  </si>
  <si>
    <t>541319</t>
  </si>
  <si>
    <t>C0264</t>
  </si>
  <si>
    <t>Kamlesh Chopra</t>
  </si>
  <si>
    <t>kamlesh.chopra18@gmail.com</t>
  </si>
  <si>
    <t>9974660237</t>
  </si>
  <si>
    <t>561488</t>
  </si>
  <si>
    <t>C0265</t>
  </si>
  <si>
    <t>Vidya Joshi</t>
  </si>
  <si>
    <t>vidya.joshi247@gmail.com</t>
  </si>
  <si>
    <t>9882638906</t>
  </si>
  <si>
    <t>481658</t>
  </si>
  <si>
    <t>C0266</t>
  </si>
  <si>
    <t>Bhavna Qureshi</t>
  </si>
  <si>
    <t>bhavna.qureshi579@gmail.com</t>
  </si>
  <si>
    <t>9974325896</t>
  </si>
  <si>
    <t>424546</t>
  </si>
  <si>
    <t>C0267</t>
  </si>
  <si>
    <t>Bhavna Lal</t>
  </si>
  <si>
    <t>bhavna.lal387@gmail.com</t>
  </si>
  <si>
    <t>9630126477</t>
  </si>
  <si>
    <t>119909</t>
  </si>
  <si>
    <t>C0268</t>
  </si>
  <si>
    <t>Geeta Hazra</t>
  </si>
  <si>
    <t>geeta.hazra804@gmail.com</t>
  </si>
  <si>
    <t>9651196994</t>
  </si>
  <si>
    <t>154618</t>
  </si>
  <si>
    <t>C0269</t>
  </si>
  <si>
    <t>Manish Gupta</t>
  </si>
  <si>
    <t>manish.gupta947@gmail.com</t>
  </si>
  <si>
    <t>9750524113</t>
  </si>
  <si>
    <t>700882</t>
  </si>
  <si>
    <t>C0270</t>
  </si>
  <si>
    <t>Rahul Shah</t>
  </si>
  <si>
    <t>rahul.shah602@gmail.com</t>
  </si>
  <si>
    <t>9982634017</t>
  </si>
  <si>
    <t>190674</t>
  </si>
  <si>
    <t>C0271</t>
  </si>
  <si>
    <t>Rajan Babu</t>
  </si>
  <si>
    <t>rajan.babu870@gmail.com</t>
  </si>
  <si>
    <t>9890212247</t>
  </si>
  <si>
    <t>512491</t>
  </si>
  <si>
    <t>C0272</t>
  </si>
  <si>
    <t>Seema Jain</t>
  </si>
  <si>
    <t>seema.jain55@gmail.com</t>
  </si>
  <si>
    <t>9724631361</t>
  </si>
  <si>
    <t>467137</t>
  </si>
  <si>
    <t>C0273</t>
  </si>
  <si>
    <t>Kalpana Bose</t>
  </si>
  <si>
    <t>kalpana.bose803@outlook.com</t>
  </si>
  <si>
    <t>9722480865</t>
  </si>
  <si>
    <t>689902</t>
  </si>
  <si>
    <t>C0274</t>
  </si>
  <si>
    <t>Umesh Lal</t>
  </si>
  <si>
    <t>umesh.lal88@outlook.com</t>
  </si>
  <si>
    <t>9732311718</t>
  </si>
  <si>
    <t>196023</t>
  </si>
  <si>
    <t>C0275</t>
  </si>
  <si>
    <t>Ajay Lal</t>
  </si>
  <si>
    <t>ajay.lal325@gmail.com</t>
  </si>
  <si>
    <t>9649134659</t>
  </si>
  <si>
    <t>433241</t>
  </si>
  <si>
    <t>C0276</t>
  </si>
  <si>
    <t>Deepak Desai</t>
  </si>
  <si>
    <t>deepak.desai192@gmail.com</t>
  </si>
  <si>
    <t>9899029060</t>
  </si>
  <si>
    <t>647333</t>
  </si>
  <si>
    <t>C0277</t>
  </si>
  <si>
    <t>Aparna Yadav</t>
  </si>
  <si>
    <t>aparna.yadav96@gmail.com</t>
  </si>
  <si>
    <t>9774177204</t>
  </si>
  <si>
    <t>122940</t>
  </si>
  <si>
    <t>C0278</t>
  </si>
  <si>
    <t>Naresh Menon</t>
  </si>
  <si>
    <t>naresh.menon573@yahoo.com</t>
  </si>
  <si>
    <t>9907068916</t>
  </si>
  <si>
    <t>287820</t>
  </si>
  <si>
    <t>C0279</t>
  </si>
  <si>
    <t>Manish Das</t>
  </si>
  <si>
    <t>manish.das275@gmail.com</t>
  </si>
  <si>
    <t>9633966294</t>
  </si>
  <si>
    <t>565791</t>
  </si>
  <si>
    <t>C0280</t>
  </si>
  <si>
    <t>Meera Kapoor</t>
  </si>
  <si>
    <t>meera.kapoor258@hotmail.com</t>
  </si>
  <si>
    <t>9935562405</t>
  </si>
  <si>
    <t>732651</t>
  </si>
  <si>
    <t>C0281</t>
  </si>
  <si>
    <t>Sunita Das</t>
  </si>
  <si>
    <t>sunita.das7@outlook.com</t>
  </si>
  <si>
    <t>9932963145</t>
  </si>
  <si>
    <t>455549</t>
  </si>
  <si>
    <t>C0282</t>
  </si>
  <si>
    <t>sunita.das329@hotmail.com</t>
  </si>
  <si>
    <t>9707831321</t>
  </si>
  <si>
    <t>439445</t>
  </si>
  <si>
    <t>C0283</t>
  </si>
  <si>
    <t>Ajay Sen</t>
  </si>
  <si>
    <t>ajay.sen649@gmail.com</t>
  </si>
  <si>
    <t>9909172835</t>
  </si>
  <si>
    <t>451716</t>
  </si>
  <si>
    <t>C0284</t>
  </si>
  <si>
    <t>Suresh Zutshi</t>
  </si>
  <si>
    <t>suresh.zutshi205@gmail.com</t>
  </si>
  <si>
    <t>9892932387</t>
  </si>
  <si>
    <t>824827</t>
  </si>
  <si>
    <t>C0285</t>
  </si>
  <si>
    <t>Ravi Shah</t>
  </si>
  <si>
    <t>ravi.shah449@hotmail.com</t>
  </si>
  <si>
    <t>9637129277</t>
  </si>
  <si>
    <t>815668</t>
  </si>
  <si>
    <t>C0286</t>
  </si>
  <si>
    <t>Gaurav Karmakar</t>
  </si>
  <si>
    <t>gaurav.karmakar158@outlook.com</t>
  </si>
  <si>
    <t>9639709728</t>
  </si>
  <si>
    <t>736979</t>
  </si>
  <si>
    <t>C0287</t>
  </si>
  <si>
    <t>Sunil Nanda</t>
  </si>
  <si>
    <t>sunil.nanda557@gmail.com</t>
  </si>
  <si>
    <t>9793020925</t>
  </si>
  <si>
    <t>672986</t>
  </si>
  <si>
    <t>C0288</t>
  </si>
  <si>
    <t>Umesh Karmakar</t>
  </si>
  <si>
    <t>umesh.karmakar364@gmail.com</t>
  </si>
  <si>
    <t>9928928945</t>
  </si>
  <si>
    <t>700579</t>
  </si>
  <si>
    <t>C0289</t>
  </si>
  <si>
    <t>Neha Sharma</t>
  </si>
  <si>
    <t>neha.sharma101@gmail.com</t>
  </si>
  <si>
    <t>9874167216</t>
  </si>
  <si>
    <t>695098</t>
  </si>
  <si>
    <t>C0290</t>
  </si>
  <si>
    <t>Siddharth Qureshi</t>
  </si>
  <si>
    <t>siddharth.qureshi791@hotmail.com</t>
  </si>
  <si>
    <t>9868685522</t>
  </si>
  <si>
    <t>471724</t>
  </si>
  <si>
    <t>C0291</t>
  </si>
  <si>
    <t>Usha Nambiar</t>
  </si>
  <si>
    <t>usha.nambiar985@gmail.com</t>
  </si>
  <si>
    <t>9991996685</t>
  </si>
  <si>
    <t>475249</t>
  </si>
  <si>
    <t>C0292</t>
  </si>
  <si>
    <t>Dinesh Rastogi</t>
  </si>
  <si>
    <t>dinesh.rastogi357@gmail.com</t>
  </si>
  <si>
    <t>9835238547</t>
  </si>
  <si>
    <t>584425</t>
  </si>
  <si>
    <t>C0293</t>
  </si>
  <si>
    <t>Ravi Nair</t>
  </si>
  <si>
    <t>ravi.nair24@hotmail.com</t>
  </si>
  <si>
    <t>9658713640</t>
  </si>
  <si>
    <t>282337</t>
  </si>
  <si>
    <t>C0294</t>
  </si>
  <si>
    <t>Nitin Kumar</t>
  </si>
  <si>
    <t>nitin.kumar339@gmail.com</t>
  </si>
  <si>
    <t>9848063436</t>
  </si>
  <si>
    <t>534723</t>
  </si>
  <si>
    <t>C0295</t>
  </si>
  <si>
    <t>Siddharth Patel</t>
  </si>
  <si>
    <t>siddharth.patel756@yahoo.com</t>
  </si>
  <si>
    <t>9841363747</t>
  </si>
  <si>
    <t>560418</t>
  </si>
  <si>
    <t>C0296</t>
  </si>
  <si>
    <t>Seema Roy</t>
  </si>
  <si>
    <t>seema.roy721@yahoo.com</t>
  </si>
  <si>
    <t>9909961298</t>
  </si>
  <si>
    <t>672968</t>
  </si>
  <si>
    <t>C0297</t>
  </si>
  <si>
    <t>Hemant Nair</t>
  </si>
  <si>
    <t>hemant.nair269@outlook.com</t>
  </si>
  <si>
    <t>9883314840</t>
  </si>
  <si>
    <t>438628</t>
  </si>
  <si>
    <t>C0298</t>
  </si>
  <si>
    <t>Nandita Nair</t>
  </si>
  <si>
    <t>Nandita</t>
  </si>
  <si>
    <t>nandita.nair357@gmail.com</t>
  </si>
  <si>
    <t>9845812029</t>
  </si>
  <si>
    <t>Jalandhar</t>
  </si>
  <si>
    <t>290908</t>
  </si>
  <si>
    <t>C0299</t>
  </si>
  <si>
    <t>Rohit Mukherjee</t>
  </si>
  <si>
    <t>rohit.mukherjee138@gmail.com</t>
  </si>
  <si>
    <t>9728082759</t>
  </si>
  <si>
    <t>232629</t>
  </si>
  <si>
    <t>C0300</t>
  </si>
  <si>
    <t>Aarti Nanda</t>
  </si>
  <si>
    <t>aarti.nanda611@gmail.com</t>
  </si>
  <si>
    <t>9806002719</t>
  </si>
  <si>
    <t>304776</t>
  </si>
  <si>
    <t>C0301</t>
  </si>
  <si>
    <t>Anjali Saxena</t>
  </si>
  <si>
    <t>Anjali</t>
  </si>
  <si>
    <t>anjali.saxena296@gmail.com</t>
  </si>
  <si>
    <t>9768888858</t>
  </si>
  <si>
    <t>759498</t>
  </si>
  <si>
    <t>C0302</t>
  </si>
  <si>
    <t>Sunita Verma</t>
  </si>
  <si>
    <t>sunita.verma835@gmail.com</t>
  </si>
  <si>
    <t>9901497082</t>
  </si>
  <si>
    <t>794793</t>
  </si>
  <si>
    <t>C0303</t>
  </si>
  <si>
    <t>Ravi Babu</t>
  </si>
  <si>
    <t>ravi.babu455@gmail.com</t>
  </si>
  <si>
    <t>9644383454</t>
  </si>
  <si>
    <t>142359</t>
  </si>
  <si>
    <t>C0304</t>
  </si>
  <si>
    <t>Seema Mishra</t>
  </si>
  <si>
    <t>seema.mishra551@gmail.com</t>
  </si>
  <si>
    <t>9845522551</t>
  </si>
  <si>
    <t>629373</t>
  </si>
  <si>
    <t>C0305</t>
  </si>
  <si>
    <t>Suresh Bose</t>
  </si>
  <si>
    <t>suresh.bose794@gmail.com</t>
  </si>
  <si>
    <t>9796957414</t>
  </si>
  <si>
    <t>153631</t>
  </si>
  <si>
    <t>C0306</t>
  </si>
  <si>
    <t>Lalit Mehta</t>
  </si>
  <si>
    <t>lalit.mehta754@yahoo.com</t>
  </si>
  <si>
    <t>9759831265</t>
  </si>
  <si>
    <t>581578</t>
  </si>
  <si>
    <t>C0307</t>
  </si>
  <si>
    <t>Kavita Naidu</t>
  </si>
  <si>
    <t>kavita.naidu832@gmail.com</t>
  </si>
  <si>
    <t>9996002953</t>
  </si>
  <si>
    <t>832608</t>
  </si>
  <si>
    <t>C0308</t>
  </si>
  <si>
    <t>Sunita Raju</t>
  </si>
  <si>
    <t>sunita.raju212@yahoo.com</t>
  </si>
  <si>
    <t>9906056335</t>
  </si>
  <si>
    <t>668136</t>
  </si>
  <si>
    <t>C0309</t>
  </si>
  <si>
    <t>Ravi Chopra</t>
  </si>
  <si>
    <t>ravi.chopra297@gmail.com</t>
  </si>
  <si>
    <t>9876174443</t>
  </si>
  <si>
    <t>209850</t>
  </si>
  <si>
    <t>C0310</t>
  </si>
  <si>
    <t>Sunanda Reddy</t>
  </si>
  <si>
    <t>Sunanda</t>
  </si>
  <si>
    <t>sunanda.reddy719@yahoo.com</t>
  </si>
  <si>
    <t>9678513851</t>
  </si>
  <si>
    <t>369579</t>
  </si>
  <si>
    <t>C0311</t>
  </si>
  <si>
    <t>Sarita Ganguly</t>
  </si>
  <si>
    <t>sarita.ganguly276@outlook.com</t>
  </si>
  <si>
    <t>9842661210</t>
  </si>
  <si>
    <t>774406</t>
  </si>
  <si>
    <t>C0312</t>
  </si>
  <si>
    <t>Seema Bose</t>
  </si>
  <si>
    <t>seema.bose712@outlook.com</t>
  </si>
  <si>
    <t>9844112864</t>
  </si>
  <si>
    <t>453187</t>
  </si>
  <si>
    <t>C0313</t>
  </si>
  <si>
    <t>Kalpana Karmakar</t>
  </si>
  <si>
    <t>kalpana.karmakar715@gmail.com</t>
  </si>
  <si>
    <t>9634000401</t>
  </si>
  <si>
    <t>527035</t>
  </si>
  <si>
    <t>C0314</t>
  </si>
  <si>
    <t>Manish Dubey</t>
  </si>
  <si>
    <t>manish.dubey849@gmail.com</t>
  </si>
  <si>
    <t>9893835104</t>
  </si>
  <si>
    <t>246937</t>
  </si>
  <si>
    <t>C0315</t>
  </si>
  <si>
    <t>Anita Mehta</t>
  </si>
  <si>
    <t>anita.mehta642@outlook.com</t>
  </si>
  <si>
    <t>9608740985</t>
  </si>
  <si>
    <t>275657</t>
  </si>
  <si>
    <t>C0316</t>
  </si>
  <si>
    <t>Swati Sen</t>
  </si>
  <si>
    <t>swati.sen932@gmail.com</t>
  </si>
  <si>
    <t>9948964589</t>
  </si>
  <si>
    <t>276699</t>
  </si>
  <si>
    <t>C0317</t>
  </si>
  <si>
    <t>Gaurav Desai</t>
  </si>
  <si>
    <t>gaurav.desai381@hotmail.com</t>
  </si>
  <si>
    <t>9688865603</t>
  </si>
  <si>
    <t>525594</t>
  </si>
  <si>
    <t>C0318</t>
  </si>
  <si>
    <t>Sunanda Desai</t>
  </si>
  <si>
    <t>sunanda.desai721@gmail.com</t>
  </si>
  <si>
    <t>9714579621</t>
  </si>
  <si>
    <t>191724</t>
  </si>
  <si>
    <t>C0319</t>
  </si>
  <si>
    <t>Priya Sharma</t>
  </si>
  <si>
    <t>priya.sharma713@gmail.com</t>
  </si>
  <si>
    <t>9664743295</t>
  </si>
  <si>
    <t>837744</t>
  </si>
  <si>
    <t>C0320</t>
  </si>
  <si>
    <t>Aarti Desai</t>
  </si>
  <si>
    <t>aarti.desai749@yahoo.com</t>
  </si>
  <si>
    <t>9768229293</t>
  </si>
  <si>
    <t>423791</t>
  </si>
  <si>
    <t>C0321</t>
  </si>
  <si>
    <t>arjun.upadhyay577@gmail.com</t>
  </si>
  <si>
    <t>9948976944</t>
  </si>
  <si>
    <t>571477</t>
  </si>
  <si>
    <t>C0322</t>
  </si>
  <si>
    <t>Ramesh Mukherjee</t>
  </si>
  <si>
    <t>ramesh.mukherjee454@yahoo.com</t>
  </si>
  <si>
    <t>9653936799</t>
  </si>
  <si>
    <t>239139</t>
  </si>
  <si>
    <t>C0323</t>
  </si>
  <si>
    <t>Abhishek Raju</t>
  </si>
  <si>
    <t>abhishek.raju144@gmail.com</t>
  </si>
  <si>
    <t>9946078035</t>
  </si>
  <si>
    <t>370221</t>
  </si>
  <si>
    <t>C0324</t>
  </si>
  <si>
    <t>Nikhil Upadhyay</t>
  </si>
  <si>
    <t>nikhil.upadhyay622@gmail.com</t>
  </si>
  <si>
    <t>9810319725</t>
  </si>
  <si>
    <t>787558</t>
  </si>
  <si>
    <t>C0325</t>
  </si>
  <si>
    <t>Suresh Pillai</t>
  </si>
  <si>
    <t>suresh.pillai512@yahoo.com</t>
  </si>
  <si>
    <t>9883621655</t>
  </si>
  <si>
    <t>488638</t>
  </si>
  <si>
    <t>C0326</t>
  </si>
  <si>
    <t>Usha Kapoor</t>
  </si>
  <si>
    <t>usha.kapoor560@outlook.com</t>
  </si>
  <si>
    <t>9639187196</t>
  </si>
  <si>
    <t>725895</t>
  </si>
  <si>
    <t>C0327</t>
  </si>
  <si>
    <t>Anita Iyer</t>
  </si>
  <si>
    <t>anita.iyer972@hotmail.com</t>
  </si>
  <si>
    <t>9753806964</t>
  </si>
  <si>
    <t>635387</t>
  </si>
  <si>
    <t>C0328</t>
  </si>
  <si>
    <t>Rohit Ganguly</t>
  </si>
  <si>
    <t>rohit.ganguly550@gmail.com</t>
  </si>
  <si>
    <t>9681969688</t>
  </si>
  <si>
    <t>197657</t>
  </si>
  <si>
    <t>C0329</t>
  </si>
  <si>
    <t>Ritu Vyas</t>
  </si>
  <si>
    <t>ritu.vyas335@gmail.com</t>
  </si>
  <si>
    <t>9940534129</t>
  </si>
  <si>
    <t>824138</t>
  </si>
  <si>
    <t>C0330</t>
  </si>
  <si>
    <t>Saroj Prasad</t>
  </si>
  <si>
    <t>Saroj</t>
  </si>
  <si>
    <t>saroj.prasad245@gmail.com</t>
  </si>
  <si>
    <t>9646285140</t>
  </si>
  <si>
    <t>231620</t>
  </si>
  <si>
    <t>C0331</t>
  </si>
  <si>
    <t>Kavita Sharma</t>
  </si>
  <si>
    <t>kavita.sharma725@gmail.com</t>
  </si>
  <si>
    <t>9606093809</t>
  </si>
  <si>
    <t>630526</t>
  </si>
  <si>
    <t>C0332</t>
  </si>
  <si>
    <t>Anjali Kapoor</t>
  </si>
  <si>
    <t>anjali.kapoor130@outlook.com</t>
  </si>
  <si>
    <t>9993491931</t>
  </si>
  <si>
    <t>140782</t>
  </si>
  <si>
    <t>C0333</t>
  </si>
  <si>
    <t>Arjun Agarwal</t>
  </si>
  <si>
    <t>arjun.agarwal730@hotmail.com</t>
  </si>
  <si>
    <t>9641376658</t>
  </si>
  <si>
    <t>587309</t>
  </si>
  <si>
    <t>C0334</t>
  </si>
  <si>
    <t>Rajan Kumar</t>
  </si>
  <si>
    <t>rajan.kumar377@gmail.com</t>
  </si>
  <si>
    <t>9655246652</t>
  </si>
  <si>
    <t>816866</t>
  </si>
  <si>
    <t>C0335</t>
  </si>
  <si>
    <t>Aayush Gupta</t>
  </si>
  <si>
    <t>aayush.gupta880@yahoo.com</t>
  </si>
  <si>
    <t>9624686144</t>
  </si>
  <si>
    <t>491657</t>
  </si>
  <si>
    <t>C0336</t>
  </si>
  <si>
    <t>Nitin Murthy</t>
  </si>
  <si>
    <t>nitin.murthy936@hotmail.com</t>
  </si>
  <si>
    <t>9825147182</t>
  </si>
  <si>
    <t>447433</t>
  </si>
  <si>
    <t>C0337</t>
  </si>
  <si>
    <t>Meera Zutshi</t>
  </si>
  <si>
    <t>meera.zutshi382@gmail.com</t>
  </si>
  <si>
    <t>9961488989</t>
  </si>
  <si>
    <t>298056</t>
  </si>
  <si>
    <t>C0338</t>
  </si>
  <si>
    <t>Arjun Krishnan</t>
  </si>
  <si>
    <t>arjun.krishnan477@outlook.com</t>
  </si>
  <si>
    <t>9775718347</t>
  </si>
  <si>
    <t>689958</t>
  </si>
  <si>
    <t>C0339</t>
  </si>
  <si>
    <t>Smita Zutshi</t>
  </si>
  <si>
    <t>smita.zutshi804@gmail.com</t>
  </si>
  <si>
    <t>9934318924</t>
  </si>
  <si>
    <t>596462</t>
  </si>
  <si>
    <t>C0340</t>
  </si>
  <si>
    <t>Pushpa Raju</t>
  </si>
  <si>
    <t>pushpa.raju252@gmail.com</t>
  </si>
  <si>
    <t>9820136460</t>
  </si>
  <si>
    <t>354315</t>
  </si>
  <si>
    <t>C0341</t>
  </si>
  <si>
    <t>Aayush Roy</t>
  </si>
  <si>
    <t>aayush.roy674@gmail.com</t>
  </si>
  <si>
    <t>9996255111</t>
  </si>
  <si>
    <t>218998</t>
  </si>
  <si>
    <t>C0342</t>
  </si>
  <si>
    <t>Pratik Iyer</t>
  </si>
  <si>
    <t>pratik.iyer996@hotmail.com</t>
  </si>
  <si>
    <t>9750230049</t>
  </si>
  <si>
    <t>156032</t>
  </si>
  <si>
    <t>C0343</t>
  </si>
  <si>
    <t>Hemant Mitra</t>
  </si>
  <si>
    <t>hemant.mitra87@gmail.com</t>
  </si>
  <si>
    <t>9871349465</t>
  </si>
  <si>
    <t>778169</t>
  </si>
  <si>
    <t>C0344</t>
  </si>
  <si>
    <t>Rajan Iyer</t>
  </si>
  <si>
    <t>rajan.iyer446@yahoo.com</t>
  </si>
  <si>
    <t>9727115857</t>
  </si>
  <si>
    <t>383668</t>
  </si>
  <si>
    <t>C0345</t>
  </si>
  <si>
    <t>Abhishek Pandey</t>
  </si>
  <si>
    <t>abhishek.pandey279@gmail.com</t>
  </si>
  <si>
    <t>9708830512</t>
  </si>
  <si>
    <t>723110</t>
  </si>
  <si>
    <t>C0346</t>
  </si>
  <si>
    <t>Lata Qureshi</t>
  </si>
  <si>
    <t>lata.qureshi322@gmail.com</t>
  </si>
  <si>
    <t>9887722302</t>
  </si>
  <si>
    <t>327722</t>
  </si>
  <si>
    <t>C0347</t>
  </si>
  <si>
    <t>Kavita Desai</t>
  </si>
  <si>
    <t>kavita.desai162@outlook.com</t>
  </si>
  <si>
    <t>9978335511</t>
  </si>
  <si>
    <t>742608</t>
  </si>
  <si>
    <t>C0348</t>
  </si>
  <si>
    <t>Pooja Biswas</t>
  </si>
  <si>
    <t>pooja.biswas255@outlook.com</t>
  </si>
  <si>
    <t>9875661564</t>
  </si>
  <si>
    <t>820078</t>
  </si>
  <si>
    <t>C0349</t>
  </si>
  <si>
    <t>Bhavna Prasad</t>
  </si>
  <si>
    <t>bhavna.prasad464@gmail.com</t>
  </si>
  <si>
    <t>9895343905</t>
  </si>
  <si>
    <t>209326</t>
  </si>
  <si>
    <t>C0350</t>
  </si>
  <si>
    <t>Priya Iyer</t>
  </si>
  <si>
    <t>priya.iyer851@yahoo.com</t>
  </si>
  <si>
    <t>9670177210</t>
  </si>
  <si>
    <t>530040</t>
  </si>
  <si>
    <t>C0351</t>
  </si>
  <si>
    <t>Preeti Nambiar</t>
  </si>
  <si>
    <t>preeti.nambiar833@gmail.com</t>
  </si>
  <si>
    <t>9634613160</t>
  </si>
  <si>
    <t>787366</t>
  </si>
  <si>
    <t>C0352</t>
  </si>
  <si>
    <t>Kavita Gupta</t>
  </si>
  <si>
    <t>kavita.gupta965@gmail.com</t>
  </si>
  <si>
    <t>9690188516</t>
  </si>
  <si>
    <t>564197</t>
  </si>
  <si>
    <t>C0353</t>
  </si>
  <si>
    <t>varun.mukherjee437@gmail.com</t>
  </si>
  <si>
    <t>9715274829</t>
  </si>
  <si>
    <t>398339</t>
  </si>
  <si>
    <t>C0354</t>
  </si>
  <si>
    <t>Ramesh Dey</t>
  </si>
  <si>
    <t>ramesh.dey632@gmail.com</t>
  </si>
  <si>
    <t>9758433379</t>
  </si>
  <si>
    <t>542005</t>
  </si>
  <si>
    <t>C0355</t>
  </si>
  <si>
    <t>Pooja Bose</t>
  </si>
  <si>
    <t>pooja.bose393@gmail.com</t>
  </si>
  <si>
    <t>9707083092</t>
  </si>
  <si>
    <t>661356</t>
  </si>
  <si>
    <t>C0356</t>
  </si>
  <si>
    <t>Manju Jain</t>
  </si>
  <si>
    <t>manju.jain492@gmail.com</t>
  </si>
  <si>
    <t>9860210319</t>
  </si>
  <si>
    <t>703128</t>
  </si>
  <si>
    <t>C0357</t>
  </si>
  <si>
    <t>Nisha Patel</t>
  </si>
  <si>
    <t>nisha.patel327@gmail.com</t>
  </si>
  <si>
    <t>9615732174</t>
  </si>
  <si>
    <t>171437</t>
  </si>
  <si>
    <t>C0358</t>
  </si>
  <si>
    <t>Alok Banerjee</t>
  </si>
  <si>
    <t>alok.banerjee239@yahoo.com</t>
  </si>
  <si>
    <t>9733067242</t>
  </si>
  <si>
    <t>362867</t>
  </si>
  <si>
    <t>C0359</t>
  </si>
  <si>
    <t>Sarita Prasad</t>
  </si>
  <si>
    <t>sarita.prasad817@gmail.com</t>
  </si>
  <si>
    <t>9693260937</t>
  </si>
  <si>
    <t>358041</t>
  </si>
  <si>
    <t>C0360</t>
  </si>
  <si>
    <t>Sneha Biswas</t>
  </si>
  <si>
    <t>sneha.biswas718@gmail.com</t>
  </si>
  <si>
    <t>9904755507</t>
  </si>
  <si>
    <t>259005</t>
  </si>
  <si>
    <t>C0361</t>
  </si>
  <si>
    <t>Richa Rao</t>
  </si>
  <si>
    <t>richa.rao503@gmail.com</t>
  </si>
  <si>
    <t>9630154955</t>
  </si>
  <si>
    <t>740889</t>
  </si>
  <si>
    <t>C0362</t>
  </si>
  <si>
    <t>aayush.ghosh940@yahoo.com</t>
  </si>
  <si>
    <t>9782943618</t>
  </si>
  <si>
    <t>449307</t>
  </si>
  <si>
    <t>C0363</t>
  </si>
  <si>
    <t>Ravi Nambiar</t>
  </si>
  <si>
    <t>ravi.nambiar146@hotmail.com</t>
  </si>
  <si>
    <t>9795898745</t>
  </si>
  <si>
    <t>501738</t>
  </si>
  <si>
    <t>C0364</t>
  </si>
  <si>
    <t>Madhuri Das</t>
  </si>
  <si>
    <t>madhuri.das331@gmail.com</t>
  </si>
  <si>
    <t>9684559252</t>
  </si>
  <si>
    <t>780318</t>
  </si>
  <si>
    <t>C0365</t>
  </si>
  <si>
    <t>Sunil Krishnan</t>
  </si>
  <si>
    <t>sunil.krishnan952@outlook.com</t>
  </si>
  <si>
    <t>9719849565</t>
  </si>
  <si>
    <t>727558</t>
  </si>
  <si>
    <t>C0366</t>
  </si>
  <si>
    <t>Saroj Sen</t>
  </si>
  <si>
    <t>saroj.sen302@gmail.com</t>
  </si>
  <si>
    <t>9991288140</t>
  </si>
  <si>
    <t>846109</t>
  </si>
  <si>
    <t>C0367</t>
  </si>
  <si>
    <t>Nisha Chakraborty</t>
  </si>
  <si>
    <t>nisha.chakraborty326@hotmail.com</t>
  </si>
  <si>
    <t>9718592234</t>
  </si>
  <si>
    <t>703022</t>
  </si>
  <si>
    <t>C0368</t>
  </si>
  <si>
    <t>Seema Singh</t>
  </si>
  <si>
    <t>seema.singh244@gmail.com</t>
  </si>
  <si>
    <t>9771540284</t>
  </si>
  <si>
    <t>777090</t>
  </si>
  <si>
    <t>C0369</t>
  </si>
  <si>
    <t>Priya Agarwal</t>
  </si>
  <si>
    <t>priya.agarwal215@gmail.com</t>
  </si>
  <si>
    <t>9636397045</t>
  </si>
  <si>
    <t>379125</t>
  </si>
  <si>
    <t>C0370</t>
  </si>
  <si>
    <t>Aarti Pandey</t>
  </si>
  <si>
    <t>aarti.pandey751@gmail.com</t>
  </si>
  <si>
    <t>9689302270</t>
  </si>
  <si>
    <t>627033</t>
  </si>
  <si>
    <t>C0371</t>
  </si>
  <si>
    <t>Varun Mehta</t>
  </si>
  <si>
    <t>varun.mehta849@gmail.com</t>
  </si>
  <si>
    <t>9910341178</t>
  </si>
  <si>
    <t>830539</t>
  </si>
  <si>
    <t>C0372</t>
  </si>
  <si>
    <t>Vikram Chopra</t>
  </si>
  <si>
    <t>vikram.chopra21@gmail.com</t>
  </si>
  <si>
    <t>9656223832</t>
  </si>
  <si>
    <t>468411</t>
  </si>
  <si>
    <t>C0373</t>
  </si>
  <si>
    <t>Nitin Menon</t>
  </si>
  <si>
    <t>nitin.menon96@gmail.com</t>
  </si>
  <si>
    <t>9929448003</t>
  </si>
  <si>
    <t>848726</t>
  </si>
  <si>
    <t>C0374</t>
  </si>
  <si>
    <t>Geeta Kumar</t>
  </si>
  <si>
    <t>geeta.kumar55@gmail.com</t>
  </si>
  <si>
    <t>9710354069</t>
  </si>
  <si>
    <t>539161</t>
  </si>
  <si>
    <t>C0375</t>
  </si>
  <si>
    <t>Umesh Chopra</t>
  </si>
  <si>
    <t>umesh.chopra305@gmail.com</t>
  </si>
  <si>
    <t>9626647826</t>
  </si>
  <si>
    <t>709544</t>
  </si>
  <si>
    <t>C0376</t>
  </si>
  <si>
    <t>Girish Sharma</t>
  </si>
  <si>
    <t>girish.sharma438@gmail.com</t>
  </si>
  <si>
    <t>9955419400</t>
  </si>
  <si>
    <t>739371</t>
  </si>
  <si>
    <t>C0377</t>
  </si>
  <si>
    <t>Nikhil Kumar</t>
  </si>
  <si>
    <t>nikhil.kumar654@gmail.com</t>
  </si>
  <si>
    <t>9643989106</t>
  </si>
  <si>
    <t>231119</t>
  </si>
  <si>
    <t>C0378</t>
  </si>
  <si>
    <t>Umesh Agarwal</t>
  </si>
  <si>
    <t>umesh.agarwal94@outlook.com</t>
  </si>
  <si>
    <t>9699257350</t>
  </si>
  <si>
    <t>509974</t>
  </si>
  <si>
    <t>C0379</t>
  </si>
  <si>
    <t>Preeti Pandey</t>
  </si>
  <si>
    <t>preeti.pandey477@gmail.com</t>
  </si>
  <si>
    <t>9744183123</t>
  </si>
  <si>
    <t>174633</t>
  </si>
  <si>
    <t>C0380</t>
  </si>
  <si>
    <t>Asha Nanda</t>
  </si>
  <si>
    <t>asha.nanda995@yahoo.com</t>
  </si>
  <si>
    <t>9897212763</t>
  </si>
  <si>
    <t>515910</t>
  </si>
  <si>
    <t>C0381</t>
  </si>
  <si>
    <t>Sadhana Srinivas</t>
  </si>
  <si>
    <t>sadhana.srinivas959@gmail.com</t>
  </si>
  <si>
    <t>9726509345</t>
  </si>
  <si>
    <t>423369</t>
  </si>
  <si>
    <t>C0382</t>
  </si>
  <si>
    <t>Sarita Menon</t>
  </si>
  <si>
    <t>sarita.menon530@hotmail.com</t>
  </si>
  <si>
    <t>9933006595</t>
  </si>
  <si>
    <t>236124</t>
  </si>
  <si>
    <t>C0383</t>
  </si>
  <si>
    <t>Rekha Murthy</t>
  </si>
  <si>
    <t>rekha.murthy198@gmail.com</t>
  </si>
  <si>
    <t>9827297669</t>
  </si>
  <si>
    <t>826308</t>
  </si>
  <si>
    <t>C0384</t>
  </si>
  <si>
    <t>Preeti Dubey</t>
  </si>
  <si>
    <t>preeti.dubey933@yahoo.com</t>
  </si>
  <si>
    <t>9646722503</t>
  </si>
  <si>
    <t>693390</t>
  </si>
  <si>
    <t>C0385</t>
  </si>
  <si>
    <t>dinesh.qureshi940@hotmail.com</t>
  </si>
  <si>
    <t>9934501677</t>
  </si>
  <si>
    <t>657945</t>
  </si>
  <si>
    <t>C0386</t>
  </si>
  <si>
    <t>Ritu Joshi</t>
  </si>
  <si>
    <t>ritu.joshi581@gmail.com</t>
  </si>
  <si>
    <t>9653796609</t>
  </si>
  <si>
    <t>700016</t>
  </si>
  <si>
    <t>C0387</t>
  </si>
  <si>
    <t>Vinod Krishnan</t>
  </si>
  <si>
    <t>vinod.krishnan421@gmail.com</t>
  </si>
  <si>
    <t>9951536455</t>
  </si>
  <si>
    <t>709809</t>
  </si>
  <si>
    <t>C0388</t>
  </si>
  <si>
    <t>Seema Malhotra</t>
  </si>
  <si>
    <t>seema.malhotra148@hotmail.com</t>
  </si>
  <si>
    <t>9972406551</t>
  </si>
  <si>
    <t>150666</t>
  </si>
  <si>
    <t>C0389</t>
  </si>
  <si>
    <t>Seema Rastogi</t>
  </si>
  <si>
    <t>seema.rastogi943@gmail.com</t>
  </si>
  <si>
    <t>9799952576</t>
  </si>
  <si>
    <t>464278</t>
  </si>
  <si>
    <t>C0390</t>
  </si>
  <si>
    <t>Pratik Prasad</t>
  </si>
  <si>
    <t>pratik.prasad713@yahoo.com</t>
  </si>
  <si>
    <t>9672147676</t>
  </si>
  <si>
    <t>574635</t>
  </si>
  <si>
    <t>C0391</t>
  </si>
  <si>
    <t>Jyoti Hazra</t>
  </si>
  <si>
    <t>jyoti.hazra92@gmail.com</t>
  </si>
  <si>
    <t>9713489410</t>
  </si>
  <si>
    <t>617993</t>
  </si>
  <si>
    <t>C0392</t>
  </si>
  <si>
    <t>Shruti Raju</t>
  </si>
  <si>
    <t>shruti.raju163@gmail.com</t>
  </si>
  <si>
    <t>9980947171</t>
  </si>
  <si>
    <t>532979</t>
  </si>
  <si>
    <t>C0393</t>
  </si>
  <si>
    <t>Rajesh Verma</t>
  </si>
  <si>
    <t>rajesh.verma897@yahoo.com</t>
  </si>
  <si>
    <t>9733944066</t>
  </si>
  <si>
    <t>588621</t>
  </si>
  <si>
    <t>C0394</t>
  </si>
  <si>
    <t>Monika Chandra</t>
  </si>
  <si>
    <t>monika.chandra476@gmail.com</t>
  </si>
  <si>
    <t>9941133041</t>
  </si>
  <si>
    <t>824263</t>
  </si>
  <si>
    <t>C0395</t>
  </si>
  <si>
    <t>Mukesh Pandey</t>
  </si>
  <si>
    <t>mukesh.pandey182@outlook.com</t>
  </si>
  <si>
    <t>9915078935</t>
  </si>
  <si>
    <t>476749</t>
  </si>
  <si>
    <t>C0396</t>
  </si>
  <si>
    <t>Tushar Patel</t>
  </si>
  <si>
    <t>Tushar</t>
  </si>
  <si>
    <t>tushar.patel396@gmail.com</t>
  </si>
  <si>
    <t>9907228704</t>
  </si>
  <si>
    <t>342103</t>
  </si>
  <si>
    <t>C0397</t>
  </si>
  <si>
    <t>Sunanda Nanda</t>
  </si>
  <si>
    <t>sunanda.nanda526@gmail.com</t>
  </si>
  <si>
    <t>9966253192</t>
  </si>
  <si>
    <t>607126</t>
  </si>
  <si>
    <t>C0398</t>
  </si>
  <si>
    <t>Arun Agarwal</t>
  </si>
  <si>
    <t>arun.agarwal623@outlook.com</t>
  </si>
  <si>
    <t>9982649635</t>
  </si>
  <si>
    <t>398755</t>
  </si>
  <si>
    <t>C0399</t>
  </si>
  <si>
    <t>Gaurav Shah</t>
  </si>
  <si>
    <t>gaurav.shah478@gmail.com</t>
  </si>
  <si>
    <t>9879515343</t>
  </si>
  <si>
    <t>526444</t>
  </si>
  <si>
    <t>C0400</t>
  </si>
  <si>
    <t>umesh.babu860@gmail.com</t>
  </si>
  <si>
    <t>9947539154</t>
  </si>
  <si>
    <t>748635</t>
  </si>
  <si>
    <t>C0401</t>
  </si>
  <si>
    <t>Arjun Ghosh</t>
  </si>
  <si>
    <t>arjun.ghosh284@outlook.com</t>
  </si>
  <si>
    <t>9740202177</t>
  </si>
  <si>
    <t>793112</t>
  </si>
  <si>
    <t>C0402</t>
  </si>
  <si>
    <t>Pushpa Pillai</t>
  </si>
  <si>
    <t>pushpa.pillai922@gmail.com</t>
  </si>
  <si>
    <t>9922140427</t>
  </si>
  <si>
    <t>802616</t>
  </si>
  <si>
    <t>C0403</t>
  </si>
  <si>
    <t>Smita Agarwal</t>
  </si>
  <si>
    <t>smita.agarwal929@gmail.com</t>
  </si>
  <si>
    <t>9808453509</t>
  </si>
  <si>
    <t>721344</t>
  </si>
  <si>
    <t>C0404</t>
  </si>
  <si>
    <t>Sadhana Vyas</t>
  </si>
  <si>
    <t>sadhana.vyas654@hotmail.com</t>
  </si>
  <si>
    <t>9792466681</t>
  </si>
  <si>
    <t>424777</t>
  </si>
  <si>
    <t>C0405</t>
  </si>
  <si>
    <t>Smita Mehta</t>
  </si>
  <si>
    <t>smita.mehta483@gmail.com</t>
  </si>
  <si>
    <t>9738862654</t>
  </si>
  <si>
    <t>301961</t>
  </si>
  <si>
    <t>C0406</t>
  </si>
  <si>
    <t>aparna.mishra763@outlook.com</t>
  </si>
  <si>
    <t>9777874533</t>
  </si>
  <si>
    <t>383216</t>
  </si>
  <si>
    <t>C0407</t>
  </si>
  <si>
    <t>Chetan Iyer</t>
  </si>
  <si>
    <t>chetan.iyer888@hotmail.com</t>
  </si>
  <si>
    <t>9933211455</t>
  </si>
  <si>
    <t>605158</t>
  </si>
  <si>
    <t>C0408</t>
  </si>
  <si>
    <t>Sadhana Lal</t>
  </si>
  <si>
    <t>sadhana.lal543@gmail.com</t>
  </si>
  <si>
    <t>9629024299</t>
  </si>
  <si>
    <t>254037</t>
  </si>
  <si>
    <t>C0409</t>
  </si>
  <si>
    <t>Hemant Joshi</t>
  </si>
  <si>
    <t>hemant.joshi324@yahoo.com</t>
  </si>
  <si>
    <t>9643385324</t>
  </si>
  <si>
    <t>458787</t>
  </si>
  <si>
    <t>C0410</t>
  </si>
  <si>
    <t>Aayush Pandey</t>
  </si>
  <si>
    <t>aayush.pandey281@gmail.com</t>
  </si>
  <si>
    <t>9690519526</t>
  </si>
  <si>
    <t>276131</t>
  </si>
  <si>
    <t>C0411</t>
  </si>
  <si>
    <t>Geeta Ganguly</t>
  </si>
  <si>
    <t>geeta.ganguly440@gmail.com</t>
  </si>
  <si>
    <t>9856302321</t>
  </si>
  <si>
    <t>114895</t>
  </si>
  <si>
    <t>C0412</t>
  </si>
  <si>
    <t>Priya Menon</t>
  </si>
  <si>
    <t>priya.menon330@hotmail.com</t>
  </si>
  <si>
    <t>9702315095</t>
  </si>
  <si>
    <t>819621</t>
  </si>
  <si>
    <t>C0413</t>
  </si>
  <si>
    <t>Richa Reddy</t>
  </si>
  <si>
    <t>richa.reddy106@gmail.com</t>
  </si>
  <si>
    <t>9916040169</t>
  </si>
  <si>
    <t>285133</t>
  </si>
  <si>
    <t>C0414</t>
  </si>
  <si>
    <t>Hemant Basu</t>
  </si>
  <si>
    <t>hemant.basu533@gmail.com</t>
  </si>
  <si>
    <t>9781373864</t>
  </si>
  <si>
    <t>830141</t>
  </si>
  <si>
    <t>C0415</t>
  </si>
  <si>
    <t>Vijay Verma</t>
  </si>
  <si>
    <t>vijay.verma169@outlook.com</t>
  </si>
  <si>
    <t>9610267514</t>
  </si>
  <si>
    <t>345217</t>
  </si>
  <si>
    <t>C0416</t>
  </si>
  <si>
    <t>Nandita Tiwari</t>
  </si>
  <si>
    <t>nandita.tiwari174@gmail.com</t>
  </si>
  <si>
    <t>9981774320</t>
  </si>
  <si>
    <t>149178</t>
  </si>
  <si>
    <t>C0417</t>
  </si>
  <si>
    <t>Karan Chakraborty</t>
  </si>
  <si>
    <t>karan.chakraborty50@hotmail.com</t>
  </si>
  <si>
    <t>9610598783</t>
  </si>
  <si>
    <t>833255</t>
  </si>
  <si>
    <t>C0418</t>
  </si>
  <si>
    <t>Kavita Yadav</t>
  </si>
  <si>
    <t>kavita.yadav259@gmail.com</t>
  </si>
  <si>
    <t>9682209486</t>
  </si>
  <si>
    <t>838961</t>
  </si>
  <si>
    <t>C0419</t>
  </si>
  <si>
    <t>Umesh Mehta</t>
  </si>
  <si>
    <t>umesh.mehta679@gmail.com</t>
  </si>
  <si>
    <t>9934362008</t>
  </si>
  <si>
    <t>844764</t>
  </si>
  <si>
    <t>C0420</t>
  </si>
  <si>
    <t>Naresh Dey</t>
  </si>
  <si>
    <t>naresh.dey121@gmail.com</t>
  </si>
  <si>
    <t>9657049894</t>
  </si>
  <si>
    <t>318296</t>
  </si>
  <si>
    <t>C0421</t>
  </si>
  <si>
    <t>Swati Jain</t>
  </si>
  <si>
    <t>swati.jain721@gmail.com</t>
  </si>
  <si>
    <t>9686099921</t>
  </si>
  <si>
    <t>684765</t>
  </si>
  <si>
    <t>C0422</t>
  </si>
  <si>
    <t>Sachin Sharma</t>
  </si>
  <si>
    <t>sachin.sharma14@yahoo.com</t>
  </si>
  <si>
    <t>9908245918</t>
  </si>
  <si>
    <t>628105</t>
  </si>
  <si>
    <t>C0423</t>
  </si>
  <si>
    <t>Naresh Basu</t>
  </si>
  <si>
    <t>naresh.basu104@hotmail.com</t>
  </si>
  <si>
    <t>9724103233</t>
  </si>
  <si>
    <t>420401</t>
  </si>
  <si>
    <t>C0424</t>
  </si>
  <si>
    <t>Rajesh Srinivas</t>
  </si>
  <si>
    <t>rajesh.srinivas41@outlook.com</t>
  </si>
  <si>
    <t>9963336264</t>
  </si>
  <si>
    <t>556688</t>
  </si>
  <si>
    <t>C0425</t>
  </si>
  <si>
    <t>priya.prasad142@yahoo.com</t>
  </si>
  <si>
    <t>9776448439</t>
  </si>
  <si>
    <t>568976</t>
  </si>
  <si>
    <t>C0426</t>
  </si>
  <si>
    <t>madhuri.rao117@gmail.com</t>
  </si>
  <si>
    <t>9845102343</t>
  </si>
  <si>
    <t>514452</t>
  </si>
  <si>
    <t>C0427</t>
  </si>
  <si>
    <t>Suresh Reddy</t>
  </si>
  <si>
    <t>suresh.reddy713@yahoo.com</t>
  </si>
  <si>
    <t>9655680551</t>
  </si>
  <si>
    <t>729446</t>
  </si>
  <si>
    <t>C0428</t>
  </si>
  <si>
    <t>Varun Naidu</t>
  </si>
  <si>
    <t>varun.naidu368@hotmail.com</t>
  </si>
  <si>
    <t>9990454742</t>
  </si>
  <si>
    <t>616545</t>
  </si>
  <si>
    <t>C0429</t>
  </si>
  <si>
    <t>Anita Singh</t>
  </si>
  <si>
    <t>anita.singh268@yahoo.com</t>
  </si>
  <si>
    <t>9978262156</t>
  </si>
  <si>
    <t>660311</t>
  </si>
  <si>
    <t>C0430</t>
  </si>
  <si>
    <t>Dinesh Sen</t>
  </si>
  <si>
    <t>dinesh.sen718@outlook.com</t>
  </si>
  <si>
    <t>9955254603</t>
  </si>
  <si>
    <t>615339</t>
  </si>
  <si>
    <t>C0431</t>
  </si>
  <si>
    <t>Ramesh Iyer</t>
  </si>
  <si>
    <t>ramesh.iyer12@yahoo.com</t>
  </si>
  <si>
    <t>9871424522</t>
  </si>
  <si>
    <t>629920</t>
  </si>
  <si>
    <t>C0432</t>
  </si>
  <si>
    <t>Tanvi Pillai</t>
  </si>
  <si>
    <t>tanvi.pillai339@yahoo.com</t>
  </si>
  <si>
    <t>9872155613</t>
  </si>
  <si>
    <t>687236</t>
  </si>
  <si>
    <t>C0433</t>
  </si>
  <si>
    <t>Rohit Qureshi</t>
  </si>
  <si>
    <t>rohit.qureshi455@outlook.com</t>
  </si>
  <si>
    <t>9647255301</t>
  </si>
  <si>
    <t>578784</t>
  </si>
  <si>
    <t>C0434</t>
  </si>
  <si>
    <t>Neha Malhotra</t>
  </si>
  <si>
    <t>neha.malhotra423@gmail.com</t>
  </si>
  <si>
    <t>9894795170</t>
  </si>
  <si>
    <t>205310</t>
  </si>
  <si>
    <t>C0435</t>
  </si>
  <si>
    <t>Nikhil Hazra</t>
  </si>
  <si>
    <t>nikhil.hazra688@gmail.com</t>
  </si>
  <si>
    <t>9782994704</t>
  </si>
  <si>
    <t>166911</t>
  </si>
  <si>
    <t>C0436</t>
  </si>
  <si>
    <t>Sushma Naidu</t>
  </si>
  <si>
    <t>sushma.naidu635@gmail.com</t>
  </si>
  <si>
    <t>9984752869</t>
  </si>
  <si>
    <t>490941</t>
  </si>
  <si>
    <t>C0437</t>
  </si>
  <si>
    <t>Pushpa Karmakar</t>
  </si>
  <si>
    <t>pushpa.karmakar228@gmail.com</t>
  </si>
  <si>
    <t>9790663786</t>
  </si>
  <si>
    <t>416166</t>
  </si>
  <si>
    <t>C0438</t>
  </si>
  <si>
    <t>Anita Menon</t>
  </si>
  <si>
    <t>anita.menon169@gmail.com</t>
  </si>
  <si>
    <t>9984859194</t>
  </si>
  <si>
    <t>222157</t>
  </si>
  <si>
    <t>C0439</t>
  </si>
  <si>
    <t>Siddharth Shah</t>
  </si>
  <si>
    <t>siddharth.shah469@yahoo.com</t>
  </si>
  <si>
    <t>9984822583</t>
  </si>
  <si>
    <t>223000</t>
  </si>
  <si>
    <t>C0440</t>
  </si>
  <si>
    <t>kavita.naidu914@gmail.com</t>
  </si>
  <si>
    <t>9953506246</t>
  </si>
  <si>
    <t>638689</t>
  </si>
  <si>
    <t>C0441</t>
  </si>
  <si>
    <t>Ajay Iyer</t>
  </si>
  <si>
    <t>ajay.iyer567@hotmail.com</t>
  </si>
  <si>
    <t>9859272122</t>
  </si>
  <si>
    <t>295810</t>
  </si>
  <si>
    <t>C0442</t>
  </si>
  <si>
    <t>Aarti Karmakar</t>
  </si>
  <si>
    <t>aarti.karmakar615@outlook.com</t>
  </si>
  <si>
    <t>9870642058</t>
  </si>
  <si>
    <t>549001</t>
  </si>
  <si>
    <t>C0443</t>
  </si>
  <si>
    <t>Madhuri Chopra</t>
  </si>
  <si>
    <t>madhuri.chopra464@yahoo.com</t>
  </si>
  <si>
    <t>9821591039</t>
  </si>
  <si>
    <t>844018</t>
  </si>
  <si>
    <t>C0444</t>
  </si>
  <si>
    <t>Abhishek Biswas</t>
  </si>
  <si>
    <t>abhishek.biswas755@hotmail.com</t>
  </si>
  <si>
    <t>9716684897</t>
  </si>
  <si>
    <t>329899</t>
  </si>
  <si>
    <t>C0445</t>
  </si>
  <si>
    <t>Ravi Hazra</t>
  </si>
  <si>
    <t>ravi.hazra999@hotmail.com</t>
  </si>
  <si>
    <t>9891247892</t>
  </si>
  <si>
    <t>777814</t>
  </si>
  <si>
    <t>C0446</t>
  </si>
  <si>
    <t>Radha Banerjee</t>
  </si>
  <si>
    <t>radha.banerjee585@hotmail.com</t>
  </si>
  <si>
    <t>9824131757</t>
  </si>
  <si>
    <t>669837</t>
  </si>
  <si>
    <t>C0447</t>
  </si>
  <si>
    <t>Neha Patel</t>
  </si>
  <si>
    <t>neha.patel391@gmail.com</t>
  </si>
  <si>
    <t>9959839973</t>
  </si>
  <si>
    <t>319612</t>
  </si>
  <si>
    <t>C0448</t>
  </si>
  <si>
    <t>Manoj Babu</t>
  </si>
  <si>
    <t>manoj.babu64@outlook.com</t>
  </si>
  <si>
    <t>9709522149</t>
  </si>
  <si>
    <t>143875</t>
  </si>
  <si>
    <t>C0449</t>
  </si>
  <si>
    <t>Rajiv Mitra</t>
  </si>
  <si>
    <t>rajiv.mitra576@hotmail.com</t>
  </si>
  <si>
    <t>9947419607</t>
  </si>
  <si>
    <t>517777</t>
  </si>
  <si>
    <t>C0450</t>
  </si>
  <si>
    <t>Varun Lal</t>
  </si>
  <si>
    <t>varun.lal427@hotmail.com</t>
  </si>
  <si>
    <t>9767854825</t>
  </si>
  <si>
    <t>166415</t>
  </si>
  <si>
    <t>C0451</t>
  </si>
  <si>
    <t>Shanti Srinivas</t>
  </si>
  <si>
    <t>shanti.srinivas892@gmail.com</t>
  </si>
  <si>
    <t>9721090426</t>
  </si>
  <si>
    <t>848857</t>
  </si>
  <si>
    <t>C0452</t>
  </si>
  <si>
    <t>Ajay Chakraborty</t>
  </si>
  <si>
    <t>ajay.chakraborty202@yahoo.com</t>
  </si>
  <si>
    <t>9757935461</t>
  </si>
  <si>
    <t>296044</t>
  </si>
  <si>
    <t>C0453</t>
  </si>
  <si>
    <t>Ajay Tiwari</t>
  </si>
  <si>
    <t>ajay.tiwari123@gmail.com</t>
  </si>
  <si>
    <t>9830053380</t>
  </si>
  <si>
    <t>693635</t>
  </si>
  <si>
    <t>C0454</t>
  </si>
  <si>
    <t>Gaurav Sharma</t>
  </si>
  <si>
    <t>gaurav.sharma339@gmail.com</t>
  </si>
  <si>
    <t>9683110676</t>
  </si>
  <si>
    <t>271169</t>
  </si>
  <si>
    <t>C0455</t>
  </si>
  <si>
    <t>Pratik Raju</t>
  </si>
  <si>
    <t>pratik.raju587@gmail.com</t>
  </si>
  <si>
    <t>9639127576</t>
  </si>
  <si>
    <t>660916</t>
  </si>
  <si>
    <t>C0456</t>
  </si>
  <si>
    <t>Yash Kumar</t>
  </si>
  <si>
    <t>yash.kumar426@gmail.com</t>
  </si>
  <si>
    <t>9816582888</t>
  </si>
  <si>
    <t>476375</t>
  </si>
  <si>
    <t>C0457</t>
  </si>
  <si>
    <t>Girish Chopra</t>
  </si>
  <si>
    <t>girish.chopra224@hotmail.com</t>
  </si>
  <si>
    <t>9884809427</t>
  </si>
  <si>
    <t>698602</t>
  </si>
  <si>
    <t>C0458</t>
  </si>
  <si>
    <t>Lata Pillai</t>
  </si>
  <si>
    <t>lata.pillai927@hotmail.com</t>
  </si>
  <si>
    <t>9730903711</t>
  </si>
  <si>
    <t>825706</t>
  </si>
  <si>
    <t>C0459</t>
  </si>
  <si>
    <t>Aarti Agarwal</t>
  </si>
  <si>
    <t>aarti.agarwal554@yahoo.com</t>
  </si>
  <si>
    <t>9877491296</t>
  </si>
  <si>
    <t>649292</t>
  </si>
  <si>
    <t>C0460</t>
  </si>
  <si>
    <t>Anita Chopra</t>
  </si>
  <si>
    <t>anita.chopra920@outlook.com</t>
  </si>
  <si>
    <t>9875895116</t>
  </si>
  <si>
    <t>210617</t>
  </si>
  <si>
    <t>C0461</t>
  </si>
  <si>
    <t>Shailesh Singh</t>
  </si>
  <si>
    <t>shailesh.singh216@yahoo.com</t>
  </si>
  <si>
    <t>9967974104</t>
  </si>
  <si>
    <t>218975</t>
  </si>
  <si>
    <t>C0462</t>
  </si>
  <si>
    <t>Seema Mukherjee</t>
  </si>
  <si>
    <t>seema.mukherjee158@gmail.com</t>
  </si>
  <si>
    <t>9984865729</t>
  </si>
  <si>
    <t>149726</t>
  </si>
  <si>
    <t>C0463</t>
  </si>
  <si>
    <t>Gaurav Yadav</t>
  </si>
  <si>
    <t>gaurav.yadav73@gmail.com</t>
  </si>
  <si>
    <t>9722216316</t>
  </si>
  <si>
    <t>537433</t>
  </si>
  <si>
    <t>C0464</t>
  </si>
  <si>
    <t>Abhishek Patel</t>
  </si>
  <si>
    <t>abhishek.patel399@hotmail.com</t>
  </si>
  <si>
    <t>9603166960</t>
  </si>
  <si>
    <t>758386</t>
  </si>
  <si>
    <t>C0465</t>
  </si>
  <si>
    <t>Yash Mehta</t>
  </si>
  <si>
    <t>yash.mehta297@outlook.com</t>
  </si>
  <si>
    <t>9925647559</t>
  </si>
  <si>
    <t>405192</t>
  </si>
  <si>
    <t>C0466</t>
  </si>
  <si>
    <t>Umesh Patel</t>
  </si>
  <si>
    <t>umesh.patel486@gmail.com</t>
  </si>
  <si>
    <t>9718039513</t>
  </si>
  <si>
    <t>519985</t>
  </si>
  <si>
    <t>C0467</t>
  </si>
  <si>
    <t>Piyush Mukherjee</t>
  </si>
  <si>
    <t>piyush.mukherjee909@hotmail.com</t>
  </si>
  <si>
    <t>9947860464</t>
  </si>
  <si>
    <t>121691</t>
  </si>
  <si>
    <t>C0468</t>
  </si>
  <si>
    <t>Anita Sharma</t>
  </si>
  <si>
    <t>anita.sharma587@gmail.com</t>
  </si>
  <si>
    <t>9888381311</t>
  </si>
  <si>
    <t>199261</t>
  </si>
  <si>
    <t>C0469</t>
  </si>
  <si>
    <t>Harish Menon</t>
  </si>
  <si>
    <t>harish.menon662@yahoo.com</t>
  </si>
  <si>
    <t>9686411714</t>
  </si>
  <si>
    <t>341512</t>
  </si>
  <si>
    <t>C0470</t>
  </si>
  <si>
    <t>Nisha Karmakar</t>
  </si>
  <si>
    <t>nisha.karmakar819@gmail.com</t>
  </si>
  <si>
    <t>9629199497</t>
  </si>
  <si>
    <t>593671</t>
  </si>
  <si>
    <t>C0471</t>
  </si>
  <si>
    <t>Sheela Singh</t>
  </si>
  <si>
    <t>sheela.singh257@gmail.com</t>
  </si>
  <si>
    <t>9989547765</t>
  </si>
  <si>
    <t>620856</t>
  </si>
  <si>
    <t>C0472</t>
  </si>
  <si>
    <t>Amit Chopra</t>
  </si>
  <si>
    <t>Amit</t>
  </si>
  <si>
    <t>amit.chopra635@gmail.com</t>
  </si>
  <si>
    <t>9703883753</t>
  </si>
  <si>
    <t>619462</t>
  </si>
  <si>
    <t>C0473</t>
  </si>
  <si>
    <t>Sunil Banerjee</t>
  </si>
  <si>
    <t>sunil.banerjee157@gmail.com</t>
  </si>
  <si>
    <t>9795685920</t>
  </si>
  <si>
    <t>559112</t>
  </si>
  <si>
    <t>C0474</t>
  </si>
  <si>
    <t>Arun Biswas</t>
  </si>
  <si>
    <t>arun.biswas758@outlook.com</t>
  </si>
  <si>
    <t>9792997578</t>
  </si>
  <si>
    <t>822591</t>
  </si>
  <si>
    <t>C0475</t>
  </si>
  <si>
    <t>Lata Jain</t>
  </si>
  <si>
    <t>lata.jain794@gmail.com</t>
  </si>
  <si>
    <t>9896176558</t>
  </si>
  <si>
    <t>294308</t>
  </si>
  <si>
    <t>C0476</t>
  </si>
  <si>
    <t>Kamlesh Verma</t>
  </si>
  <si>
    <t>kamlesh.verma270@hotmail.com</t>
  </si>
  <si>
    <t>9641050426</t>
  </si>
  <si>
    <t>129535</t>
  </si>
  <si>
    <t>C0477</t>
  </si>
  <si>
    <t>Brijesh Malhotra</t>
  </si>
  <si>
    <t>brijesh.malhotra788@gmail.com</t>
  </si>
  <si>
    <t>9619679705</t>
  </si>
  <si>
    <t>383276</t>
  </si>
  <si>
    <t>C0478</t>
  </si>
  <si>
    <t>Girish Malhotra</t>
  </si>
  <si>
    <t>girish.malhotra229@hotmail.com</t>
  </si>
  <si>
    <t>9993648153</t>
  </si>
  <si>
    <t>250384</t>
  </si>
  <si>
    <t>C0479</t>
  </si>
  <si>
    <t>Siddharth Kapoor</t>
  </si>
  <si>
    <t>siddharth.kapoor515@gmail.com</t>
  </si>
  <si>
    <t>9728248154</t>
  </si>
  <si>
    <t>827395</t>
  </si>
  <si>
    <t>C0480</t>
  </si>
  <si>
    <t>Sanjay Rao</t>
  </si>
  <si>
    <t>sanjay.rao580@hotmail.com</t>
  </si>
  <si>
    <t>9678490018</t>
  </si>
  <si>
    <t>486224</t>
  </si>
  <si>
    <t>C0481</t>
  </si>
  <si>
    <t>arjun.agarwal379@gmail.com</t>
  </si>
  <si>
    <t>9958944161</t>
  </si>
  <si>
    <t>653042</t>
  </si>
  <si>
    <t>C0482</t>
  </si>
  <si>
    <t>Hemant Krishnan</t>
  </si>
  <si>
    <t>hemant.krishnan48@gmail.com</t>
  </si>
  <si>
    <t>9948174073</t>
  </si>
  <si>
    <t>218239</t>
  </si>
  <si>
    <t>C0483</t>
  </si>
  <si>
    <t>Brijesh Vyas</t>
  </si>
  <si>
    <t>brijesh.vyas584@gmail.com</t>
  </si>
  <si>
    <t>9950939263</t>
  </si>
  <si>
    <t>493041</t>
  </si>
  <si>
    <t>C0484</t>
  </si>
  <si>
    <t>Varun Nambiar</t>
  </si>
  <si>
    <t>varun.nambiar229@gmail.com</t>
  </si>
  <si>
    <t>9789460672</t>
  </si>
  <si>
    <t>620511</t>
  </si>
  <si>
    <t>C0485</t>
  </si>
  <si>
    <t>Yash Krishnan</t>
  </si>
  <si>
    <t>yash.krishnan143@gmail.com</t>
  </si>
  <si>
    <t>9723475355</t>
  </si>
  <si>
    <t>649535</t>
  </si>
  <si>
    <t>C0486</t>
  </si>
  <si>
    <t>Nisha Kumar</t>
  </si>
  <si>
    <t>nisha.kumar371@yahoo.com</t>
  </si>
  <si>
    <t>9954930539</t>
  </si>
  <si>
    <t>544753</t>
  </si>
  <si>
    <t>C0487</t>
  </si>
  <si>
    <t>Rajiv Rastogi</t>
  </si>
  <si>
    <t>rajiv.rastogi491@gmail.com</t>
  </si>
  <si>
    <t>9686568426</t>
  </si>
  <si>
    <t>540859</t>
  </si>
  <si>
    <t>C0488</t>
  </si>
  <si>
    <t>Sarita Banerjee</t>
  </si>
  <si>
    <t>sarita.banerjee165@gmail.com</t>
  </si>
  <si>
    <t>9875223018</t>
  </si>
  <si>
    <t>710067</t>
  </si>
  <si>
    <t>C0489</t>
  </si>
  <si>
    <t>Nisha Upadhyay</t>
  </si>
  <si>
    <t>nisha.upadhyay982@gmail.com</t>
  </si>
  <si>
    <t>9902582968</t>
  </si>
  <si>
    <t>129524</t>
  </si>
  <si>
    <t>C0490</t>
  </si>
  <si>
    <t>Lata Chakraborty</t>
  </si>
  <si>
    <t>lata.chakraborty483@yahoo.com</t>
  </si>
  <si>
    <t>9717770048</t>
  </si>
  <si>
    <t>740025</t>
  </si>
  <si>
    <t>C0491</t>
  </si>
  <si>
    <t>Preeti Kumar</t>
  </si>
  <si>
    <t>preeti.kumar742@outlook.com</t>
  </si>
  <si>
    <t>9920261411</t>
  </si>
  <si>
    <t>182187</t>
  </si>
  <si>
    <t>C0492</t>
  </si>
  <si>
    <t>neha.patel208@gmail.com</t>
  </si>
  <si>
    <t>9870775957</t>
  </si>
  <si>
    <t>550186</t>
  </si>
  <si>
    <t>C0493</t>
  </si>
  <si>
    <t>Rajesh Rastogi</t>
  </si>
  <si>
    <t>rajesh.rastogi924@yahoo.com</t>
  </si>
  <si>
    <t>9885309281</t>
  </si>
  <si>
    <t>233224</t>
  </si>
  <si>
    <t>C0494</t>
  </si>
  <si>
    <t>Asha Chandra</t>
  </si>
  <si>
    <t>asha.chandra2@hotmail.com</t>
  </si>
  <si>
    <t>9948553635</t>
  </si>
  <si>
    <t>657403</t>
  </si>
  <si>
    <t>C0495</t>
  </si>
  <si>
    <t>Lalit Mishra</t>
  </si>
  <si>
    <t>lalit.mishra961@outlook.com</t>
  </si>
  <si>
    <t>9788182816</t>
  </si>
  <si>
    <t>840550</t>
  </si>
  <si>
    <t>C0496</t>
  </si>
  <si>
    <t>Gaurav Rastogi</t>
  </si>
  <si>
    <t>gaurav.rastogi785@gmail.com</t>
  </si>
  <si>
    <t>9644999221</t>
  </si>
  <si>
    <t>737354</t>
  </si>
  <si>
    <t>C0497</t>
  </si>
  <si>
    <t>Vivek Sharma</t>
  </si>
  <si>
    <t>vivek.sharma727@yahoo.com</t>
  </si>
  <si>
    <t>9910304484</t>
  </si>
  <si>
    <t>233552</t>
  </si>
  <si>
    <t>C0498</t>
  </si>
  <si>
    <t>Sunil Murthy</t>
  </si>
  <si>
    <t>sunil.murthy324@gmail.com</t>
  </si>
  <si>
    <t>9657221430</t>
  </si>
  <si>
    <t>556768</t>
  </si>
  <si>
    <t>C0499</t>
  </si>
  <si>
    <t>Lalit Zutshi</t>
  </si>
  <si>
    <t>lalit.zutshi375@hotmail.com</t>
  </si>
  <si>
    <t>9813381568</t>
  </si>
  <si>
    <t>543301</t>
  </si>
  <si>
    <t>C0500</t>
  </si>
  <si>
    <t>monika.yadav569@gmail.com</t>
  </si>
  <si>
    <t>9764633121</t>
  </si>
  <si>
    <t>471083</t>
  </si>
  <si>
    <t>OrderID</t>
  </si>
  <si>
    <t>ProductID</t>
  </si>
  <si>
    <t>SalesRepID</t>
  </si>
  <si>
    <t>OrderDate</t>
  </si>
  <si>
    <t>ShipDate</t>
  </si>
  <si>
    <t>DeliveryDate</t>
  </si>
  <si>
    <t>Quantity</t>
  </si>
  <si>
    <t>UnitPrice</t>
  </si>
  <si>
    <t>Discount</t>
  </si>
  <si>
    <t>DiscountAmount</t>
  </si>
  <si>
    <t>Revenue</t>
  </si>
  <si>
    <t>Profit</t>
  </si>
  <si>
    <t>Status</t>
  </si>
  <si>
    <t>PaymentMethod</t>
  </si>
  <si>
    <t>Channel</t>
  </si>
  <si>
    <t>Rating</t>
  </si>
  <si>
    <t>OrderYear</t>
  </si>
  <si>
    <t>OrderMonth</t>
  </si>
  <si>
    <t>OrderQuarter</t>
  </si>
  <si>
    <t>DaysToShip</t>
  </si>
  <si>
    <t>ORD-00001</t>
  </si>
  <si>
    <t>SR03</t>
  </si>
  <si>
    <t>Completed</t>
  </si>
  <si>
    <t>UPI</t>
  </si>
  <si>
    <t>Affiliate</t>
  </si>
  <si>
    <t>March</t>
  </si>
  <si>
    <t>Q1</t>
  </si>
  <si>
    <t>ORD-00002</t>
  </si>
  <si>
    <t>SR07</t>
  </si>
  <si>
    <t>Pending</t>
  </si>
  <si>
    <t>Credit Card</t>
  </si>
  <si>
    <t>Social Media</t>
  </si>
  <si>
    <t>February</t>
  </si>
  <si>
    <t>ORD-00003</t>
  </si>
  <si>
    <t>Cash on Delivery</t>
  </si>
  <si>
    <t>Website</t>
  </si>
  <si>
    <t>December</t>
  </si>
  <si>
    <t>Q4</t>
  </si>
  <si>
    <t>ORD-00004</t>
  </si>
  <si>
    <t>May</t>
  </si>
  <si>
    <t>Q2</t>
  </si>
  <si>
    <t>ORD-00005</t>
  </si>
  <si>
    <t>SR06</t>
  </si>
  <si>
    <t>Net Banking</t>
  </si>
  <si>
    <t>June</t>
  </si>
  <si>
    <t>ORD-00006</t>
  </si>
  <si>
    <t>August</t>
  </si>
  <si>
    <t>Q3</t>
  </si>
  <si>
    <t>ORD-00007</t>
  </si>
  <si>
    <t>SR05</t>
  </si>
  <si>
    <t>ORD-00008</t>
  </si>
  <si>
    <t>EMI</t>
  </si>
  <si>
    <t>Mobile App</t>
  </si>
  <si>
    <t>ORD-00009</t>
  </si>
  <si>
    <t>Cancelled</t>
  </si>
  <si>
    <t>Debit Card</t>
  </si>
  <si>
    <t>April</t>
  </si>
  <si>
    <t>ORD-00010</t>
  </si>
  <si>
    <t>SR08</t>
  </si>
  <si>
    <t>November</t>
  </si>
  <si>
    <t>ORD-00011</t>
  </si>
  <si>
    <t>October</t>
  </si>
  <si>
    <t>ORD-00012</t>
  </si>
  <si>
    <t>September</t>
  </si>
  <si>
    <t>ORD-00013</t>
  </si>
  <si>
    <t>July</t>
  </si>
  <si>
    <t>ORD-00014</t>
  </si>
  <si>
    <t>Retail Store</t>
  </si>
  <si>
    <t>January</t>
  </si>
  <si>
    <t>ORD-00015</t>
  </si>
  <si>
    <t>ORD-00016</t>
  </si>
  <si>
    <t>ORD-00017</t>
  </si>
  <si>
    <t>ORD-00018</t>
  </si>
  <si>
    <t>ORD-00019</t>
  </si>
  <si>
    <t>ORD-00020</t>
  </si>
  <si>
    <t>ORD-00021</t>
  </si>
  <si>
    <t>ORD-00022</t>
  </si>
  <si>
    <t>SR01</t>
  </si>
  <si>
    <t>ORD-00023</t>
  </si>
  <si>
    <t>ORD-00024</t>
  </si>
  <si>
    <t>ORD-00025</t>
  </si>
  <si>
    <t>ORD-00026</t>
  </si>
  <si>
    <t>SR02</t>
  </si>
  <si>
    <t>ORD-00027</t>
  </si>
  <si>
    <t>ORD-00028</t>
  </si>
  <si>
    <t>ORD-00029</t>
  </si>
  <si>
    <t>SR04</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</si>
  <si>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</si>
  <si>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</si>
  <si>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</si>
  <si>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</si>
  <si>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</si>
  <si>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</si>
  <si>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</si>
  <si>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</si>
  <si>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</si>
  <si>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</si>
  <si>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</si>
  <si>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</si>
  <si>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</si>
  <si>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</si>
  <si>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</si>
  <si>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</si>
  <si>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</si>
  <si>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</si>
  <si>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</si>
  <si>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</si>
  <si>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</si>
  <si>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</si>
  <si>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</si>
  <si>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</si>
  <si>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</si>
  <si>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</si>
  <si>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</si>
  <si>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</si>
  <si>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</si>
  <si>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</si>
  <si>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</si>
  <si>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</si>
  <si>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</si>
  <si>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</si>
  <si>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</si>
  <si>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</si>
  <si>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</si>
  <si>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</si>
  <si>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</si>
  <si>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</si>
  <si>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</si>
  <si>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</si>
  <si>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</si>
  <si>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</si>
  <si>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</si>
  <si>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</si>
  <si>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</si>
  <si>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</si>
  <si>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</si>
  <si>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</si>
  <si>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</si>
  <si>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</si>
  <si>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</si>
  <si>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</si>
  <si>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</si>
  <si>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</si>
  <si>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</si>
  <si>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</si>
  <si>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</si>
  <si>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</si>
  <si>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</si>
  <si>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</si>
  <si>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</si>
  <si>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</si>
  <si>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</si>
  <si>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</si>
  <si>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</si>
  <si>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</si>
  <si>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</si>
  <si>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</si>
  <si>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</si>
  <si>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</si>
  <si>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</si>
  <si>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</si>
  <si>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</si>
  <si>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</si>
  <si>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</si>
  <si>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</si>
  <si>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</si>
  <si>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</si>
  <si>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</si>
  <si>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</si>
  <si>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</si>
  <si>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</si>
  <si>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</si>
  <si>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</si>
  <si>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</si>
  <si>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</si>
  <si>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</si>
  <si>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</si>
  <si>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</si>
  <si>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</si>
  <si>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</si>
  <si>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</si>
  <si>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</si>
  <si>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</si>
  <si>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</si>
  <si>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</si>
  <si>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</si>
  <si>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</si>
  <si>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</si>
  <si>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</si>
  <si>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</si>
  <si>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</si>
  <si>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</si>
  <si>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</si>
  <si>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</si>
  <si>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</si>
  <si>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</si>
  <si>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</si>
  <si>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</si>
  <si>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</si>
  <si>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</si>
  <si>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</si>
  <si>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</si>
  <si>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</si>
  <si>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</si>
  <si>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</si>
  <si>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</si>
  <si>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</si>
  <si>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</si>
  <si>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</si>
  <si>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</si>
  <si>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</si>
  <si>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</si>
  <si>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</si>
  <si>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</si>
  <si>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</si>
  <si>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</si>
  <si>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</si>
  <si>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</si>
  <si>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</si>
  <si>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</si>
  <si>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</si>
  <si>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</si>
  <si>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</si>
  <si>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</si>
  <si>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</si>
  <si>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</si>
  <si>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</si>
  <si>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</si>
  <si>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</si>
  <si>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</si>
  <si>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</si>
  <si>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</si>
  <si>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</si>
  <si>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</si>
  <si>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</si>
  <si>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</si>
  <si>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</si>
  <si>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</si>
  <si>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</si>
  <si>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</si>
  <si>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</si>
  <si>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</si>
  <si>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</si>
  <si>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</si>
  <si>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</si>
  <si>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</si>
  <si>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</si>
  <si>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</si>
  <si>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</si>
  <si>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</si>
  <si>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</si>
  <si>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</si>
  <si>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</si>
  <si>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</si>
  <si>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</si>
  <si>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</si>
  <si>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</si>
  <si>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</si>
  <si>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</si>
  <si>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</si>
  <si>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</si>
  <si>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</si>
  <si>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</si>
  <si>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</si>
  <si>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</si>
  <si>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</si>
  <si>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</si>
  <si>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</si>
  <si>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</si>
  <si>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</si>
  <si>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</si>
  <si>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</si>
  <si>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</si>
  <si>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</si>
  <si>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</si>
  <si>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</si>
  <si>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</si>
  <si>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</si>
  <si>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</si>
  <si>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</si>
  <si>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</si>
  <si>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</si>
  <si>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</si>
  <si>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</si>
  <si>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</si>
  <si>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</si>
  <si>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</si>
  <si>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</si>
  <si>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</si>
  <si>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</si>
  <si>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</si>
  <si>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</si>
  <si>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</si>
  <si>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</si>
  <si>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</si>
  <si>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</si>
  <si>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</si>
  <si>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</si>
  <si>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</si>
  <si>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</si>
  <si>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</si>
  <si>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</si>
  <si>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</si>
  <si>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</si>
  <si>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</si>
  <si>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</si>
  <si>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</si>
  <si>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</si>
  <si>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</si>
  <si>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</si>
  <si>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</si>
  <si>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</si>
  <si>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</si>
  <si>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</si>
  <si>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</si>
  <si>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</si>
  <si>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</si>
  <si>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</si>
  <si>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</si>
  <si>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</si>
  <si>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</si>
  <si>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</si>
  <si>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</si>
  <si>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</si>
  <si>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</si>
  <si>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</si>
  <si>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</si>
  <si>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</si>
  <si>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</si>
  <si>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</si>
  <si>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</si>
  <si>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</si>
  <si>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</si>
  <si>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</si>
  <si>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</si>
  <si>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</si>
  <si>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</si>
  <si>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</si>
  <si>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</si>
  <si>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</si>
  <si>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</si>
  <si>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</si>
  <si>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</si>
  <si>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</si>
  <si>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</si>
  <si>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</si>
  <si>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</si>
  <si>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</si>
  <si>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</si>
  <si>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</si>
  <si>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</si>
  <si>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</si>
  <si>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</si>
  <si>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</si>
  <si>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</si>
  <si>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</si>
  <si>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</si>
  <si>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</si>
  <si>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</si>
  <si>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</si>
  <si>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</si>
  <si>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</si>
  <si>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</si>
  <si>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</si>
  <si>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</si>
  <si>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</si>
  <si>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</si>
  <si>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</si>
  <si>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</si>
  <si>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</si>
  <si>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</si>
  <si>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</si>
  <si>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</si>
  <si>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</si>
  <si>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</si>
  <si>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</si>
  <si>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</si>
  <si>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</si>
  <si>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</si>
  <si>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</si>
  <si>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</si>
  <si>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</si>
  <si>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</si>
  <si>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</si>
  <si>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</si>
  <si>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</si>
  <si>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</si>
  <si>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</si>
  <si>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</si>
  <si>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</si>
  <si>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</si>
  <si>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</si>
  <si>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</si>
  <si>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</si>
  <si>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</si>
  <si>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</si>
  <si>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</si>
  <si>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</si>
  <si>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</si>
  <si>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</si>
  <si>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</si>
  <si>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</si>
  <si>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</si>
  <si>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</si>
  <si>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</si>
  <si>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</si>
  <si>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</si>
  <si>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</si>
  <si>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</si>
  <si>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</si>
  <si>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</si>
  <si>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</si>
  <si>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</si>
  <si>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</si>
  <si>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</si>
  <si>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</si>
  <si>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</si>
  <si>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</si>
  <si>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</si>
  <si>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</si>
  <si>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</si>
  <si>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</si>
  <si>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</si>
  <si>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</si>
  <si>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</si>
  <si>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</si>
  <si>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</si>
  <si>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</si>
  <si>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</si>
  <si>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</si>
  <si>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</si>
  <si>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</si>
  <si>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</si>
  <si>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</si>
  <si>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</si>
  <si>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</si>
  <si>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</si>
  <si>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</si>
  <si>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</si>
  <si>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</si>
  <si>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</si>
  <si>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</si>
  <si>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</si>
  <si>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</si>
  <si>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</si>
  <si>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</si>
  <si>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</si>
  <si>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</si>
  <si>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</si>
  <si>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</si>
  <si>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</si>
  <si>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</si>
  <si>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</si>
  <si>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</si>
  <si>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</si>
  <si>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</si>
  <si>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</si>
  <si>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</si>
  <si>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</si>
  <si>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</si>
  <si>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</si>
  <si>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</si>
  <si>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</si>
  <si>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</si>
  <si>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</si>
  <si>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</si>
  <si>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</si>
  <si>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</si>
  <si>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</si>
  <si>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</si>
  <si>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</si>
  <si>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</si>
  <si>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</si>
  <si>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</si>
  <si>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</si>
  <si>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</si>
  <si>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</si>
  <si>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</si>
  <si>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</si>
  <si>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</si>
  <si>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</si>
  <si>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</si>
  <si>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</si>
  <si>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</si>
  <si>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</si>
  <si>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</si>
  <si>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</si>
  <si>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</si>
  <si>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</si>
  <si>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</si>
  <si>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</si>
  <si>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</si>
  <si>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</si>
  <si>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</si>
  <si>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</si>
  <si>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</si>
  <si>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</si>
  <si>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</si>
  <si>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</si>
  <si>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</si>
  <si>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</si>
  <si>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</si>
  <si>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</si>
  <si>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</si>
  <si>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</si>
  <si>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</si>
  <si>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</si>
  <si>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</si>
  <si>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</si>
  <si>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</si>
  <si>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</si>
  <si>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</si>
  <si>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</si>
  <si>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</si>
  <si>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</si>
  <si>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</si>
  <si>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</si>
  <si>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</si>
  <si>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</si>
  <si>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</si>
  <si>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</si>
  <si>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</si>
  <si>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</si>
  <si>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</si>
  <si>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</si>
  <si>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</si>
  <si>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</si>
  <si>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</si>
  <si>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</si>
  <si>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</si>
  <si>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</si>
  <si>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</si>
  <si>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</si>
  <si>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</si>
  <si>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</si>
  <si>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</si>
  <si>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</si>
  <si>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</si>
  <si>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</si>
  <si>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</si>
  <si>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</si>
  <si>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</si>
  <si>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</si>
  <si>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</si>
  <si>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</si>
  <si>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</si>
  <si>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</si>
  <si>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</si>
  <si>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</si>
  <si>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</si>
  <si>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</si>
  <si>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</si>
  <si>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</si>
  <si>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</si>
  <si>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</si>
  <si>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</si>
  <si>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</si>
  <si>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</si>
  <si>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ProductName</t>
  </si>
  <si>
    <t>Brand</t>
  </si>
  <si>
    <t>Category</t>
  </si>
  <si>
    <t>SubCategory</t>
  </si>
  <si>
    <t>CostPrice</t>
  </si>
  <si>
    <t>GrossMargin</t>
  </si>
  <si>
    <t>StockQty</t>
  </si>
  <si>
    <t>TotalReviews</t>
  </si>
  <si>
    <t>Warranty</t>
  </si>
  <si>
    <t>IsActive</t>
  </si>
  <si>
    <t>LaunchDate</t>
  </si>
  <si>
    <t>ProfitPerUnit</t>
  </si>
  <si>
    <t>PriceTier</t>
  </si>
  <si>
    <t>P0001</t>
  </si>
  <si>
    <t>SanDisk A95512GB</t>
  </si>
  <si>
    <t>SanDisk</t>
  </si>
  <si>
    <t>Electronics</t>
  </si>
  <si>
    <t>Smartphones</t>
  </si>
  <si>
    <t>70.4%</t>
  </si>
  <si>
    <t>1 Year</t>
  </si>
  <si>
    <t>Yes</t>
  </si>
  <si>
    <t>Mid-Range</t>
  </si>
  <si>
    <t>P0002</t>
  </si>
  <si>
    <t>Samsung S30256GB</t>
  </si>
  <si>
    <t>Samsung</t>
  </si>
  <si>
    <t>Laptops</t>
  </si>
  <si>
    <t>37.0%</t>
  </si>
  <si>
    <t>6 Months</t>
  </si>
  <si>
    <t>Premium</t>
  </si>
  <si>
    <t>P0003</t>
  </si>
  <si>
    <t>Apple Plus44</t>
  </si>
  <si>
    <t>Apple</t>
  </si>
  <si>
    <t>Tablets</t>
  </si>
  <si>
    <t>62.4%</t>
  </si>
  <si>
    <t>P0004</t>
  </si>
  <si>
    <t>Garmin Neo34Black</t>
  </si>
  <si>
    <t>Garmin</t>
  </si>
  <si>
    <t>Headphones</t>
  </si>
  <si>
    <t>34.9%</t>
  </si>
  <si>
    <t>Entry</t>
  </si>
  <si>
    <t>P0005</t>
  </si>
  <si>
    <t>Gigabyte X64GB</t>
  </si>
  <si>
    <t>Gigabyte</t>
  </si>
  <si>
    <t>Earbuds</t>
  </si>
  <si>
    <t>16.2%</t>
  </si>
  <si>
    <t>Budget</t>
  </si>
  <si>
    <t>P0006</t>
  </si>
  <si>
    <t>SanDisk M48Black</t>
  </si>
  <si>
    <t>Speakers</t>
  </si>
  <si>
    <t>69.0%</t>
  </si>
  <si>
    <t>2 Years</t>
  </si>
  <si>
    <t>P0007</t>
  </si>
  <si>
    <t>Bose Plus35Gold</t>
  </si>
  <si>
    <t>Smartwatches</t>
  </si>
  <si>
    <t>65.1%</t>
  </si>
  <si>
    <t>P0008</t>
  </si>
  <si>
    <t>Motorola X2816GB</t>
  </si>
  <si>
    <t>Motorola</t>
  </si>
  <si>
    <t>Fitness Bands</t>
  </si>
  <si>
    <t>43.6%</t>
  </si>
  <si>
    <t>P0009</t>
  </si>
  <si>
    <t>WD Max34Green</t>
  </si>
  <si>
    <t>WD</t>
  </si>
  <si>
    <t>Monitors</t>
  </si>
  <si>
    <t>40.9%</t>
  </si>
  <si>
    <t>P0010</t>
  </si>
  <si>
    <t>TCL X20128GB</t>
  </si>
  <si>
    <t>TCL</t>
  </si>
  <si>
    <t>Accessories</t>
  </si>
  <si>
    <t>Keyboards</t>
  </si>
  <si>
    <t>85.9%</t>
  </si>
  <si>
    <t>P0011</t>
  </si>
  <si>
    <t>HyperX Max216GB</t>
  </si>
  <si>
    <t>HyperX</t>
  </si>
  <si>
    <t>Mice</t>
  </si>
  <si>
    <t>80.9%</t>
  </si>
  <si>
    <t>3 Years</t>
  </si>
  <si>
    <t>P0012</t>
  </si>
  <si>
    <t>Bose A93Gold</t>
  </si>
  <si>
    <t>Webcams</t>
  </si>
  <si>
    <t>59.9%</t>
  </si>
  <si>
    <t>P0013</t>
  </si>
  <si>
    <t>SanDisk Neo26Red</t>
  </si>
  <si>
    <t>Power Banks</t>
  </si>
  <si>
    <t>40.5%</t>
  </si>
  <si>
    <t>P0014</t>
  </si>
  <si>
    <t>Samsung Lite40512GB</t>
  </si>
  <si>
    <t>USB Hubs</t>
  </si>
  <si>
    <t>75.7%</t>
  </si>
  <si>
    <t>P0015</t>
  </si>
  <si>
    <t>TCL M17Green</t>
  </si>
  <si>
    <t>Cables</t>
  </si>
  <si>
    <t>62.1%</t>
  </si>
  <si>
    <t>No</t>
  </si>
  <si>
    <t>P0016</t>
  </si>
  <si>
    <t>iBall Plus8632GB</t>
  </si>
  <si>
    <t>iBall</t>
  </si>
  <si>
    <t>Chargers</t>
  </si>
  <si>
    <t>68.2%</t>
  </si>
  <si>
    <t>P0017</t>
  </si>
  <si>
    <t>Fitbit Neo7164GB</t>
  </si>
  <si>
    <t>Fitbit</t>
  </si>
  <si>
    <t>Storage</t>
  </si>
  <si>
    <t>SSDs</t>
  </si>
  <si>
    <t>37.2%</t>
  </si>
  <si>
    <t>P0018</t>
  </si>
  <si>
    <t>Fitbit Max31256GB</t>
  </si>
  <si>
    <t>HDDs</t>
  </si>
  <si>
    <t>27.0%</t>
  </si>
  <si>
    <t>P0019</t>
  </si>
  <si>
    <t>Google X134GB</t>
  </si>
  <si>
    <t>Google</t>
  </si>
  <si>
    <t>Pen Drives</t>
  </si>
  <si>
    <t>64.7%</t>
  </si>
  <si>
    <t>P0020</t>
  </si>
  <si>
    <t>Dell Lite14White</t>
  </si>
  <si>
    <t>Dell</t>
  </si>
  <si>
    <t>Networking</t>
  </si>
  <si>
    <t>Routers</t>
  </si>
  <si>
    <t>72.8%</t>
  </si>
  <si>
    <t>P0021</t>
  </si>
  <si>
    <t>WD Ultra71256GB</t>
  </si>
  <si>
    <t>Printers</t>
  </si>
  <si>
    <t>54.8%</t>
  </si>
  <si>
    <t>P0022</t>
  </si>
  <si>
    <t>Bose Ultra62Silver</t>
  </si>
  <si>
    <t>Cameras</t>
  </si>
  <si>
    <t>48.3%</t>
  </si>
  <si>
    <t>P0023</t>
  </si>
  <si>
    <t>Acer Max85Silver</t>
  </si>
  <si>
    <t>Acer</t>
  </si>
  <si>
    <t>Smart TVs</t>
  </si>
  <si>
    <t>32.4%</t>
  </si>
  <si>
    <t>P0024</t>
  </si>
  <si>
    <t>Lava A7</t>
  </si>
  <si>
    <t>Lava</t>
  </si>
  <si>
    <t>Gaming Gear</t>
  </si>
  <si>
    <t>19.5%</t>
  </si>
  <si>
    <t>P0025</t>
  </si>
  <si>
    <t>Lenovo X77</t>
  </si>
  <si>
    <t>Lenovo</t>
  </si>
  <si>
    <t>Microphones</t>
  </si>
  <si>
    <t>48.8%</t>
  </si>
  <si>
    <t>P0026</t>
  </si>
  <si>
    <t>Kingston Plus85256GB</t>
  </si>
  <si>
    <t>Kingston</t>
  </si>
  <si>
    <t>50.2%</t>
  </si>
  <si>
    <t>P0027</t>
  </si>
  <si>
    <t>WD Plus1716GB</t>
  </si>
  <si>
    <t>49.3%</t>
  </si>
  <si>
    <t>P0028</t>
  </si>
  <si>
    <t>HP S65Green</t>
  </si>
  <si>
    <t>HP</t>
  </si>
  <si>
    <t>73.6%</t>
  </si>
  <si>
    <t>P0029</t>
  </si>
  <si>
    <t>Razer Neo8432GB</t>
  </si>
  <si>
    <t>Razer</t>
  </si>
  <si>
    <t>39.6%</t>
  </si>
  <si>
    <t>P0030</t>
  </si>
  <si>
    <t>Lava M35Green</t>
  </si>
  <si>
    <t>46.2%</t>
  </si>
  <si>
    <t>P0031</t>
  </si>
  <si>
    <t>Dell Plus36256GB</t>
  </si>
  <si>
    <t>80.8%</t>
  </si>
  <si>
    <t>P0032</t>
  </si>
  <si>
    <t>MSI X1064GB</t>
  </si>
  <si>
    <t>MSI</t>
  </si>
  <si>
    <t>77.6%</t>
  </si>
  <si>
    <t>P0033</t>
  </si>
  <si>
    <t>Noise A46Black</t>
  </si>
  <si>
    <t>Noise</t>
  </si>
  <si>
    <t>26.5%</t>
  </si>
  <si>
    <t>P0034</t>
  </si>
  <si>
    <t>WD M53</t>
  </si>
  <si>
    <t>33.5%</t>
  </si>
  <si>
    <t>P0035</t>
  </si>
  <si>
    <t>LG Ultra29128GB</t>
  </si>
  <si>
    <t>LG</t>
  </si>
  <si>
    <t>42.3%</t>
  </si>
  <si>
    <t>P0036</t>
  </si>
  <si>
    <t>Motorola Pro9</t>
  </si>
  <si>
    <t>62.7%</t>
  </si>
  <si>
    <t>P0037</t>
  </si>
  <si>
    <t>Seagate Neo34</t>
  </si>
  <si>
    <t>Seagate</t>
  </si>
  <si>
    <t>45.8%</t>
  </si>
  <si>
    <t>P0038</t>
  </si>
  <si>
    <t>Realme Neo25White</t>
  </si>
  <si>
    <t>Realme</t>
  </si>
  <si>
    <t>82.4%</t>
  </si>
  <si>
    <t>P0039</t>
  </si>
  <si>
    <t>Zebronics Neo41</t>
  </si>
  <si>
    <t>Zebronics</t>
  </si>
  <si>
    <t>74.8%</t>
  </si>
  <si>
    <t>P0040</t>
  </si>
  <si>
    <t>Motorola Max1732GB</t>
  </si>
  <si>
    <t>42.9%</t>
  </si>
  <si>
    <t>P0041</t>
  </si>
  <si>
    <t>Noise S5632GB</t>
  </si>
  <si>
    <t>46.8%</t>
  </si>
  <si>
    <t>P0042</t>
  </si>
  <si>
    <t>Nothing X37</t>
  </si>
  <si>
    <t>Nothing</t>
  </si>
  <si>
    <t>36.2%</t>
  </si>
  <si>
    <t>P0043</t>
  </si>
  <si>
    <t>Anker A61TB</t>
  </si>
  <si>
    <t>Anker</t>
  </si>
  <si>
    <t>23.3%</t>
  </si>
  <si>
    <t>P0044</t>
  </si>
  <si>
    <t>iBall Ultra52White</t>
  </si>
  <si>
    <t>74.6%</t>
  </si>
  <si>
    <t>P0045</t>
  </si>
  <si>
    <t>iQOO Max32128GB</t>
  </si>
  <si>
    <t>iQOO</t>
  </si>
  <si>
    <t>P0046</t>
  </si>
  <si>
    <t>Kingston Plus71Red</t>
  </si>
  <si>
    <t>68.8%</t>
  </si>
  <si>
    <t>P0047</t>
  </si>
  <si>
    <t>Itel Ultra81Red</t>
  </si>
  <si>
    <t>Itel</t>
  </si>
  <si>
    <t>63.2%</t>
  </si>
  <si>
    <t>P0048</t>
  </si>
  <si>
    <t>Razer M20256GB</t>
  </si>
  <si>
    <t>51.4%</t>
  </si>
  <si>
    <t>P0049</t>
  </si>
  <si>
    <t>Razer Plus8Gold</t>
  </si>
  <si>
    <t>48.1%</t>
  </si>
  <si>
    <t>P0050</t>
  </si>
  <si>
    <t>Nothing Lite3964GB</t>
  </si>
  <si>
    <t>45.5%</t>
  </si>
  <si>
    <t>P0051</t>
  </si>
  <si>
    <t>Oppo A50Blue</t>
  </si>
  <si>
    <t>Oppo</t>
  </si>
  <si>
    <t>39.5%</t>
  </si>
  <si>
    <t>P0052</t>
  </si>
  <si>
    <t>Samsung Neo73White</t>
  </si>
  <si>
    <t>80.7%</t>
  </si>
  <si>
    <t>P0053</t>
  </si>
  <si>
    <t>LG S59</t>
  </si>
  <si>
    <t>45.1%</t>
  </si>
  <si>
    <t>P0054</t>
  </si>
  <si>
    <t>Nothing Max764GB</t>
  </si>
  <si>
    <t>67.3%</t>
  </si>
  <si>
    <t>P0055</t>
  </si>
  <si>
    <t>Samsung M31Midnight</t>
  </si>
  <si>
    <t>52.3%</t>
  </si>
  <si>
    <t>P0056</t>
  </si>
  <si>
    <t>Bose Neo96Midnight</t>
  </si>
  <si>
    <t>90.6%</t>
  </si>
  <si>
    <t>P0057</t>
  </si>
  <si>
    <t>Gigabyte Plus51</t>
  </si>
  <si>
    <t>71.6%</t>
  </si>
  <si>
    <t>P0058</t>
  </si>
  <si>
    <t>Portronics X73Midnight</t>
  </si>
  <si>
    <t>Portronics</t>
  </si>
  <si>
    <t>87.3%</t>
  </si>
  <si>
    <t>P0059</t>
  </si>
  <si>
    <t>Apple Ultra14Silver</t>
  </si>
  <si>
    <t>52.4%</t>
  </si>
  <si>
    <t>P0060</t>
  </si>
  <si>
    <t>Transcend Neo6916GB</t>
  </si>
  <si>
    <t>Transcend</t>
  </si>
  <si>
    <t>51.5%</t>
  </si>
  <si>
    <t>P0061</t>
  </si>
  <si>
    <t>Lenovo Ultra3216GB</t>
  </si>
  <si>
    <t>38.1%</t>
  </si>
  <si>
    <t>P0062</t>
  </si>
  <si>
    <t>Logitech S46Blue</t>
  </si>
  <si>
    <t>Logitech</t>
  </si>
  <si>
    <t>63.9%</t>
  </si>
  <si>
    <t>P0063</t>
  </si>
  <si>
    <t>Anker S93256GB</t>
  </si>
  <si>
    <t>40.4%</t>
  </si>
  <si>
    <t>P0064</t>
  </si>
  <si>
    <t>Lenovo S5232GB</t>
  </si>
  <si>
    <t>61.0%</t>
  </si>
  <si>
    <t>P0065</t>
  </si>
  <si>
    <t>Oppo Lite46Green</t>
  </si>
  <si>
    <t>67.0%</t>
  </si>
  <si>
    <t>P0066</t>
  </si>
  <si>
    <t>Anker Ultra364GB</t>
  </si>
  <si>
    <t>35.8%</t>
  </si>
  <si>
    <t>P0067</t>
  </si>
  <si>
    <t>Logitech A9132GB</t>
  </si>
  <si>
    <t>81.1%</t>
  </si>
  <si>
    <t>P0068</t>
  </si>
  <si>
    <t>SanDisk X2Blue</t>
  </si>
  <si>
    <t>63.1%</t>
  </si>
  <si>
    <t>P0069</t>
  </si>
  <si>
    <t>Nothing X52512GB</t>
  </si>
  <si>
    <t>85.7%</t>
  </si>
  <si>
    <t>P0070</t>
  </si>
  <si>
    <t>Lenovo X728GB</t>
  </si>
  <si>
    <t>28.8%</t>
  </si>
  <si>
    <t>P0071</t>
  </si>
  <si>
    <t>Noise Plus40Space Gray</t>
  </si>
  <si>
    <t>76.9%</t>
  </si>
  <si>
    <t>P0072</t>
  </si>
  <si>
    <t>Zebronics M31256GB</t>
  </si>
  <si>
    <t>23.4%</t>
  </si>
  <si>
    <t>P0073</t>
  </si>
  <si>
    <t>Acer S37128GB</t>
  </si>
  <si>
    <t>56.9%</t>
  </si>
  <si>
    <t>P0074</t>
  </si>
  <si>
    <t>Oppo Max29512GB</t>
  </si>
  <si>
    <t>75.3%</t>
  </si>
  <si>
    <t>P0075</t>
  </si>
  <si>
    <t>Crucial Pro57Space Gray</t>
  </si>
  <si>
    <t>Crucial</t>
  </si>
  <si>
    <t>48.7%</t>
  </si>
  <si>
    <t>P0076</t>
  </si>
  <si>
    <t>Vivo Neo6256GB</t>
  </si>
  <si>
    <t>Vivo</t>
  </si>
  <si>
    <t>17.8%</t>
  </si>
  <si>
    <t>P0077</t>
  </si>
  <si>
    <t>TCL Pro74</t>
  </si>
  <si>
    <t>19.9%</t>
  </si>
  <si>
    <t>P0078</t>
  </si>
  <si>
    <t>Corsair Ultra12Silver</t>
  </si>
  <si>
    <t>Corsair</t>
  </si>
  <si>
    <t>58.2%</t>
  </si>
  <si>
    <t>P0079</t>
  </si>
  <si>
    <t>Acer Plus98</t>
  </si>
  <si>
    <t>25.5%</t>
  </si>
  <si>
    <t>P0080</t>
  </si>
  <si>
    <t>Sennheiser Max6064GB</t>
  </si>
  <si>
    <t>Sennheiser</t>
  </si>
  <si>
    <t>92.3%</t>
  </si>
  <si>
    <t>P0081</t>
  </si>
  <si>
    <t>Asus M37Green</t>
  </si>
  <si>
    <t>Asus</t>
  </si>
  <si>
    <t>21.4%</t>
  </si>
  <si>
    <t>P0082</t>
  </si>
  <si>
    <t>MSI Max5364GB</t>
  </si>
  <si>
    <t>65.7%</t>
  </si>
  <si>
    <t>P0083</t>
  </si>
  <si>
    <t>Sennheiser Plus6216GB</t>
  </si>
  <si>
    <t>67.1%</t>
  </si>
  <si>
    <t>P0084</t>
  </si>
  <si>
    <t>Lava X361TB</t>
  </si>
  <si>
    <t>44.2%</t>
  </si>
  <si>
    <t>P0085</t>
  </si>
  <si>
    <t>Micromax Neo7532GB</t>
  </si>
  <si>
    <t>Micromax</t>
  </si>
  <si>
    <t>62.3%</t>
  </si>
  <si>
    <t>P0086</t>
  </si>
  <si>
    <t>iQOO S90</t>
  </si>
  <si>
    <t>40.3%</t>
  </si>
  <si>
    <t>P0087</t>
  </si>
  <si>
    <t>iBall Plus85White</t>
  </si>
  <si>
    <t>P0088</t>
  </si>
  <si>
    <t>OnePlus Ultra2Red</t>
  </si>
  <si>
    <t>OnePlus</t>
  </si>
  <si>
    <t>34.0%</t>
  </si>
  <si>
    <t>P0089</t>
  </si>
  <si>
    <t>Fitbit Plus84Midnight</t>
  </si>
  <si>
    <t>43.4%</t>
  </si>
  <si>
    <t>P0090</t>
  </si>
  <si>
    <t>Razer Neo9128GB</t>
  </si>
  <si>
    <t>34.5%</t>
  </si>
  <si>
    <t>P0091</t>
  </si>
  <si>
    <t>TCL X57Starlight</t>
  </si>
  <si>
    <t>50.0%</t>
  </si>
  <si>
    <t>P0092</t>
  </si>
  <si>
    <t>JBL Max538GB</t>
  </si>
  <si>
    <t>JBL</t>
  </si>
  <si>
    <t>64.3%</t>
  </si>
  <si>
    <t>P0093</t>
  </si>
  <si>
    <t>Marshall M30Space Gray</t>
  </si>
  <si>
    <t>Marshall</t>
  </si>
  <si>
    <t>34.6%</t>
  </si>
  <si>
    <t>P0094</t>
  </si>
  <si>
    <t>HP Lite76Gold</t>
  </si>
  <si>
    <t>30.9%</t>
  </si>
  <si>
    <t>P0095</t>
  </si>
  <si>
    <t>OnePlus Plus748GB</t>
  </si>
  <si>
    <t>22.8%</t>
  </si>
  <si>
    <t>P0096</t>
  </si>
  <si>
    <t>Asus Neo8864GB</t>
  </si>
  <si>
    <t>83.2%</t>
  </si>
  <si>
    <t>P0097</t>
  </si>
  <si>
    <t>TP-Link S80Starlight</t>
  </si>
  <si>
    <t>TP-Link</t>
  </si>
  <si>
    <t>32.2%</t>
  </si>
  <si>
    <t>P0098</t>
  </si>
  <si>
    <t>Noise A75Gold</t>
  </si>
  <si>
    <t>72.2%</t>
  </si>
  <si>
    <t>P0099</t>
  </si>
  <si>
    <t>Razer Max65Black</t>
  </si>
  <si>
    <t>25.4%</t>
  </si>
  <si>
    <t>P0100</t>
  </si>
  <si>
    <t>Realme X19Gold</t>
  </si>
  <si>
    <t>28.3%</t>
  </si>
  <si>
    <t>P0101</t>
  </si>
  <si>
    <t>Apple Max1616GB</t>
  </si>
  <si>
    <t>P0102</t>
  </si>
  <si>
    <t>OnePlus S61</t>
  </si>
  <si>
    <t>18.4%</t>
  </si>
  <si>
    <t>P0103</t>
  </si>
  <si>
    <t>Intex Plus1532GB</t>
  </si>
  <si>
    <t>Intex</t>
  </si>
  <si>
    <t>68.7%</t>
  </si>
  <si>
    <t>P0104</t>
  </si>
  <si>
    <t>LG Lite86Gold</t>
  </si>
  <si>
    <t>30.1%</t>
  </si>
  <si>
    <t>P0105</t>
  </si>
  <si>
    <t>Asus Lite28128GB</t>
  </si>
  <si>
    <t>49.7%</t>
  </si>
  <si>
    <t>P0106</t>
  </si>
  <si>
    <t>Dell Pro25White</t>
  </si>
  <si>
    <t>17.7%</t>
  </si>
  <si>
    <t>P0107</t>
  </si>
  <si>
    <t>WD Neo271TB</t>
  </si>
  <si>
    <t>27.3%</t>
  </si>
  <si>
    <t>P0108</t>
  </si>
  <si>
    <t>Fitbit Neo11TB</t>
  </si>
  <si>
    <t>63.6%</t>
  </si>
  <si>
    <t>P0109</t>
  </si>
  <si>
    <t>MI Lite3164GB</t>
  </si>
  <si>
    <t>MI</t>
  </si>
  <si>
    <t>42.5%</t>
  </si>
  <si>
    <t>P0110</t>
  </si>
  <si>
    <t>Realme Ultra58256GB</t>
  </si>
  <si>
    <t>29.7%</t>
  </si>
  <si>
    <t>P0111</t>
  </si>
  <si>
    <t>Micromax Max39</t>
  </si>
  <si>
    <t>30.4%</t>
  </si>
  <si>
    <t>P0112</t>
  </si>
  <si>
    <t>Marshall X11Gold</t>
  </si>
  <si>
    <t>15.1%</t>
  </si>
  <si>
    <t>P0113</t>
  </si>
  <si>
    <t>Acer Max78Gold</t>
  </si>
  <si>
    <t>P0114</t>
  </si>
  <si>
    <t>Google Ultra52</t>
  </si>
  <si>
    <t>18.6%</t>
  </si>
  <si>
    <t>P0115</t>
  </si>
  <si>
    <t>Portronics X12Blue</t>
  </si>
  <si>
    <t>P0116</t>
  </si>
  <si>
    <t>Zebronics Plus46512GB</t>
  </si>
  <si>
    <t>18.2%</t>
  </si>
  <si>
    <t>P0117</t>
  </si>
  <si>
    <t>Belkin Ultra291TB</t>
  </si>
  <si>
    <t>Belkin</t>
  </si>
  <si>
    <t>50.5%</t>
  </si>
  <si>
    <t>P0118</t>
  </si>
  <si>
    <t>Crucial Pro4</t>
  </si>
  <si>
    <t>48.2%</t>
  </si>
  <si>
    <t>P0119</t>
  </si>
  <si>
    <t>Gigabyte Plus9</t>
  </si>
  <si>
    <t>76.1%</t>
  </si>
  <si>
    <t>P0120</t>
  </si>
  <si>
    <t>Bose Pro93Black</t>
  </si>
  <si>
    <t>16.8%</t>
  </si>
  <si>
    <t>P0121</t>
  </si>
  <si>
    <t>Portronics Pro57256GB</t>
  </si>
  <si>
    <t>34.8%</t>
  </si>
  <si>
    <t>P0122</t>
  </si>
  <si>
    <t>Realme Plus15Black</t>
  </si>
  <si>
    <t>17.1%</t>
  </si>
  <si>
    <t>P0123</t>
  </si>
  <si>
    <t>Apple Pro284GB</t>
  </si>
  <si>
    <t>P0124</t>
  </si>
  <si>
    <t>Logitech Plus691TB</t>
  </si>
  <si>
    <t>66.2%</t>
  </si>
  <si>
    <t>P0125</t>
  </si>
  <si>
    <t>Oppo Ultra1064GB</t>
  </si>
  <si>
    <t>32.8%</t>
  </si>
  <si>
    <t>P0126</t>
  </si>
  <si>
    <t>boAt Neo59</t>
  </si>
  <si>
    <t>boAt</t>
  </si>
  <si>
    <t>80.6%</t>
  </si>
  <si>
    <t>P0127</t>
  </si>
  <si>
    <t>Lenovo Pro96White</t>
  </si>
  <si>
    <t>53.2%</t>
  </si>
  <si>
    <t>P0128</t>
  </si>
  <si>
    <t>Itel Lite94Black</t>
  </si>
  <si>
    <t>49.8%</t>
  </si>
  <si>
    <t>P0129</t>
  </si>
  <si>
    <t>Logitech Ultra60Starlight</t>
  </si>
  <si>
    <t>P0130</t>
  </si>
  <si>
    <t>Nothing Pro36Gold</t>
  </si>
  <si>
    <t>94.4%</t>
  </si>
  <si>
    <t>P0131</t>
  </si>
  <si>
    <t>Philips X8332GB</t>
  </si>
  <si>
    <t>Philips</t>
  </si>
  <si>
    <t>20.2%</t>
  </si>
  <si>
    <t>P0132</t>
  </si>
  <si>
    <t>boAt Ultra65Midnight</t>
  </si>
  <si>
    <t>85.2%</t>
  </si>
  <si>
    <t>P0133</t>
  </si>
  <si>
    <t>Sony Ultra578GB</t>
  </si>
  <si>
    <t>Sony</t>
  </si>
  <si>
    <t>P0134</t>
  </si>
  <si>
    <t>Portronics A81Midnight</t>
  </si>
  <si>
    <t>P0135</t>
  </si>
  <si>
    <t>Fitbit Neo85256GB</t>
  </si>
  <si>
    <t>38.5%</t>
  </si>
  <si>
    <t>P0136</t>
  </si>
  <si>
    <t>Noise Plus83Green</t>
  </si>
  <si>
    <t>57.7%</t>
  </si>
  <si>
    <t>P0137</t>
  </si>
  <si>
    <t>Sennheiser A47Black</t>
  </si>
  <si>
    <t>62.0%</t>
  </si>
  <si>
    <t>P0138</t>
  </si>
  <si>
    <t>JBL Pro13256GB</t>
  </si>
  <si>
    <t>46.3%</t>
  </si>
  <si>
    <t>P0139</t>
  </si>
  <si>
    <t>Crucial M21White</t>
  </si>
  <si>
    <t>18.5%</t>
  </si>
  <si>
    <t>P0140</t>
  </si>
  <si>
    <t>Portronics Ultra798GB</t>
  </si>
  <si>
    <t>23.5%</t>
  </si>
  <si>
    <t>P0141</t>
  </si>
  <si>
    <t>Philips Neo57</t>
  </si>
  <si>
    <t>19.6%</t>
  </si>
  <si>
    <t>P0142</t>
  </si>
  <si>
    <t>Crucial Pro71TB</t>
  </si>
  <si>
    <t>26.9%</t>
  </si>
  <si>
    <t>P0143</t>
  </si>
  <si>
    <t>Asus Max19Gold</t>
  </si>
  <si>
    <t>69.1%</t>
  </si>
  <si>
    <t>P0144</t>
  </si>
  <si>
    <t>Sennheiser S50Black</t>
  </si>
  <si>
    <t>41.3%</t>
  </si>
  <si>
    <t>P0145</t>
  </si>
  <si>
    <t>Sony Ultra9032GB</t>
  </si>
  <si>
    <t>22.9%</t>
  </si>
  <si>
    <t>P0146</t>
  </si>
  <si>
    <t>MSI Max55Midnight</t>
  </si>
  <si>
    <t>22.7%</t>
  </si>
  <si>
    <t>P0147</t>
  </si>
  <si>
    <t>HP Ultra77512GB</t>
  </si>
  <si>
    <t>91.6%</t>
  </si>
  <si>
    <t>P0148</t>
  </si>
  <si>
    <t>Kingston S74Black</t>
  </si>
  <si>
    <t>69.5%</t>
  </si>
  <si>
    <t>P0149</t>
  </si>
  <si>
    <t>Razer Max71Red</t>
  </si>
  <si>
    <t>39.8%</t>
  </si>
  <si>
    <t>P0150</t>
  </si>
  <si>
    <t>Garmin Lite31256GB</t>
  </si>
  <si>
    <t>51.1%</t>
  </si>
  <si>
    <t>P0151</t>
  </si>
  <si>
    <t>Transcend Ultra90</t>
  </si>
  <si>
    <t>34.4%</t>
  </si>
  <si>
    <t>P0152</t>
  </si>
  <si>
    <t>Sony A414GB</t>
  </si>
  <si>
    <t>60.2%</t>
  </si>
  <si>
    <t>P0153</t>
  </si>
  <si>
    <t>Acer A84Black</t>
  </si>
  <si>
    <t>53.3%</t>
  </si>
  <si>
    <t>P0154</t>
  </si>
  <si>
    <t>Fitbit Ultra89</t>
  </si>
  <si>
    <t>P0155</t>
  </si>
  <si>
    <t>Razer Lite1432GB</t>
  </si>
  <si>
    <t>47.9%</t>
  </si>
  <si>
    <t>P0156</t>
  </si>
  <si>
    <t>Garmin A94Gold</t>
  </si>
  <si>
    <t>P0157</t>
  </si>
  <si>
    <t>Philips M4Red</t>
  </si>
  <si>
    <t>24.9%</t>
  </si>
  <si>
    <t>P0158</t>
  </si>
  <si>
    <t>Crucial Ultra481TB</t>
  </si>
  <si>
    <t>40.2%</t>
  </si>
  <si>
    <t>P0159</t>
  </si>
  <si>
    <t>WD A95512GB</t>
  </si>
  <si>
    <t>31.3%</t>
  </si>
  <si>
    <t>P0160</t>
  </si>
  <si>
    <t>iBall S79Gold</t>
  </si>
  <si>
    <t>39.4%</t>
  </si>
  <si>
    <t>P0161</t>
  </si>
  <si>
    <t>Lenovo Lite86</t>
  </si>
  <si>
    <t>86.0%</t>
  </si>
  <si>
    <t>P0162</t>
  </si>
  <si>
    <t>Philips S16Red</t>
  </si>
  <si>
    <t>15.9%</t>
  </si>
  <si>
    <t>P0163</t>
  </si>
  <si>
    <t>iQOO M79Green</t>
  </si>
  <si>
    <t>66.4%</t>
  </si>
  <si>
    <t>P0164</t>
  </si>
  <si>
    <t>MI X58</t>
  </si>
  <si>
    <t>29.9%</t>
  </si>
  <si>
    <t>P0165</t>
  </si>
  <si>
    <t>Oppo A16Red</t>
  </si>
  <si>
    <t>81.0%</t>
  </si>
  <si>
    <t>P0166</t>
  </si>
  <si>
    <t>Acer Pro26256GB</t>
  </si>
  <si>
    <t>P0167</t>
  </si>
  <si>
    <t>Corsair M22Space Gray</t>
  </si>
  <si>
    <t>47.7%</t>
  </si>
  <si>
    <t>P0168</t>
  </si>
  <si>
    <t>Transcend Neo544GB</t>
  </si>
  <si>
    <t>P0169</t>
  </si>
  <si>
    <t>Nothing Plus398GB</t>
  </si>
  <si>
    <t>84.7%</t>
  </si>
  <si>
    <t>P0170</t>
  </si>
  <si>
    <t>Fitbit M41Midnight</t>
  </si>
  <si>
    <t>44.9%</t>
  </si>
  <si>
    <t>P0171</t>
  </si>
  <si>
    <t>Realme Ultra3216GB</t>
  </si>
  <si>
    <t>55.4%</t>
  </si>
  <si>
    <t>P0172</t>
  </si>
  <si>
    <t>boAt Lite25Space Gray</t>
  </si>
  <si>
    <t>24.4%</t>
  </si>
  <si>
    <t>P0173</t>
  </si>
  <si>
    <t>Sennheiser S28Gold</t>
  </si>
  <si>
    <t>38.7%</t>
  </si>
  <si>
    <t>P0174</t>
  </si>
  <si>
    <t>OnePlus M34Silver</t>
  </si>
  <si>
    <t>49.4%</t>
  </si>
  <si>
    <t>P0175</t>
  </si>
  <si>
    <t>Philips Pro10Green</t>
  </si>
  <si>
    <t>35.5%</t>
  </si>
  <si>
    <t>P0176</t>
  </si>
  <si>
    <t>Motorola Lite72Black</t>
  </si>
  <si>
    <t>74.2%</t>
  </si>
  <si>
    <t>P0177</t>
  </si>
  <si>
    <t>iBall Ultra67</t>
  </si>
  <si>
    <t>P0178</t>
  </si>
  <si>
    <t>Bose Neo95White</t>
  </si>
  <si>
    <t>41.4%</t>
  </si>
  <si>
    <t>P0179</t>
  </si>
  <si>
    <t>Nothing Lite4364GB</t>
  </si>
  <si>
    <t>51.7%</t>
  </si>
  <si>
    <t>P0180</t>
  </si>
  <si>
    <t>Micromax Neo62128GB</t>
  </si>
  <si>
    <t>24.1%</t>
  </si>
  <si>
    <t>P0181</t>
  </si>
  <si>
    <t>Sony X25Space Gray</t>
  </si>
  <si>
    <t>35.6%</t>
  </si>
  <si>
    <t>P0182</t>
  </si>
  <si>
    <t>Lava M67128GB</t>
  </si>
  <si>
    <t>32.9%</t>
  </si>
  <si>
    <t>P0183</t>
  </si>
  <si>
    <t>iQOO Lite70Green</t>
  </si>
  <si>
    <t>17.2%</t>
  </si>
  <si>
    <t>P0184</t>
  </si>
  <si>
    <t>MSI S3932GB</t>
  </si>
  <si>
    <t>58.4%</t>
  </si>
  <si>
    <t>P0185</t>
  </si>
  <si>
    <t>Acer Neo87512GB</t>
  </si>
  <si>
    <t>64.2%</t>
  </si>
  <si>
    <t>P0186</t>
  </si>
  <si>
    <t>Garmin Pro96Gold</t>
  </si>
  <si>
    <t>74.9%</t>
  </si>
  <si>
    <t>P0187</t>
  </si>
  <si>
    <t>WD Max29128GB</t>
  </si>
  <si>
    <t>59.6%</t>
  </si>
  <si>
    <t>P0188</t>
  </si>
  <si>
    <t>Apple M53Green</t>
  </si>
  <si>
    <t>P0189</t>
  </si>
  <si>
    <t>Itel Neo30256GB</t>
  </si>
  <si>
    <t>32.7%</t>
  </si>
  <si>
    <t>P0190</t>
  </si>
  <si>
    <t>Sony Ultra24White</t>
  </si>
  <si>
    <t>85.5%</t>
  </si>
  <si>
    <t>P0191</t>
  </si>
  <si>
    <t>Acer Max68Gold</t>
  </si>
  <si>
    <t>P0192</t>
  </si>
  <si>
    <t>Transcend M216GB</t>
  </si>
  <si>
    <t>52.7%</t>
  </si>
  <si>
    <t>P0193</t>
  </si>
  <si>
    <t>Oppo Lite12Red</t>
  </si>
  <si>
    <t>26.6%</t>
  </si>
  <si>
    <t>P0194</t>
  </si>
  <si>
    <t>Apple Plus3116GB</t>
  </si>
  <si>
    <t>19.2%</t>
  </si>
  <si>
    <t>P0195</t>
  </si>
  <si>
    <t>Intex A868GB</t>
  </si>
  <si>
    <t>47.3%</t>
  </si>
  <si>
    <t>P0196</t>
  </si>
  <si>
    <t>Philips S29Midnight</t>
  </si>
  <si>
    <t>20.9%</t>
  </si>
  <si>
    <t>P0197</t>
  </si>
  <si>
    <t>TCL S98Green</t>
  </si>
  <si>
    <t>P0198</t>
  </si>
  <si>
    <t>HP X8Space Gray</t>
  </si>
  <si>
    <t>19.8%</t>
  </si>
  <si>
    <t>P0199</t>
  </si>
  <si>
    <t>Vivo S92512GB</t>
  </si>
  <si>
    <t>17.3%</t>
  </si>
  <si>
    <t>P0200</t>
  </si>
  <si>
    <t>Google Neo8Gold</t>
  </si>
  <si>
    <t>56.7%</t>
  </si>
  <si>
    <t>P0201</t>
  </si>
  <si>
    <t>Lava Neo104GB</t>
  </si>
  <si>
    <t>39.2%</t>
  </si>
  <si>
    <t>P0202</t>
  </si>
  <si>
    <t>Nothing Pro53128GB</t>
  </si>
  <si>
    <t>53.8%</t>
  </si>
  <si>
    <t>P0203</t>
  </si>
  <si>
    <t>Vivo Plus11White</t>
  </si>
  <si>
    <t>34.1%</t>
  </si>
  <si>
    <t>P0204</t>
  </si>
  <si>
    <t>Apple Pro6064GB</t>
  </si>
  <si>
    <t>37.3%</t>
  </si>
  <si>
    <t>P0205</t>
  </si>
  <si>
    <t>Anker A85512GB</t>
  </si>
  <si>
    <t>P0206</t>
  </si>
  <si>
    <t>Crucial Ultra77128GB</t>
  </si>
  <si>
    <t>47.5%</t>
  </si>
  <si>
    <t>P0207</t>
  </si>
  <si>
    <t>TCL M65128GB</t>
  </si>
  <si>
    <t>77.8%</t>
  </si>
  <si>
    <t>P0208</t>
  </si>
  <si>
    <t>Zebronics S53Red</t>
  </si>
  <si>
    <t>P0209</t>
  </si>
  <si>
    <t>MSI A45Blue</t>
  </si>
  <si>
    <t>39.0%</t>
  </si>
  <si>
    <t>P0210</t>
  </si>
  <si>
    <t>Logitech Ultra31Green</t>
  </si>
  <si>
    <t>P0211</t>
  </si>
  <si>
    <t>MSI M50Red</t>
  </si>
  <si>
    <t>69.4%</t>
  </si>
  <si>
    <t>P0212</t>
  </si>
  <si>
    <t>Razer A354GB</t>
  </si>
  <si>
    <t>P0213</t>
  </si>
  <si>
    <t>Nothing Lite394GB</t>
  </si>
  <si>
    <t>37.8%</t>
  </si>
  <si>
    <t>P0214</t>
  </si>
  <si>
    <t>Motorola Max428GB</t>
  </si>
  <si>
    <t>60.3%</t>
  </si>
  <si>
    <t>P0215</t>
  </si>
  <si>
    <t>Marshall X93Gold</t>
  </si>
  <si>
    <t>20.8%</t>
  </si>
  <si>
    <t>P0216</t>
  </si>
  <si>
    <t>Lava A341TB</t>
  </si>
  <si>
    <t>46.1%</t>
  </si>
  <si>
    <t>P0217</t>
  </si>
  <si>
    <t>LG S64Space Gray</t>
  </si>
  <si>
    <t>P0218</t>
  </si>
  <si>
    <t>Bose Max631TB</t>
  </si>
  <si>
    <t>15.7%</t>
  </si>
  <si>
    <t>P0219</t>
  </si>
  <si>
    <t>Zebronics A53128GB</t>
  </si>
  <si>
    <t>51.2%</t>
  </si>
  <si>
    <t>P0220</t>
  </si>
  <si>
    <t>Dell Neo62Midnight</t>
  </si>
  <si>
    <t>P0221</t>
  </si>
  <si>
    <t>Micromax Max3716GB</t>
  </si>
  <si>
    <t>P0222</t>
  </si>
  <si>
    <t>JBL S808GB</t>
  </si>
  <si>
    <t>71.4%</t>
  </si>
  <si>
    <t>P0223</t>
  </si>
  <si>
    <t>iQOO S90Space Gray</t>
  </si>
  <si>
    <t>57.1%</t>
  </si>
  <si>
    <t>P0224</t>
  </si>
  <si>
    <t>LG Ultra8Green</t>
  </si>
  <si>
    <t>95.9%</t>
  </si>
  <si>
    <t>P0225</t>
  </si>
  <si>
    <t>Gigabyte Max6512GB</t>
  </si>
  <si>
    <t>69.3%</t>
  </si>
  <si>
    <t>P0226</t>
  </si>
  <si>
    <t>Portronics Max7316GB</t>
  </si>
  <si>
    <t>92.4%</t>
  </si>
  <si>
    <t>P0227</t>
  </si>
  <si>
    <t>TCL X39White</t>
  </si>
  <si>
    <t>21.2%</t>
  </si>
  <si>
    <t>P0228</t>
  </si>
  <si>
    <t>Intex Max96256GB</t>
  </si>
  <si>
    <t>79.9%</t>
  </si>
  <si>
    <t>P0229</t>
  </si>
  <si>
    <t>Itel A82</t>
  </si>
  <si>
    <t>28.6%</t>
  </si>
  <si>
    <t>P0230</t>
  </si>
  <si>
    <t>Lenovo Pro32Midnight</t>
  </si>
  <si>
    <t>P0231</t>
  </si>
  <si>
    <t>Lenovo Pro5764GB</t>
  </si>
  <si>
    <t>61.4%</t>
  </si>
  <si>
    <t>P0232</t>
  </si>
  <si>
    <t>Google A12512GB</t>
  </si>
  <si>
    <t>22.4%</t>
  </si>
  <si>
    <t>P0233</t>
  </si>
  <si>
    <t>LG Max32256GB</t>
  </si>
  <si>
    <t>65.0%</t>
  </si>
  <si>
    <t>P0234</t>
  </si>
  <si>
    <t>JBL M56256GB</t>
  </si>
  <si>
    <t>52.6%</t>
  </si>
  <si>
    <t>P0235</t>
  </si>
  <si>
    <t>Micromax Ultra77Starlight</t>
  </si>
  <si>
    <t>82.9%</t>
  </si>
  <si>
    <t>P0236</t>
  </si>
  <si>
    <t>Kingston Lite57White</t>
  </si>
  <si>
    <t>P0237</t>
  </si>
  <si>
    <t>Nothing M51</t>
  </si>
  <si>
    <t>50.4%</t>
  </si>
  <si>
    <t>P0238</t>
  </si>
  <si>
    <t>Motorola X73Black</t>
  </si>
  <si>
    <t>31.2%</t>
  </si>
  <si>
    <t>P0239</t>
  </si>
  <si>
    <t>iBall Ultra384GB</t>
  </si>
  <si>
    <t>85.1%</t>
  </si>
  <si>
    <t>P0240</t>
  </si>
  <si>
    <t>iBall Plus10Silver</t>
  </si>
  <si>
    <t>34.3%</t>
  </si>
  <si>
    <t>P0241</t>
  </si>
  <si>
    <t>Intex Neo82Green</t>
  </si>
  <si>
    <t>P0242</t>
  </si>
  <si>
    <t>Gigabyte Plus97Starlight</t>
  </si>
  <si>
    <t>36.1%</t>
  </si>
  <si>
    <t>P0243</t>
  </si>
  <si>
    <t>MSI Neo29Space Gray</t>
  </si>
  <si>
    <t>50.7%</t>
  </si>
  <si>
    <t>P0244</t>
  </si>
  <si>
    <t>Nothing Pro54512GB</t>
  </si>
  <si>
    <t>P0245</t>
  </si>
  <si>
    <t>HyperX Lite61Blue</t>
  </si>
  <si>
    <t>P0246</t>
  </si>
  <si>
    <t>Samsung X87</t>
  </si>
  <si>
    <t>P0247</t>
  </si>
  <si>
    <t>iQOO Plus818GB</t>
  </si>
  <si>
    <t>P0248</t>
  </si>
  <si>
    <t>Vivo Plus50Space Gray</t>
  </si>
  <si>
    <t>29.4%</t>
  </si>
  <si>
    <t>P0249</t>
  </si>
  <si>
    <t>Philips S59</t>
  </si>
  <si>
    <t>64.6%</t>
  </si>
  <si>
    <t>P0250</t>
  </si>
  <si>
    <t>Corsair Lite46512GB</t>
  </si>
  <si>
    <t>33.4%</t>
  </si>
  <si>
    <t>P0251</t>
  </si>
  <si>
    <t>Realme Pro158GB</t>
  </si>
  <si>
    <t>P0252</t>
  </si>
  <si>
    <t>Oppo Ultra82</t>
  </si>
  <si>
    <t>P0253</t>
  </si>
  <si>
    <t>Logitech Ultra80</t>
  </si>
  <si>
    <t>20.7%</t>
  </si>
  <si>
    <t>P0254</t>
  </si>
  <si>
    <t>MSI Ultra53Red</t>
  </si>
  <si>
    <t>57.5%</t>
  </si>
  <si>
    <t>P0255</t>
  </si>
  <si>
    <t>TCL Pro58GB</t>
  </si>
  <si>
    <t>78.3%</t>
  </si>
  <si>
    <t>P0256</t>
  </si>
  <si>
    <t>Gigabyte Pro70512GB</t>
  </si>
  <si>
    <t>P0257</t>
  </si>
  <si>
    <t>Lava S39Starlight</t>
  </si>
  <si>
    <t>P0258</t>
  </si>
  <si>
    <t>Itel S958GB</t>
  </si>
  <si>
    <t>P0259</t>
  </si>
  <si>
    <t>Belkin Neo45128GB</t>
  </si>
  <si>
    <t>66.1%</t>
  </si>
  <si>
    <t>P0260</t>
  </si>
  <si>
    <t>Sennheiser X18</t>
  </si>
  <si>
    <t>P0261</t>
  </si>
  <si>
    <t>WD Plus63</t>
  </si>
  <si>
    <t>P0262</t>
  </si>
  <si>
    <t>Motorola Pro89Red</t>
  </si>
  <si>
    <t>38.8%</t>
  </si>
  <si>
    <t>P0263</t>
  </si>
  <si>
    <t>SanDisk Lite9</t>
  </si>
  <si>
    <t>67.4%</t>
  </si>
  <si>
    <t>P0264</t>
  </si>
  <si>
    <t>Fitbit Neo17Green</t>
  </si>
  <si>
    <t>18.8%</t>
  </si>
  <si>
    <t>P0265</t>
  </si>
  <si>
    <t>Samsung M57512GB</t>
  </si>
  <si>
    <t>94.2%</t>
  </si>
  <si>
    <t>P0266</t>
  </si>
  <si>
    <t>Lenovo Lite33Starlight</t>
  </si>
  <si>
    <t>42.2%</t>
  </si>
  <si>
    <t>P0267</t>
  </si>
  <si>
    <t>Micromax Plus848GB</t>
  </si>
  <si>
    <t>21.7%</t>
  </si>
  <si>
    <t>P0268</t>
  </si>
  <si>
    <t>HyperX Ultra2</t>
  </si>
  <si>
    <t>27.7%</t>
  </si>
  <si>
    <t>P0269</t>
  </si>
  <si>
    <t>LG X14256GB</t>
  </si>
  <si>
    <t>41.1%</t>
  </si>
  <si>
    <t>P0270</t>
  </si>
  <si>
    <t>Kingston M57Starlight</t>
  </si>
  <si>
    <t>65.3%</t>
  </si>
  <si>
    <t>P0271</t>
  </si>
  <si>
    <t>OnePlus X761TB</t>
  </si>
  <si>
    <t>44.4%</t>
  </si>
  <si>
    <t>P0272</t>
  </si>
  <si>
    <t>WD Neo77Green</t>
  </si>
  <si>
    <t>84.0%</t>
  </si>
  <si>
    <t>P0273</t>
  </si>
  <si>
    <t>Transcend S64128GB</t>
  </si>
  <si>
    <t>75.4%</t>
  </si>
  <si>
    <t>P0274</t>
  </si>
  <si>
    <t>Philips M50</t>
  </si>
  <si>
    <t>34.2%</t>
  </si>
  <si>
    <t>P0275</t>
  </si>
  <si>
    <t>Samsung X2Space Gray</t>
  </si>
  <si>
    <t>72.0%</t>
  </si>
  <si>
    <t>P0276</t>
  </si>
  <si>
    <t>Itel Plus90Silver</t>
  </si>
  <si>
    <t>P0277</t>
  </si>
  <si>
    <t>Sennheiser M694GB</t>
  </si>
  <si>
    <t>35.7%</t>
  </si>
  <si>
    <t>P0278</t>
  </si>
  <si>
    <t>Dell X568GB</t>
  </si>
  <si>
    <t>43.3%</t>
  </si>
  <si>
    <t>P0279</t>
  </si>
  <si>
    <t>Intex M6464GB</t>
  </si>
  <si>
    <t>P0280</t>
  </si>
  <si>
    <t>Micromax A43512GB</t>
  </si>
  <si>
    <t>67.7%</t>
  </si>
  <si>
    <t>P0281</t>
  </si>
  <si>
    <t>Philips Ultra73128GB</t>
  </si>
  <si>
    <t>44.7%</t>
  </si>
  <si>
    <t>P0282</t>
  </si>
  <si>
    <t>Apple A32128GB</t>
  </si>
  <si>
    <t>36.9%</t>
  </si>
  <si>
    <t>P0283</t>
  </si>
  <si>
    <t>MSI Plus29Starlight</t>
  </si>
  <si>
    <t>55.5%</t>
  </si>
  <si>
    <t>P0284</t>
  </si>
  <si>
    <t>Realme A23Red</t>
  </si>
  <si>
    <t>16.0%</t>
  </si>
  <si>
    <t>P0285</t>
  </si>
  <si>
    <t>Itel Lite1232GB</t>
  </si>
  <si>
    <t>58.1%</t>
  </si>
  <si>
    <t>P0286</t>
  </si>
  <si>
    <t>iQOO Neo64Black</t>
  </si>
  <si>
    <t>73.2%</t>
  </si>
  <si>
    <t>P0287</t>
  </si>
  <si>
    <t>Samsung Max458GB</t>
  </si>
  <si>
    <t>89.0%</t>
  </si>
  <si>
    <t>P0288</t>
  </si>
  <si>
    <t>WD Ultra8Silver</t>
  </si>
  <si>
    <t>47.8%</t>
  </si>
  <si>
    <t>P0289</t>
  </si>
  <si>
    <t>iQOO Neo13256GB</t>
  </si>
  <si>
    <t>P0290</t>
  </si>
  <si>
    <t>WD Pro4132GB</t>
  </si>
  <si>
    <t>P0291</t>
  </si>
  <si>
    <t>Itel X20Space Gray</t>
  </si>
  <si>
    <t>64.4%</t>
  </si>
  <si>
    <t>P0292</t>
  </si>
  <si>
    <t>Vivo Ultra3432GB</t>
  </si>
  <si>
    <t>P0293</t>
  </si>
  <si>
    <t>JBL S46256GB</t>
  </si>
  <si>
    <t>P0294</t>
  </si>
  <si>
    <t>Vivo Max32Green</t>
  </si>
  <si>
    <t>39.1%</t>
  </si>
  <si>
    <t>P0295</t>
  </si>
  <si>
    <t>MI Plus484GB</t>
  </si>
  <si>
    <t>P0296</t>
  </si>
  <si>
    <t>Anker Ultra17Starlight</t>
  </si>
  <si>
    <t>39.3%</t>
  </si>
  <si>
    <t>P0297</t>
  </si>
  <si>
    <t>Micromax Ultra4White</t>
  </si>
  <si>
    <t>P0298</t>
  </si>
  <si>
    <t>Sony Neo79Midnight</t>
  </si>
  <si>
    <t>33.9%</t>
  </si>
  <si>
    <t>P0299</t>
  </si>
  <si>
    <t>LG Plus261TB</t>
  </si>
  <si>
    <t>P0300</t>
  </si>
  <si>
    <t>Nothing Ultra45Green</t>
  </si>
  <si>
    <t>54.0%</t>
  </si>
  <si>
    <t>P0301</t>
  </si>
  <si>
    <t>Samsung A6116GB</t>
  </si>
  <si>
    <t>63.3%</t>
  </si>
  <si>
    <t>P0302</t>
  </si>
  <si>
    <t>Asus A98Green</t>
  </si>
  <si>
    <t>P0303</t>
  </si>
  <si>
    <t>Logitech Neo418GB</t>
  </si>
  <si>
    <t>P0304</t>
  </si>
  <si>
    <t>Marshall Pro23Green</t>
  </si>
  <si>
    <t>95.3%</t>
  </si>
  <si>
    <t>P0305</t>
  </si>
  <si>
    <t>Apple Neo26</t>
  </si>
  <si>
    <t>65.4%</t>
  </si>
  <si>
    <t>P0306</t>
  </si>
  <si>
    <t>Itel Max47512GB</t>
  </si>
  <si>
    <t>P0307</t>
  </si>
  <si>
    <t>MI Plus82</t>
  </si>
  <si>
    <t>33.6%</t>
  </si>
  <si>
    <t>P0308</t>
  </si>
  <si>
    <t>LG Pro1732GB</t>
  </si>
  <si>
    <t>75.5%</t>
  </si>
  <si>
    <t>P0309</t>
  </si>
  <si>
    <t>Kingston Neo148GB</t>
  </si>
  <si>
    <t>P0310</t>
  </si>
  <si>
    <t>SanDisk Lite58256GB</t>
  </si>
  <si>
    <t>P0311</t>
  </si>
  <si>
    <t>Micromax A5064GB</t>
  </si>
  <si>
    <t>18.3%</t>
  </si>
  <si>
    <t>P0312</t>
  </si>
  <si>
    <t>Razer X62White</t>
  </si>
  <si>
    <t>67.2%</t>
  </si>
  <si>
    <t>P0313</t>
  </si>
  <si>
    <t>OnePlus Lite22256GB</t>
  </si>
  <si>
    <t>71.9%</t>
  </si>
  <si>
    <t>P0314</t>
  </si>
  <si>
    <t>iBall Plus8464GB</t>
  </si>
  <si>
    <t>P0315</t>
  </si>
  <si>
    <t>Google Max34Green</t>
  </si>
  <si>
    <t>75.9%</t>
  </si>
  <si>
    <t>P0316</t>
  </si>
  <si>
    <t>JBL Lite1128GB</t>
  </si>
  <si>
    <t>P0317</t>
  </si>
  <si>
    <t>Belkin Pro11</t>
  </si>
  <si>
    <t>P0318</t>
  </si>
  <si>
    <t>Lenovo Max50Starlight</t>
  </si>
  <si>
    <t>P0319</t>
  </si>
  <si>
    <t>Seagate Pro738GB</t>
  </si>
  <si>
    <t>P0320</t>
  </si>
  <si>
    <t>TCL S71Space Gray</t>
  </si>
  <si>
    <t>30.5%</t>
  </si>
  <si>
    <t>P0321</t>
  </si>
  <si>
    <t>Nothing X5132GB</t>
  </si>
  <si>
    <t>86.6%</t>
  </si>
  <si>
    <t>P0322</t>
  </si>
  <si>
    <t>Logitech S25</t>
  </si>
  <si>
    <t>74.7%</t>
  </si>
  <si>
    <t>P0323</t>
  </si>
  <si>
    <t>Crucial Lite9416GB</t>
  </si>
  <si>
    <t>85.8%</t>
  </si>
  <si>
    <t>P0324</t>
  </si>
  <si>
    <t>iQOO Neo7664GB</t>
  </si>
  <si>
    <t>26.0%</t>
  </si>
  <si>
    <t>P0325</t>
  </si>
  <si>
    <t>OnePlus X37Space Gray</t>
  </si>
  <si>
    <t>20.1%</t>
  </si>
  <si>
    <t>P0326</t>
  </si>
  <si>
    <t>Sony Pro52</t>
  </si>
  <si>
    <t>P0327</t>
  </si>
  <si>
    <t>Asus A44Black</t>
  </si>
  <si>
    <t>56.3%</t>
  </si>
  <si>
    <t>P0328</t>
  </si>
  <si>
    <t>MI Ultra4232GB</t>
  </si>
  <si>
    <t>32.6%</t>
  </si>
  <si>
    <t>P0329</t>
  </si>
  <si>
    <t>Lava Max48Blue</t>
  </si>
  <si>
    <t>P0330</t>
  </si>
  <si>
    <t>Gigabyte M2564GB</t>
  </si>
  <si>
    <t>P0331</t>
  </si>
  <si>
    <t>Philips Max51Gold</t>
  </si>
  <si>
    <t>88.7%</t>
  </si>
  <si>
    <t>P0332</t>
  </si>
  <si>
    <t>Nothing Max45Space Gray</t>
  </si>
  <si>
    <t>P0333</t>
  </si>
  <si>
    <t>Bose S29Space Gray</t>
  </si>
  <si>
    <t>61.3%</t>
  </si>
  <si>
    <t>P0334</t>
  </si>
  <si>
    <t>Nothing M771TB</t>
  </si>
  <si>
    <t>90.7%</t>
  </si>
  <si>
    <t>P0335</t>
  </si>
  <si>
    <t>Garmin Pro28Gold</t>
  </si>
  <si>
    <t>66.5%</t>
  </si>
  <si>
    <t>P0336</t>
  </si>
  <si>
    <t>MSI Neo78Starlight</t>
  </si>
  <si>
    <t>69.7%</t>
  </si>
  <si>
    <t>P0337</t>
  </si>
  <si>
    <t>Asus Pro2516GB</t>
  </si>
  <si>
    <t>25.6%</t>
  </si>
  <si>
    <t>P0338</t>
  </si>
  <si>
    <t>Micromax Ultra3864GB</t>
  </si>
  <si>
    <t>P0339</t>
  </si>
  <si>
    <t>Portronics Ultra86Green</t>
  </si>
  <si>
    <t>32.0%</t>
  </si>
  <si>
    <t>P0340</t>
  </si>
  <si>
    <t>MI Max9816GB</t>
  </si>
  <si>
    <t>P0341</t>
  </si>
  <si>
    <t>Google Lite34</t>
  </si>
  <si>
    <t>71.1%</t>
  </si>
  <si>
    <t>P0342</t>
  </si>
  <si>
    <t>Nothing Max164GB</t>
  </si>
  <si>
    <t>43.5%</t>
  </si>
  <si>
    <t>P0343</t>
  </si>
  <si>
    <t>Fitbit Neo59Silver</t>
  </si>
  <si>
    <t>P0344</t>
  </si>
  <si>
    <t>boAt A1Starlight</t>
  </si>
  <si>
    <t>65.6%</t>
  </si>
  <si>
    <t>P0345</t>
  </si>
  <si>
    <t>MI Plus82Midnight</t>
  </si>
  <si>
    <t>P0346</t>
  </si>
  <si>
    <t>Micromax A42Black</t>
  </si>
  <si>
    <t>P0347</t>
  </si>
  <si>
    <t>Noise X501TB</t>
  </si>
  <si>
    <t>P0348</t>
  </si>
  <si>
    <t>Micromax Neo68Red</t>
  </si>
  <si>
    <t>35.3%</t>
  </si>
  <si>
    <t>P0349</t>
  </si>
  <si>
    <t>Bose A30White</t>
  </si>
  <si>
    <t>21.3%</t>
  </si>
  <si>
    <t>P0350</t>
  </si>
  <si>
    <t>LG Pro99Starlight</t>
  </si>
  <si>
    <t>41.6%</t>
  </si>
  <si>
    <t>P0351</t>
  </si>
  <si>
    <t>Dell Plus57512GB</t>
  </si>
  <si>
    <t>77.4%</t>
  </si>
  <si>
    <t>P0352</t>
  </si>
  <si>
    <t>Noise X85Silver</t>
  </si>
  <si>
    <t>61.7%</t>
  </si>
  <si>
    <t>P0353</t>
  </si>
  <si>
    <t>Sennheiser X37Midnight</t>
  </si>
  <si>
    <t>22.6%</t>
  </si>
  <si>
    <t>P0354</t>
  </si>
  <si>
    <t>Anker Plus38Black</t>
  </si>
  <si>
    <t>91.5%</t>
  </si>
  <si>
    <t>P0355</t>
  </si>
  <si>
    <t>Apple X15</t>
  </si>
  <si>
    <t>41.7%</t>
  </si>
  <si>
    <t>P0356</t>
  </si>
  <si>
    <t>Seagate S59Starlight</t>
  </si>
  <si>
    <t>54.5%</t>
  </si>
  <si>
    <t>P0357</t>
  </si>
  <si>
    <t>Portronics Plus95</t>
  </si>
  <si>
    <t>83.9%</t>
  </si>
  <si>
    <t>P0358</t>
  </si>
  <si>
    <t>Fitbit Ultra80Black</t>
  </si>
  <si>
    <t>P0359</t>
  </si>
  <si>
    <t>Asus Ultra54White</t>
  </si>
  <si>
    <t>67.8%</t>
  </si>
  <si>
    <t>P0360</t>
  </si>
  <si>
    <t>Gigabyte Ultra24</t>
  </si>
  <si>
    <t>68.1%</t>
  </si>
  <si>
    <t>P0361</t>
  </si>
  <si>
    <t>Realme Ultra6Silver</t>
  </si>
  <si>
    <t>P0362</t>
  </si>
  <si>
    <t>HyperX Neo13Red</t>
  </si>
  <si>
    <t>27.1%</t>
  </si>
  <si>
    <t>P0363</t>
  </si>
  <si>
    <t>Apple M65Starlight</t>
  </si>
  <si>
    <t>46.5%</t>
  </si>
  <si>
    <t>P0364</t>
  </si>
  <si>
    <t>Dell S71Red</t>
  </si>
  <si>
    <t>P0365</t>
  </si>
  <si>
    <t>Lenovo Ultra41Blue</t>
  </si>
  <si>
    <t>44.1%</t>
  </si>
  <si>
    <t>P0366</t>
  </si>
  <si>
    <t>Lenovo Neo82Midnight</t>
  </si>
  <si>
    <t>P0367</t>
  </si>
  <si>
    <t>TP-Link Lite72Gold</t>
  </si>
  <si>
    <t>P0368</t>
  </si>
  <si>
    <t>Apple Lite82</t>
  </si>
  <si>
    <t>P0369</t>
  </si>
  <si>
    <t>MI X33Silver</t>
  </si>
  <si>
    <t>79.3%</t>
  </si>
  <si>
    <t>P0370</t>
  </si>
  <si>
    <t>iBall X97</t>
  </si>
  <si>
    <t>87.4%</t>
  </si>
  <si>
    <t>P0371</t>
  </si>
  <si>
    <t>iQOO Neo65</t>
  </si>
  <si>
    <t>19.3%</t>
  </si>
  <si>
    <t>P0372</t>
  </si>
  <si>
    <t>Sennheiser Neo23</t>
  </si>
  <si>
    <t>71.0%</t>
  </si>
  <si>
    <t>P0373</t>
  </si>
  <si>
    <t>Google S36Midnight</t>
  </si>
  <si>
    <t>52.5%</t>
  </si>
  <si>
    <t>P0374</t>
  </si>
  <si>
    <t>Noise Lite92Green</t>
  </si>
  <si>
    <t>P0375</t>
  </si>
  <si>
    <t>iBall M65Starlight</t>
  </si>
  <si>
    <t>36.4%</t>
  </si>
  <si>
    <t>P0376</t>
  </si>
  <si>
    <t>Portronics Pro55Green</t>
  </si>
  <si>
    <t>26.2%</t>
  </si>
  <si>
    <t>P0377</t>
  </si>
  <si>
    <t>Asus Pro88</t>
  </si>
  <si>
    <t>60.6%</t>
  </si>
  <si>
    <t>P0378</t>
  </si>
  <si>
    <t>Garmin X79Gold</t>
  </si>
  <si>
    <t>21.9%</t>
  </si>
  <si>
    <t>P0379</t>
  </si>
  <si>
    <t>LG Plus88White</t>
  </si>
  <si>
    <t>90.2%</t>
  </si>
  <si>
    <t>P0380</t>
  </si>
  <si>
    <t>TCL Max95Space Gray</t>
  </si>
  <si>
    <t>73.9%</t>
  </si>
  <si>
    <t>P0381</t>
  </si>
  <si>
    <t>Realme A55White</t>
  </si>
  <si>
    <t>49.6%</t>
  </si>
  <si>
    <t>P0382</t>
  </si>
  <si>
    <t>iBall A201TB</t>
  </si>
  <si>
    <t>89.7%</t>
  </si>
  <si>
    <t>P0383</t>
  </si>
  <si>
    <t>HP Max29</t>
  </si>
  <si>
    <t>33.2%</t>
  </si>
  <si>
    <t>P0384</t>
  </si>
  <si>
    <t>Lenovo S28Black</t>
  </si>
  <si>
    <t>47.0%</t>
  </si>
  <si>
    <t>P0385</t>
  </si>
  <si>
    <t>Realme Lite58</t>
  </si>
  <si>
    <t>33.7%</t>
  </si>
  <si>
    <t>P0386</t>
  </si>
  <si>
    <t>LG Plus33512GB</t>
  </si>
  <si>
    <t>P0387</t>
  </si>
  <si>
    <t>Vivo A38Blue</t>
  </si>
  <si>
    <t>P0388</t>
  </si>
  <si>
    <t>Apple X27Starlight</t>
  </si>
  <si>
    <t>P0389</t>
  </si>
  <si>
    <t>Lava M4</t>
  </si>
  <si>
    <t>P0390</t>
  </si>
  <si>
    <t>MSI Neo30256GB</t>
  </si>
  <si>
    <t>P0391</t>
  </si>
  <si>
    <t>Portronics Max1512GB</t>
  </si>
  <si>
    <t>P0392</t>
  </si>
  <si>
    <t>Garmin X38Red</t>
  </si>
  <si>
    <t>59.4%</t>
  </si>
  <si>
    <t>P0393</t>
  </si>
  <si>
    <t>Nothing Max29</t>
  </si>
  <si>
    <t>16.3%</t>
  </si>
  <si>
    <t>P0394</t>
  </si>
  <si>
    <t>Noise Lite2</t>
  </si>
  <si>
    <t>48.6%</t>
  </si>
  <si>
    <t>P0395</t>
  </si>
  <si>
    <t>Noise Lite284GB</t>
  </si>
  <si>
    <t>P0396</t>
  </si>
  <si>
    <t>Anker M86512GB</t>
  </si>
  <si>
    <t>29.2%</t>
  </si>
  <si>
    <t>P0397</t>
  </si>
  <si>
    <t>Acer X33</t>
  </si>
  <si>
    <t>P0398</t>
  </si>
  <si>
    <t>OnePlus Neo932GB</t>
  </si>
  <si>
    <t>P0399</t>
  </si>
  <si>
    <t>boAt M1Silver</t>
  </si>
  <si>
    <t>58.8%</t>
  </si>
  <si>
    <t>P0400</t>
  </si>
  <si>
    <t>Portronics Ultra60</t>
  </si>
  <si>
    <t>57.3%</t>
  </si>
  <si>
    <t>P0401</t>
  </si>
  <si>
    <t>Asus Max261TB</t>
  </si>
  <si>
    <t>31.7%</t>
  </si>
  <si>
    <t>P0402</t>
  </si>
  <si>
    <t>Corsair Plus99Space Gray</t>
  </si>
  <si>
    <t>55.2%</t>
  </si>
  <si>
    <t>P0403</t>
  </si>
  <si>
    <t>Philips S99White</t>
  </si>
  <si>
    <t>66.6%</t>
  </si>
  <si>
    <t>P0404</t>
  </si>
  <si>
    <t>Zebronics Neo888GB</t>
  </si>
  <si>
    <t>P0405</t>
  </si>
  <si>
    <t>Garmin S98128GB</t>
  </si>
  <si>
    <t>75.6%</t>
  </si>
  <si>
    <t>P0406</t>
  </si>
  <si>
    <t>Philips Ultra59White</t>
  </si>
  <si>
    <t>78.4%</t>
  </si>
  <si>
    <t>P0407</t>
  </si>
  <si>
    <t>Corsair Neo23Green</t>
  </si>
  <si>
    <t>P0408</t>
  </si>
  <si>
    <t>HyperX Lite45White</t>
  </si>
  <si>
    <t>P0409</t>
  </si>
  <si>
    <t>HP Pro28Red</t>
  </si>
  <si>
    <t>52.2%</t>
  </si>
  <si>
    <t>P0410</t>
  </si>
  <si>
    <t>Micromax Ultra87512GB</t>
  </si>
  <si>
    <t>P0411</t>
  </si>
  <si>
    <t>Gigabyte M18Space Gray</t>
  </si>
  <si>
    <t>P0412</t>
  </si>
  <si>
    <t>HyperX Neo73White</t>
  </si>
  <si>
    <t>87.9%</t>
  </si>
  <si>
    <t>P0413</t>
  </si>
  <si>
    <t>Nothing S53</t>
  </si>
  <si>
    <t>P0414</t>
  </si>
  <si>
    <t>iQOO Neo9Midnight</t>
  </si>
  <si>
    <t>52.1%</t>
  </si>
  <si>
    <t>P0415</t>
  </si>
  <si>
    <t>Portronics M78Silver</t>
  </si>
  <si>
    <t>66.7%</t>
  </si>
  <si>
    <t>P0416</t>
  </si>
  <si>
    <t>Sennheiser X62512GB</t>
  </si>
  <si>
    <t>85.0%</t>
  </si>
  <si>
    <t>P0417</t>
  </si>
  <si>
    <t>Sony Plus30Red</t>
  </si>
  <si>
    <t>39.9%</t>
  </si>
  <si>
    <t>P0418</t>
  </si>
  <si>
    <t>Nothing X378GB</t>
  </si>
  <si>
    <t>P0419</t>
  </si>
  <si>
    <t>HyperX Plus8464GB</t>
  </si>
  <si>
    <t>P0420</t>
  </si>
  <si>
    <t>Seagate Plus73Green</t>
  </si>
  <si>
    <t>19.7%</t>
  </si>
  <si>
    <t>P0421</t>
  </si>
  <si>
    <t>Logitech Max72Black</t>
  </si>
  <si>
    <t>P0422</t>
  </si>
  <si>
    <t>Lava Ultra908GB</t>
  </si>
  <si>
    <t>69.9%</t>
  </si>
  <si>
    <t>P0423</t>
  </si>
  <si>
    <t>Lenovo Ultra771TB</t>
  </si>
  <si>
    <t>80.0%</t>
  </si>
  <si>
    <t>P0424</t>
  </si>
  <si>
    <t>Motorola Max37Midnight</t>
  </si>
  <si>
    <t>89.8%</t>
  </si>
  <si>
    <t>P0425</t>
  </si>
  <si>
    <t>Acer A774GB</t>
  </si>
  <si>
    <t>48.5%</t>
  </si>
  <si>
    <t>P0426</t>
  </si>
  <si>
    <t>Bose Pro52256GB</t>
  </si>
  <si>
    <t>43.1%</t>
  </si>
  <si>
    <t>P0427</t>
  </si>
  <si>
    <t>Lenovo Pro93Green</t>
  </si>
  <si>
    <t>31.8%</t>
  </si>
  <si>
    <t>P0428</t>
  </si>
  <si>
    <t>iQOO Neo1White</t>
  </si>
  <si>
    <t>70.3%</t>
  </si>
  <si>
    <t>P0429</t>
  </si>
  <si>
    <t>Realme Pro69Red</t>
  </si>
  <si>
    <t>P0430</t>
  </si>
  <si>
    <t>Itel Ultra76Gold</t>
  </si>
  <si>
    <t>P0431</t>
  </si>
  <si>
    <t>boAt Lite67Silver</t>
  </si>
  <si>
    <t>96.9%</t>
  </si>
  <si>
    <t>P0432</t>
  </si>
  <si>
    <t>HP M61Green</t>
  </si>
  <si>
    <t>P0433</t>
  </si>
  <si>
    <t>Marshall S954GB</t>
  </si>
  <si>
    <t>P0434</t>
  </si>
  <si>
    <t>JBL X11512GB</t>
  </si>
  <si>
    <t>P0435</t>
  </si>
  <si>
    <t>Kingston Ultra74</t>
  </si>
  <si>
    <t>54.4%</t>
  </si>
  <si>
    <t>P0436</t>
  </si>
  <si>
    <t>Dell Plus62Red</t>
  </si>
  <si>
    <t>42.4%</t>
  </si>
  <si>
    <t>P0437</t>
  </si>
  <si>
    <t>Intex Ultra41Red</t>
  </si>
  <si>
    <t>89.9%</t>
  </si>
  <si>
    <t>P0438</t>
  </si>
  <si>
    <t>Logitech Pro31Green</t>
  </si>
  <si>
    <t>P0439</t>
  </si>
  <si>
    <t>Intex Lite52Black</t>
  </si>
  <si>
    <t>P0440</t>
  </si>
  <si>
    <t>WD Plus49Green</t>
  </si>
  <si>
    <t>74.0%</t>
  </si>
  <si>
    <t>P0441</t>
  </si>
  <si>
    <t>SanDisk Max93Red</t>
  </si>
  <si>
    <t>25.8%</t>
  </si>
  <si>
    <t>P0442</t>
  </si>
  <si>
    <t>Dell Pro614GB</t>
  </si>
  <si>
    <t>79.0%</t>
  </si>
  <si>
    <t>P0443</t>
  </si>
  <si>
    <t>Garmin Plus1664GB</t>
  </si>
  <si>
    <t>20.4%</t>
  </si>
  <si>
    <t>P0444</t>
  </si>
  <si>
    <t>Garmin Max63</t>
  </si>
  <si>
    <t>P0445</t>
  </si>
  <si>
    <t>Google Neo74Starlight</t>
  </si>
  <si>
    <t>84.5%</t>
  </si>
  <si>
    <t>P0446</t>
  </si>
  <si>
    <t>iBall Neo8316GB</t>
  </si>
  <si>
    <t>55.8%</t>
  </si>
  <si>
    <t>P0447</t>
  </si>
  <si>
    <t>Samsung S851TB</t>
  </si>
  <si>
    <t>P0448</t>
  </si>
  <si>
    <t>HP Max7Blue</t>
  </si>
  <si>
    <t>27.2%</t>
  </si>
  <si>
    <t>P0449</t>
  </si>
  <si>
    <t>Lenovo Plus40Starlight</t>
  </si>
  <si>
    <t>69.2%</t>
  </si>
  <si>
    <t>P0450</t>
  </si>
  <si>
    <t>Samsung Lite42128GB</t>
  </si>
  <si>
    <t>P0451</t>
  </si>
  <si>
    <t>Corsair Ultra81Midnight</t>
  </si>
  <si>
    <t>31.6%</t>
  </si>
  <si>
    <t>P0452</t>
  </si>
  <si>
    <t>Razer X578GB</t>
  </si>
  <si>
    <t>P0453</t>
  </si>
  <si>
    <t>Garmin Ultra6932GB</t>
  </si>
  <si>
    <t>P0454</t>
  </si>
  <si>
    <t>Acer S1Midnight</t>
  </si>
  <si>
    <t>74.1%</t>
  </si>
  <si>
    <t>P0455</t>
  </si>
  <si>
    <t>LG Pro118GB</t>
  </si>
  <si>
    <t>26.3%</t>
  </si>
  <si>
    <t>P0456</t>
  </si>
  <si>
    <t>Asus S9Silver</t>
  </si>
  <si>
    <t>77.2%</t>
  </si>
  <si>
    <t>P0457</t>
  </si>
  <si>
    <t>Anker A20</t>
  </si>
  <si>
    <t>P0458</t>
  </si>
  <si>
    <t>Micromax S1264GB</t>
  </si>
  <si>
    <t>71.7%</t>
  </si>
  <si>
    <t>P0459</t>
  </si>
  <si>
    <t>Philips A43Gold</t>
  </si>
  <si>
    <t>P0460</t>
  </si>
  <si>
    <t>Anker Plus216GB</t>
  </si>
  <si>
    <t>23.9%</t>
  </si>
  <si>
    <t>P0461</t>
  </si>
  <si>
    <t>Anker X67Gold</t>
  </si>
  <si>
    <t>P0462</t>
  </si>
  <si>
    <t>Lava Max16Green</t>
  </si>
  <si>
    <t>P0463</t>
  </si>
  <si>
    <t>Realme Plus428GB</t>
  </si>
  <si>
    <t>41.5%</t>
  </si>
  <si>
    <t>P0464</t>
  </si>
  <si>
    <t>Corsair Neo20Blue</t>
  </si>
  <si>
    <t>76.2%</t>
  </si>
  <si>
    <t>P0465</t>
  </si>
  <si>
    <t>Dell M90Black</t>
  </si>
  <si>
    <t>27.5%</t>
  </si>
  <si>
    <t>P0466</t>
  </si>
  <si>
    <t>Vivo A894GB</t>
  </si>
  <si>
    <t>50.8%</t>
  </si>
  <si>
    <t>P0467</t>
  </si>
  <si>
    <t>Razer S73Blue</t>
  </si>
  <si>
    <t>31.4%</t>
  </si>
  <si>
    <t>P0468</t>
  </si>
  <si>
    <t>HP M58Red</t>
  </si>
  <si>
    <t>47.6%</t>
  </si>
  <si>
    <t>P0469</t>
  </si>
  <si>
    <t>Kingston Neo31Black</t>
  </si>
  <si>
    <t>P0470</t>
  </si>
  <si>
    <t>Itel M79Green</t>
  </si>
  <si>
    <t>42.6%</t>
  </si>
  <si>
    <t>P0471</t>
  </si>
  <si>
    <t>Sony M51TB</t>
  </si>
  <si>
    <t>P0472</t>
  </si>
  <si>
    <t>Kingston Pro7Space Gray</t>
  </si>
  <si>
    <t>P0473</t>
  </si>
  <si>
    <t>iQOO A47Starlight</t>
  </si>
  <si>
    <t>P0474</t>
  </si>
  <si>
    <t>Noise S67256GB</t>
  </si>
  <si>
    <t>P0475</t>
  </si>
  <si>
    <t>Gigabyte M72Starlight</t>
  </si>
  <si>
    <t>P0476</t>
  </si>
  <si>
    <t>OnePlus M71</t>
  </si>
  <si>
    <t>P0477</t>
  </si>
  <si>
    <t>MSI Lite53</t>
  </si>
  <si>
    <t>P0478</t>
  </si>
  <si>
    <t>LG Pro47Green</t>
  </si>
  <si>
    <t>P0479</t>
  </si>
  <si>
    <t>MI A3932GB</t>
  </si>
  <si>
    <t>P0480</t>
  </si>
  <si>
    <t>Garmin M341TB</t>
  </si>
  <si>
    <t>P0481</t>
  </si>
  <si>
    <t>Micromax Lite62256GB</t>
  </si>
  <si>
    <t>30.8%</t>
  </si>
  <si>
    <t>P0482</t>
  </si>
  <si>
    <t>Lenovo Lite45128GB</t>
  </si>
  <si>
    <t>46.7%</t>
  </si>
  <si>
    <t>P0483</t>
  </si>
  <si>
    <t>SanDisk Plus7Starlight</t>
  </si>
  <si>
    <t>P0484</t>
  </si>
  <si>
    <t>JBL Plus58128GB</t>
  </si>
  <si>
    <t>P0485</t>
  </si>
  <si>
    <t>Lenovo Neo96Blue</t>
  </si>
  <si>
    <t>33.3%</t>
  </si>
  <si>
    <t>P0486</t>
  </si>
  <si>
    <t>TCL Ultra721TB</t>
  </si>
  <si>
    <t>P0487</t>
  </si>
  <si>
    <t>Itel Lite88Silver</t>
  </si>
  <si>
    <t>76.7%</t>
  </si>
  <si>
    <t>P0488</t>
  </si>
  <si>
    <t>Garmin A99Midnight</t>
  </si>
  <si>
    <t>65.9%</t>
  </si>
  <si>
    <t>P0489</t>
  </si>
  <si>
    <t>Anker Lite20</t>
  </si>
  <si>
    <t>81.9%</t>
  </si>
  <si>
    <t>P0490</t>
  </si>
  <si>
    <t>Apple X40</t>
  </si>
  <si>
    <t>47.1%</t>
  </si>
  <si>
    <t>P0491</t>
  </si>
  <si>
    <t>TCL Max6216GB</t>
  </si>
  <si>
    <t>P0492</t>
  </si>
  <si>
    <t>Sony M816GB</t>
  </si>
  <si>
    <t>58.7%</t>
  </si>
  <si>
    <t>P0493</t>
  </si>
  <si>
    <t>HP Pro85White</t>
  </si>
  <si>
    <t>P0494</t>
  </si>
  <si>
    <t>iBall Lite63512GB</t>
  </si>
  <si>
    <t>53.6%</t>
  </si>
  <si>
    <t>P0495</t>
  </si>
  <si>
    <t>Sony Max408GB</t>
  </si>
  <si>
    <t>P0496</t>
  </si>
  <si>
    <t>SanDisk S6532GB</t>
  </si>
  <si>
    <t>P0497</t>
  </si>
  <si>
    <t>TP-Link Lite511TB</t>
  </si>
  <si>
    <t>P0498</t>
  </si>
  <si>
    <t>Oppo Neo4332GB</t>
  </si>
  <si>
    <t>38.6%</t>
  </si>
  <si>
    <t>P0499</t>
  </si>
  <si>
    <t>Intex M56Red</t>
  </si>
  <si>
    <t>79.6%</t>
  </si>
  <si>
    <t>P0500</t>
  </si>
  <si>
    <t>Micromax M41512GB</t>
  </si>
  <si>
    <t>78.7%</t>
  </si>
  <si>
    <t>RepName</t>
  </si>
  <si>
    <t>Department</t>
  </si>
  <si>
    <t>Experience</t>
  </si>
  <si>
    <t>Education</t>
  </si>
  <si>
    <t>BaseSalary</t>
  </si>
  <si>
    <t>DealDate</t>
  </si>
  <si>
    <t>DealStage</t>
  </si>
  <si>
    <t>DealValue</t>
  </si>
  <si>
    <t>CommissionRate</t>
  </si>
  <si>
    <t>CommissionEarned</t>
  </si>
  <si>
    <t>LeadSource</t>
  </si>
  <si>
    <t>ProductCategory</t>
  </si>
  <si>
    <t>CustomerSize</t>
  </si>
  <si>
    <t>MonthlyTarget</t>
  </si>
  <si>
    <t>MonthlyAchieved</t>
  </si>
  <si>
    <t>AttainmentPct</t>
  </si>
  <si>
    <t>PerformanceRating</t>
  </si>
  <si>
    <t>SR001</t>
  </si>
  <si>
    <t>Meena Singh</t>
  </si>
  <si>
    <t>meena.singh14@techmart.com</t>
  </si>
  <si>
    <t>Channel Sales</t>
  </si>
  <si>
    <t>0-1 yr</t>
  </si>
  <si>
    <t>PGDM</t>
  </si>
  <si>
    <t>Closed Won</t>
  </si>
  <si>
    <t>LinkedIn</t>
  </si>
  <si>
    <t>Exceeded</t>
  </si>
  <si>
    <t>Negotiation</t>
  </si>
  <si>
    <t>Referral</t>
  </si>
  <si>
    <t>Individual</t>
  </si>
  <si>
    <t>Inbound Lead</t>
  </si>
  <si>
    <t>Closed Lost</t>
  </si>
  <si>
    <t>Trade Show</t>
  </si>
  <si>
    <t>Cold Call</t>
  </si>
  <si>
    <t>Below Target</t>
  </si>
  <si>
    <t>Met</t>
  </si>
  <si>
    <t>Email Campaign</t>
  </si>
  <si>
    <t>Mid-Market</t>
  </si>
  <si>
    <t>SMB</t>
  </si>
  <si>
    <t>Proposal Sent</t>
  </si>
  <si>
    <t>Walk-in</t>
  </si>
  <si>
    <t>SR002</t>
  </si>
  <si>
    <t>Suresh Joshi</t>
  </si>
  <si>
    <t>suresh.joshi30@techmart.com</t>
  </si>
  <si>
    <t>Enterprise Sales</t>
  </si>
  <si>
    <t>M.Com</t>
  </si>
  <si>
    <t>SR003</t>
  </si>
  <si>
    <t>Harish Bose</t>
  </si>
  <si>
    <t>harish.bose24@techmart.com</t>
  </si>
  <si>
    <t>Online Sales</t>
  </si>
  <si>
    <t>5-10 yrs</t>
  </si>
  <si>
    <t>BBA</t>
  </si>
  <si>
    <t>SR004</t>
  </si>
  <si>
    <t>Manoj Lal</t>
  </si>
  <si>
    <t>manoj.lal98@techmart.com</t>
  </si>
  <si>
    <t>SR005</t>
  </si>
  <si>
    <t>Anita Banerjee</t>
  </si>
  <si>
    <t>anita.banerjee79@techmart.com</t>
  </si>
  <si>
    <t>SR006</t>
  </si>
  <si>
    <t>Manoj Rastogi</t>
  </si>
  <si>
    <t>manoj.rastogi93@techmart.com</t>
  </si>
  <si>
    <t>10+ yrs</t>
  </si>
  <si>
    <t>SR007</t>
  </si>
  <si>
    <t>Manoj Saxena</t>
  </si>
  <si>
    <t>manoj.saxena58@techmart.com</t>
  </si>
  <si>
    <t>Direct Sales</t>
  </si>
  <si>
    <t>1-3 yrs</t>
  </si>
  <si>
    <t>B.Sc</t>
  </si>
  <si>
    <t>SR008</t>
  </si>
  <si>
    <t>Karan Agarwal</t>
  </si>
  <si>
    <t>karan.agarwal25@techmart.com</t>
  </si>
  <si>
    <t>MBA</t>
  </si>
  <si>
    <t>SR009</t>
  </si>
  <si>
    <t>Sneha Tiwari</t>
  </si>
  <si>
    <t>sneha.tiwari79@techmart.com</t>
  </si>
  <si>
    <t>Retail Sales</t>
  </si>
  <si>
    <t>B.Tech</t>
  </si>
  <si>
    <t>SR010</t>
  </si>
  <si>
    <t>Kavita Patel</t>
  </si>
  <si>
    <t>kavita.patel75@techmart.com</t>
  </si>
  <si>
    <t>SR011</t>
  </si>
  <si>
    <t>Anita Ghosh</t>
  </si>
  <si>
    <t>anita.ghosh76@techmart.com</t>
  </si>
  <si>
    <t>SR012</t>
  </si>
  <si>
    <t>Sanjay Reddy</t>
  </si>
  <si>
    <t>sanjay.reddy12@techmart.com</t>
  </si>
  <si>
    <t>3-5 yrs</t>
  </si>
  <si>
    <t>B.Com</t>
  </si>
  <si>
    <t>SR013</t>
  </si>
  <si>
    <t>Sanjay Rastogi</t>
  </si>
  <si>
    <t>sanjay.rastogi71@techmart.com</t>
  </si>
  <si>
    <t>SR014</t>
  </si>
  <si>
    <t>Anita Agarwal</t>
  </si>
  <si>
    <t>anita.agarwal54@techmart.com</t>
  </si>
  <si>
    <t>SR015</t>
  </si>
  <si>
    <t>Rohit Kumar</t>
  </si>
  <si>
    <t>rohit.kumar80@techmart.com</t>
  </si>
  <si>
    <t>SR016</t>
  </si>
  <si>
    <t>Deepak Roy</t>
  </si>
  <si>
    <t>deepak.roy31@techmart.com</t>
  </si>
  <si>
    <t>SR017</t>
  </si>
  <si>
    <t>Deepak Iyer</t>
  </si>
  <si>
    <t>deepak.iyer71@techmart.com</t>
  </si>
  <si>
    <t>SR018</t>
  </si>
  <si>
    <t>Meena Agarwal</t>
  </si>
  <si>
    <t>meena.agarwal84@techmart.com</t>
  </si>
  <si>
    <t>SR019</t>
  </si>
  <si>
    <t>Preeti Chopra</t>
  </si>
  <si>
    <t>preeti.chopra12@techmart.com</t>
  </si>
  <si>
    <t>SR020</t>
  </si>
  <si>
    <t>anita.ghosh96@techmart.com</t>
  </si>
  <si>
    <t>SR021</t>
  </si>
  <si>
    <t>Karan Malhotra</t>
  </si>
  <si>
    <t>karan.malhotra98@techmart.com</t>
  </si>
  <si>
    <t>SR022</t>
  </si>
  <si>
    <t>Swati Chopra</t>
  </si>
  <si>
    <t>swati.chopra68@techmart.com</t>
  </si>
  <si>
    <t>SR023</t>
  </si>
  <si>
    <t>Amit Nair</t>
  </si>
  <si>
    <t>amit.nair62@techmart.com</t>
  </si>
  <si>
    <t>SR024</t>
  </si>
  <si>
    <t>Arun Sharma</t>
  </si>
  <si>
    <t>arun.sharma79@techmart.com</t>
  </si>
  <si>
    <t>SR025</t>
  </si>
  <si>
    <t>Anita Joshi</t>
  </si>
  <si>
    <t>anita.joshi91@techmart.com</t>
  </si>
  <si>
    <t>SR026</t>
  </si>
  <si>
    <t>Kavita Mehta</t>
  </si>
  <si>
    <t>kavita.mehta79@techmart.com</t>
  </si>
  <si>
    <t>SR027</t>
  </si>
  <si>
    <t>Pooja Kumar</t>
  </si>
  <si>
    <t>pooja.kumar82@techmart.com</t>
  </si>
  <si>
    <t>SR028</t>
  </si>
  <si>
    <t>Manish Kumar</t>
  </si>
  <si>
    <t>manish.kumar15@techmart.com</t>
  </si>
  <si>
    <t>SR029</t>
  </si>
  <si>
    <t>Seema Chopra</t>
  </si>
  <si>
    <t>seema.chopra87@techmart.com</t>
  </si>
  <si>
    <t>SR030</t>
  </si>
  <si>
    <t>Jyoti Chopra</t>
  </si>
  <si>
    <t>jyoti.chopra60@techmart.com</t>
  </si>
  <si>
    <t>SR031</t>
  </si>
  <si>
    <t>Sunita Mehta</t>
  </si>
  <si>
    <t>sunita.mehta74@techmart.com</t>
  </si>
  <si>
    <t>SR032</t>
  </si>
  <si>
    <t>Karan Gupta</t>
  </si>
  <si>
    <t>karan.gupta74@techmart.com</t>
  </si>
  <si>
    <t>SR033</t>
  </si>
  <si>
    <t>Manish Pillai</t>
  </si>
  <si>
    <t>manish.pillai35@techmart.com</t>
  </si>
  <si>
    <t>SR034</t>
  </si>
  <si>
    <t>Preeti Mehta</t>
  </si>
  <si>
    <t>preeti.mehta68@techmart.com</t>
  </si>
  <si>
    <t>SR035</t>
  </si>
  <si>
    <t>Arjun Rao</t>
  </si>
  <si>
    <t>arjun.rao62@techmart.com</t>
  </si>
  <si>
    <t>SR036</t>
  </si>
  <si>
    <t>preeti.pandey19@techmart.com</t>
  </si>
  <si>
    <t>SR037</t>
  </si>
  <si>
    <t>Kavita Kumar</t>
  </si>
  <si>
    <t>kavita.kumar40@techmart.com</t>
  </si>
  <si>
    <t>SR038</t>
  </si>
  <si>
    <t>Preeti Rao</t>
  </si>
  <si>
    <t>preeti.rao74@techmart.com</t>
  </si>
  <si>
    <t>SR039</t>
  </si>
  <si>
    <t>Manish Banerjee</t>
  </si>
  <si>
    <t>manish.banerjee86@techmart.com</t>
  </si>
  <si>
    <t>SR040</t>
  </si>
  <si>
    <t>Amit Mehta</t>
  </si>
  <si>
    <t>amit.mehta70@techmart.com</t>
  </si>
  <si>
    <t>SR041</t>
  </si>
  <si>
    <t>Gaurav Iyer</t>
  </si>
  <si>
    <t>gaurav.iyer22@techmart.com</t>
  </si>
  <si>
    <t>SR042</t>
  </si>
  <si>
    <t>Sunita Sen</t>
  </si>
  <si>
    <t>sunita.sen87@techmart.com</t>
  </si>
  <si>
    <t>SR043</t>
  </si>
  <si>
    <t>anita.banerjee464@techmart.com</t>
  </si>
  <si>
    <t>SR044</t>
  </si>
  <si>
    <t>Jyoti Sharma</t>
  </si>
  <si>
    <t>jyoti.sharma12@techmart.com</t>
  </si>
  <si>
    <t>SR045</t>
  </si>
  <si>
    <t>Suresh Verma</t>
  </si>
  <si>
    <t>suresh.verma79@techmart.com</t>
  </si>
  <si>
    <t>SR046</t>
  </si>
  <si>
    <t>Usha Rao</t>
  </si>
  <si>
    <t>usha.rao9@techmart.com</t>
  </si>
  <si>
    <t>SR047</t>
  </si>
  <si>
    <t>arun.sharma66@techmart.com</t>
  </si>
  <si>
    <t>SR048</t>
  </si>
  <si>
    <t>Jyoti Dubey</t>
  </si>
  <si>
    <t>jyoti.dubey76@techmart.com</t>
  </si>
  <si>
    <t>SR049</t>
  </si>
  <si>
    <t>vikram.chopra27@techmart.com</t>
  </si>
  <si>
    <t>SR050</t>
  </si>
  <si>
    <t>neha.patel85@techmart.com</t>
  </si>
  <si>
    <t>DayToClose</t>
  </si>
  <si>
    <t>DealYear</t>
  </si>
  <si>
    <t>IsWon</t>
  </si>
  <si>
    <t>Meena</t>
  </si>
  <si>
    <t>Project:        TechMart Sales Analytics Dashboard</t>
  </si>
  <si>
    <t>─────────────────────────────────────────</t>
  </si>
  <si>
    <t>SHEET GUIDE</t>
  </si>
  <si>
    <t>Dashboard            → Executive KPI dashboard (main deliverable)</t>
  </si>
  <si>
    <t>Analysis             → Pivot tables and deep-dive analysis</t>
  </si>
  <si>
    <t>DATA MODEL</t>
  </si>
  <si>
    <t>KEY METRICS BUILT</t>
  </si>
  <si>
    <t>Total Revenue · Profit Margin · MoM Growth</t>
  </si>
  <si>
    <t>Top Products · Regional Performance</t>
  </si>
  <si>
    <t>Sales Rep Leaderboard · Customer Segmentation</t>
  </si>
  <si>
    <t>Tool:               Microsoft Excel 365 + Power Query</t>
  </si>
  <si>
    <t>Analyst:        Mohd Atir</t>
  </si>
  <si>
    <t>Dataset:       4 tables · 500 rows each · Fictional e-commerce data</t>
  </si>
  <si>
    <t>Last Updated:   01-04-2026</t>
  </si>
  <si>
    <t>orders          → Cleaned transactional orders data (500 rows)</t>
  </si>
  <si>
    <t>customers        → Customer master data (500 rows)</t>
  </si>
  <si>
    <t>sales_reps      → Sales rep deal performance (500 rows)</t>
  </si>
  <si>
    <t>products         → Product catalogue (500 rows)</t>
  </si>
  <si>
    <t>orders ──── CustomerID ──▶ customers</t>
  </si>
  <si>
    <t>orders ──── ProductID  ──▶ products</t>
  </si>
  <si>
    <t>orders ──── SalesRepID ──▶ sales_reps</t>
  </si>
  <si>
    <t>TechMart Data Quality Audit Report</t>
  </si>
  <si>
    <t>Table</t>
  </si>
  <si>
    <t>Total Rows</t>
  </si>
  <si>
    <t>Blank Count</t>
  </si>
  <si>
    <t>Duplicate Count</t>
  </si>
  <si>
    <t>Date Errors</t>
  </si>
  <si>
    <t>Negative Values</t>
  </si>
  <si>
    <t>Quality Score</t>
  </si>
  <si>
    <t>orders</t>
  </si>
  <si>
    <t>customers</t>
  </si>
  <si>
    <t>products</t>
  </si>
  <si>
    <t>sales_reps</t>
  </si>
  <si>
    <t>DataFlag</t>
  </si>
  <si>
    <t>IsOutlier</t>
  </si>
  <si>
    <t>RecordAge_Days</t>
  </si>
  <si>
    <t>orders — Detailed Validation</t>
  </si>
  <si>
    <t>Check</t>
  </si>
  <si>
    <t>Count</t>
  </si>
  <si>
    <t>Total Orders</t>
  </si>
  <si>
    <t>Valid Records</t>
  </si>
  <si>
    <t>Flagged Records</t>
  </si>
  <si>
    <t>Outliers Detected</t>
  </si>
  <si>
    <t>Completed Orders</t>
  </si>
  <si>
    <t>Pending Orders</t>
  </si>
  <si>
    <t>Cancelled Orders</t>
  </si>
  <si>
    <t>Orders with Rating</t>
  </si>
  <si>
    <t>Unique Customers</t>
  </si>
  <si>
    <t>Unique Products Sold</t>
  </si>
  <si>
    <t>Date Range</t>
  </si>
  <si>
    <t>TechMart — KPI Engine (Single Source of Truth)</t>
  </si>
  <si>
    <t>SECTION 1: REVENUE &amp; SALES METRICS</t>
  </si>
  <si>
    <t>Total Revenue (All Time)</t>
  </si>
  <si>
    <t>Total Revenue 2022</t>
  </si>
  <si>
    <t>Total Revenue 2023</t>
  </si>
  <si>
    <t>Total Revenue 2024</t>
  </si>
  <si>
    <t>YoY Growth 2023 vs 2022</t>
  </si>
  <si>
    <t>YoY Growth 2024 vs 2023</t>
  </si>
  <si>
    <t>Average Order Value</t>
  </si>
  <si>
    <t>Highest Single Order</t>
  </si>
  <si>
    <t>Lowest Single Order</t>
  </si>
  <si>
    <t>Revenue — North Region</t>
  </si>
  <si>
    <t>Revenue — South Region</t>
  </si>
  <si>
    <t>Revenue — East Region</t>
  </si>
  <si>
    <t>Revenue — West Region</t>
  </si>
  <si>
    <t>Revenue — Central Region</t>
  </si>
  <si>
    <t>Top Region by Revenue</t>
  </si>
  <si>
    <t>SECTION 2: PROFIT METRICS</t>
  </si>
  <si>
    <t>Total Profit (All Time)</t>
  </si>
  <si>
    <t>Overall Profit Margin %</t>
  </si>
  <si>
    <t>Profit Margin 2022</t>
  </si>
  <si>
    <t>Profit Margin 2023</t>
  </si>
  <si>
    <t>Profit Margin 2024</t>
  </si>
  <si>
    <t>Avg Profit Per Order</t>
  </si>
  <si>
    <t>Total Discount Given</t>
  </si>
  <si>
    <t>Avg Discount Rate %</t>
  </si>
  <si>
    <t>Revenue Lost to Discounts</t>
  </si>
  <si>
    <t>Most Profitable Region</t>
  </si>
  <si>
    <t>Section 3: Order Metrics</t>
  </si>
  <si>
    <t>Total Orders (All)</t>
  </si>
  <si>
    <t>Completion Rate %</t>
  </si>
  <si>
    <t>Cancellation Rate %</t>
  </si>
  <si>
    <t>Avg Days to Ship</t>
  </si>
  <si>
    <t>Orders via Website</t>
  </si>
  <si>
    <t>Orders via Mobile App</t>
  </si>
  <si>
    <t>Orders via Retail Store</t>
  </si>
  <si>
    <t>Top Sales Channel</t>
  </si>
  <si>
    <t>Most Used Payment Method</t>
  </si>
  <si>
    <t>Avg Customer Rating</t>
  </si>
  <si>
    <t>Section 4: Customer Metrics</t>
  </si>
  <si>
    <t>Total Customers</t>
  </si>
  <si>
    <t>Unique Buying Customers</t>
  </si>
  <si>
    <t>Customer Activation Rate %</t>
  </si>
  <si>
    <t>Retail Segment Customers</t>
  </si>
  <si>
    <t>SMB Segment Customers</t>
  </si>
  <si>
    <t>Enterprise Segment Customers</t>
  </si>
  <si>
    <t>Avg Customer Age</t>
  </si>
  <si>
    <t>Avg Tenure (Years)</t>
  </si>
  <si>
    <t>Top Customer City</t>
  </si>
  <si>
    <t>Repeat Customers</t>
  </si>
  <si>
    <t>Repeat Customer Rate %</t>
  </si>
  <si>
    <t>Section 5: Product Metrics</t>
  </si>
  <si>
    <t>Total Products in Catalogue</t>
  </si>
  <si>
    <t>Active Products</t>
  </si>
  <si>
    <t>Best Selling Product</t>
  </si>
  <si>
    <t>Avg Product Rating</t>
  </si>
  <si>
    <t>Premium Products</t>
  </si>
  <si>
    <t>Mid-Range Products</t>
  </si>
  <si>
    <t>Budget Products</t>
  </si>
  <si>
    <t>Entry Products</t>
  </si>
  <si>
    <t>Avg Unit Price</t>
  </si>
  <si>
    <t>Avg Profit Per Unit</t>
  </si>
  <si>
    <t>Section 6: Sales Rep Metrics</t>
  </si>
  <si>
    <t>Total Deals</t>
  </si>
  <si>
    <t>Closed Won Deals</t>
  </si>
  <si>
    <t>Closed Lost Deals</t>
  </si>
  <si>
    <t>Win Rate %</t>
  </si>
  <si>
    <t>Total Revenue from Deals</t>
  </si>
  <si>
    <t>Total Commission Paid</t>
  </si>
  <si>
    <t>Avg Deal Size</t>
  </si>
  <si>
    <t>Avg Days to Close</t>
  </si>
  <si>
    <t>Top Performing Reps</t>
  </si>
  <si>
    <t>Reps Below Target</t>
  </si>
  <si>
    <t>Top Lead Source</t>
  </si>
  <si>
    <t>Section 7: Time Intelligence</t>
  </si>
  <si>
    <t>YearMonth</t>
  </si>
  <si>
    <t>Latest Month in Data</t>
  </si>
  <si>
    <t>Revenue — Latest Month</t>
  </si>
  <si>
    <t>Revenue — Prior Month</t>
  </si>
  <si>
    <t>MoM Revenue Change</t>
  </si>
  <si>
    <t>MoM Revenue Growth %</t>
  </si>
  <si>
    <t>Best Revenue Month</t>
  </si>
  <si>
    <t>Q1 Revenue (All Years)</t>
  </si>
  <si>
    <t>Q2 Revenue (All Years)</t>
  </si>
  <si>
    <t>Q3 Revenue (All Years)</t>
  </si>
  <si>
    <t>Q4 Revenue (All Years)</t>
  </si>
  <si>
    <t>Best Quarter</t>
  </si>
  <si>
    <t>1. Revenue &amp; Profit by Region</t>
  </si>
  <si>
    <t>2. Monthly Revenue Trend</t>
  </si>
  <si>
    <t>3. Top 10 Products by Revenue</t>
  </si>
  <si>
    <t>4. Sales Channel &amp; Payment Analysis</t>
  </si>
  <si>
    <t>5. Sales Rep Performance Leaderboard</t>
  </si>
  <si>
    <t>Grand Total</t>
  </si>
  <si>
    <t>Total Profit</t>
  </si>
  <si>
    <t>Total Revenue</t>
  </si>
  <si>
    <t xml:space="preserve">Profit Margin % </t>
  </si>
  <si>
    <t>Jan</t>
  </si>
  <si>
    <t>Feb</t>
  </si>
  <si>
    <t>Mar</t>
  </si>
  <si>
    <t>Monthly Revenue</t>
  </si>
  <si>
    <t>MoM Growth %</t>
  </si>
  <si>
    <t>Apr</t>
  </si>
  <si>
    <t>Jun</t>
  </si>
  <si>
    <t>Jul</t>
  </si>
  <si>
    <t>Aug</t>
  </si>
  <si>
    <t>Sep</t>
  </si>
  <si>
    <t>Oct</t>
  </si>
  <si>
    <t>Nov</t>
  </si>
  <si>
    <t>Dec</t>
  </si>
  <si>
    <t>Months</t>
  </si>
  <si>
    <t>Product ID</t>
  </si>
  <si>
    <t>Product Name</t>
  </si>
  <si>
    <t>Channels</t>
  </si>
  <si>
    <t>Payment Method</t>
  </si>
  <si>
    <t xml:space="preserve"> </t>
  </si>
  <si>
    <t>Orders</t>
  </si>
  <si>
    <t>Total Deal Value</t>
  </si>
  <si>
    <t>Deals Won</t>
  </si>
  <si>
    <t>Commission Earned</t>
  </si>
  <si>
    <t>Avg Close Days</t>
  </si>
  <si>
    <t>Performance Band</t>
  </si>
  <si>
    <t>Rep Name</t>
  </si>
  <si>
    <t>TechMart Sales Analytics Dashboard</t>
  </si>
  <si>
    <t>Row Labels</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</si>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</sst>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39]#,##0;[Red][$₹-439]#,##0"/>
    <numFmt numFmtId="165" formatCode="0.0%"/>
    <numFmt numFmtId="166" formatCode="_ [$₹-439]* #,##0.00_ ;_ [$₹-439]* \-#,##0.00_ ;_ [$₹-439]* &quot;-&quot;??_ ;_ @_ "/>
  </numFmts>
  <fonts count="10">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b/>
      <sz val="14"/>
      <color theme="1"/>
      <name val="Aptos Narrow"/>
      <family val="2"/>
      <scheme val="minor"/>
    </font>
    <font>
      <sz val="10"/>
      <color theme="1"/>
      <name val="Arial Unicode MS"/>
    </font>
    <font>
      <sz val="7"/>
      <color rgb="FFF9FAFB"/>
      <name val="Consolas"/>
      <family val="3"/>
    </font>
    <font>
      <b/>
      <sz val="16"/>
      <color theme="1"/>
      <name val="Aptos Narrow"/>
      <family val="2"/>
      <scheme val="minor"/>
    </font>
    <font>
      <b/>
      <sz val="12"/>
      <color rgb="FF002060"/>
      <name val="Aptos Narrow"/>
      <family val="2"/>
      <scheme val="minor"/>
    </font>
    <font>
      <b/>
      <sz val="22"/>
      <color theme="0"/>
      <name val="Calibri"/>
      <family val="2"/>
    </font>
  </fonts>
  <fills count="10">
    <fill>
      <patternFill patternType="none"/>
    </fill>
    <fill>
      <patternFill patternType="gray125"/>
    </fill>
    <fill>
      <patternFill patternType="solid">
        <fgColor rgb="FF002060"/>
        <bgColor indexed="64"/>
      </patternFill>
    </fill>
    <fill>
      <patternFill patternType="solid">
        <fgColor rgb="FF1F3864"/>
        <bgColor indexed="64"/>
      </patternFill>
    </fill>
    <fill>
      <patternFill patternType="solid">
        <fgColor rgb="FFF2F2F2"/>
        <bgColor indexed="64"/>
      </patternFill>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rgb="FFF0F4F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bottom style="medium">
        <color indexed="64"/>
      </bottom>
      <diagonal/>
    </border>
  </borders>
  <cellStyleXfs count="1">
    <xf numFmtId="0" fontId="0" fillId="0" borderId="0"/>
  </cellStyleXfs>
  <cellXfs count="33">
    <xf numFmtId="0" fontId="0" fillId="0" borderId="0" xfId="0"/>
    <xf numFmtId="14" fontId="0" fillId="0" borderId="0" xfId="0" applyNumberFormat="1"/>
    <xf numFmtId="0" fontId="1" fillId="0" borderId="0" xfId="0" applyFont="1"/>
    <xf numFmtId="0" fontId="4" fillId="0" borderId="0" xfId="0" applyFont="1"/>
    <xf numFmtId="0" fontId="3" fillId="2" borderId="1" xfId="0" applyFont="1" applyFill="1" applyBorder="1"/>
    <xf numFmtId="0" fontId="0" fillId="0" borderId="1" xfId="0" applyBorder="1"/>
    <xf numFmtId="0" fontId="6" fillId="0" borderId="0" xfId="0" applyFont="1" applyAlignment="1">
      <alignment horizontal="left" vertical="center" indent="1"/>
    </xf>
    <xf numFmtId="0" fontId="0" fillId="4" borderId="1" xfId="0" applyFill="1" applyBorder="1"/>
    <xf numFmtId="164" fontId="1" fillId="5" borderId="1" xfId="0" applyNumberFormat="1" applyFont="1" applyFill="1" applyBorder="1" applyAlignment="1">
      <alignment horizontal="right"/>
    </xf>
    <xf numFmtId="0" fontId="5" fillId="4" borderId="1" xfId="0" applyFont="1" applyFill="1" applyBorder="1"/>
    <xf numFmtId="0" fontId="1" fillId="5" borderId="1" xfId="0" applyFont="1" applyFill="1" applyBorder="1" applyAlignment="1">
      <alignment horizontal="right"/>
    </xf>
    <xf numFmtId="0" fontId="8"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Alignment="1">
      <alignment horizontal="left" indent="1"/>
    </xf>
    <xf numFmtId="0" fontId="0" fillId="5" borderId="0" xfId="0" applyFill="1"/>
    <xf numFmtId="0" fontId="0" fillId="5" borderId="2" xfId="0" applyFill="1" applyBorder="1"/>
    <xf numFmtId="0" fontId="0" fillId="0" borderId="2" xfId="0" applyBorder="1"/>
    <xf numFmtId="0" fontId="1" fillId="7" borderId="2" xfId="0" applyFont="1" applyFill="1" applyBorder="1"/>
    <xf numFmtId="0" fontId="1" fillId="8" borderId="2" xfId="0" applyFont="1" applyFill="1" applyBorder="1"/>
    <xf numFmtId="0" fontId="1" fillId="0" borderId="0" xfId="0" pivotButton="1" applyFont="1"/>
    <xf numFmtId="166" fontId="0" fillId="0" borderId="0" xfId="0" applyNumberFormat="1"/>
    <xf numFmtId="0" fontId="8" fillId="0" borderId="3" xfId="0" applyFont="1" applyBorder="1"/>
    <xf numFmtId="0" fontId="0" fillId="0" borderId="3" xfId="0" applyBorder="1"/>
    <xf numFmtId="0" fontId="0" fillId="9" borderId="0" xfId="0" applyFill="1"/>
    <xf numFmtId="0" fontId="9" fillId="3" borderId="0" xfId="0" applyFont="1" applyFill="1" applyAlignment="1">
      <alignment horizontal="center" vertical="center"/>
    </xf>
    <xf numFmtId="0" fontId="0" fillId="9" borderId="0" xfId="0" applyFill="1" applyAlignment="1">
      <alignment horizontal="center" vertical="center"/>
    </xf>
    <xf numFmtId="0" fontId="0" fillId="9" borderId="0" xfId="0" applyFill="1"/>
    <xf numFmtId="0" fontId="7" fillId="6" borderId="0" xfId="0" applyFont="1" applyFill="1"/>
    <xf numFmtId="0" fontId="3" fillId="3" borderId="1" xfId="0" applyFont="1" applyFill="1" applyBorder="1" applyAlignment="1">
      <alignment horizontal="center"/>
    </xf>
    <xf numFmtId="0" fontId="0" fillId="0" borderId="0" xfId="0" applyNumberFormat="1"/>
  </cellXfs>
  <cellStyles count="1">
    <cellStyle name="Normal" xfId="0" builtinId="0"/>
  </cellStyles>
  <dxfs count="145">
    <dxf>
      <numFmt numFmtId="164" formatCode="[$₹-439]#,##0;[Red][$₹-439]#,##0"/>
    </dxf>
    <dxf>
      <numFmt numFmtId="165" formatCode="0.0%"/>
    </dxf>
    <dxf>
      <font>
        <b/>
      </font>
    </dxf>
    <dxf>
      <numFmt numFmtId="166" formatCode="_ [$₹-439]* #,##0.00_ ;_ [$₹-439]* \-#,##0.00_ ;_ [$₹-439]* &quot;-&quot;??_ ;_ @_ "/>
    </dxf>
    <dxf>
      <font>
        <b/>
      </font>
    </dxf>
    <dxf>
      <numFmt numFmtId="166" formatCode="_ [$₹-439]* #,##0.00_ ;_ [$₹-439]* \-#,##0.00_ ;_ [$₹-439]* &quot;-&quot;??_ ;_ @_ "/>
    </dxf>
    <dxf>
      <numFmt numFmtId="164" formatCode="[$₹-439]#,##0;[Red][$₹-439]#,##0"/>
    </dxf>
    <dxf>
      <numFmt numFmtId="165" formatCode="0.0%"/>
    </dxf>
    <dxf>
      <font>
        <b/>
      </font>
    </dxf>
    <dxf>
      <numFmt numFmtId="166" formatCode="_ [$₹-439]* #,##0.00_ ;_ [$₹-439]* \-#,##0.00_ ;_ [$₹-439]* &quot;-&quot;??_ ;_ @_ "/>
    </dxf>
    <dxf>
      <numFmt numFmtId="164" formatCode="[$₹-439]#,##0;[Red][$₹-439]#,##0"/>
    </dxf>
    <dxf>
      <numFmt numFmtId="165" formatCode="0.0%"/>
    </dxf>
    <dxf>
      <font>
        <b/>
      </font>
    </dxf>
    <dxf>
      <numFmt numFmtId="166" formatCode="_ [$₹-439]* #,##0.00_ ;_ [$₹-439]* \-#,##0.00_ ;_ [$₹-439]* &quot;-&quot;??_ ;_ @_ "/>
    </dxf>
    <dxf>
      <numFmt numFmtId="164" formatCode="[$₹-439]#,##0;[Red][$₹-439]#,##0"/>
    </dxf>
    <dxf>
      <numFmt numFmtId="165" formatCode="0.0%"/>
    </dxf>
    <dxf>
      <font>
        <b/>
      </font>
    </dxf>
    <dxf>
      <numFmt numFmtId="166" formatCode="_ [$₹-439]* #,##0.00_ ;_ [$₹-439]* \-#,##0.00_ ;_ [$₹-439]* &quot;-&quot;??_ ;_ @_ "/>
    </dxf>
    <dxf>
      <numFmt numFmtId="164" formatCode="[$₹-439]#,##0;[Red][$₹-439]#,##0"/>
    </dxf>
    <dxf>
      <numFmt numFmtId="165" formatCode="0.0%"/>
    </dxf>
    <dxf>
      <font>
        <b/>
      </font>
    </dxf>
    <dxf>
      <numFmt numFmtId="166" formatCode="_ [$₹-439]* #,##0.00_ ;_ [$₹-439]* \-#,##0.00_ ;_ [$₹-439]* &quot;-&quot;??_ ;_ @_ "/>
    </dxf>
    <dxf>
      <numFmt numFmtId="164" formatCode="[$₹-439]#,##0;[Red][$₹-439]#,##0"/>
    </dxf>
    <dxf>
      <numFmt numFmtId="165" formatCode="0.0%"/>
    </dxf>
    <dxf>
      <font>
        <b/>
      </font>
    </dxf>
    <dxf>
      <numFmt numFmtId="166" formatCode="_ [$₹-439]* #,##0.00_ ;_ [$₹-439]* \-#,##0.00_ ;_ [$₹-439]* &quot;-&quot;??_ ;_ @_ "/>
    </dxf>
    <dxf>
      <numFmt numFmtId="164" formatCode="[$₹-439]#,##0;[Red][$₹-439]#,##0"/>
    </dxf>
    <dxf>
      <numFmt numFmtId="165" formatCode="0.0%"/>
    </dxf>
    <dxf>
      <font>
        <b/>
      </font>
    </dxf>
    <dxf>
      <numFmt numFmtId="166" formatCode="_ [$₹-439]* #,##0.00_ ;_ [$₹-439]* \-#,##0.00_ ;_ [$₹-439]* &quot;-&quot;??_ ;_ @_ "/>
    </dxf>
    <dxf>
      <numFmt numFmtId="164" formatCode="[$₹-439]#,##0;[Red][$₹-439]#,##0"/>
    </dxf>
    <dxf>
      <numFmt numFmtId="165" formatCode="0.0%"/>
    </dxf>
    <dxf>
      <font>
        <b/>
      </font>
    </dxf>
    <dxf>
      <numFmt numFmtId="166" formatCode="_ [$₹-439]* #,##0.00_ ;_ [$₹-439]* \-#,##0.00_ ;_ [$₹-439]* &quot;-&quot;??_ ;_ @_ "/>
    </dxf>
    <dxf>
      <numFmt numFmtId="164" formatCode="[$₹-439]#,##0;[Red][$₹-439]#,##0"/>
    </dxf>
    <dxf>
      <numFmt numFmtId="165" formatCode="0.0%"/>
    </dxf>
    <dxf>
      <font>
        <b/>
      </font>
    </dxf>
    <dxf>
      <numFmt numFmtId="166" formatCode="_ [$₹-439]* #,##0.00_ ;_ [$₹-439]* \-#,##0.00_ ;_ [$₹-439]* &quot;-&quot;??_ ;_ @_ "/>
    </dxf>
    <dxf>
      <numFmt numFmtId="164" formatCode="[$₹-439]#,##0;[Red][$₹-439]#,##0"/>
    </dxf>
    <dxf>
      <numFmt numFmtId="165" formatCode="0.0%"/>
    </dxf>
    <dxf>
      <font>
        <b/>
      </font>
    </dxf>
    <dxf>
      <numFmt numFmtId="166" formatCode="_ [$₹-439]* #,##0.00_ ;_ [$₹-439]* \-#,##0.00_ ;_ [$₹-439]* &quot;-&quot;??_ ;_ @_ "/>
    </dxf>
    <dxf>
      <font>
        <b/>
      </font>
    </dxf>
    <dxf>
      <font>
        <b/>
      </font>
    </dxf>
    <dxf>
      <numFmt numFmtId="166" formatCode="_ [$₹-439]* #,##0.00_ ;_ [$₹-439]* \-#,##0.00_ ;_ [$₹-439]* &quot;-&quot;??_ ;_ @_ "/>
    </dxf>
    <dxf>
      <font>
        <b/>
      </font>
    </dxf>
    <dxf>
      <font>
        <b/>
      </font>
    </dxf>
    <dxf>
      <numFmt numFmtId="166" formatCode="_ [$₹-439]* #,##0.00_ ;_ [$₹-439]* \-#,##0.00_ ;_ [$₹-439]* &quot;-&quot;??_ ;_ @_ "/>
    </dxf>
    <dxf>
      <numFmt numFmtId="164" formatCode="[$₹-439]#,##0;[Red][$₹-439]#,##0"/>
    </dxf>
    <dxf>
      <numFmt numFmtId="165" formatCode="0.0%"/>
    </dxf>
    <dxf>
      <font>
        <b/>
      </font>
    </dxf>
    <dxf>
      <font>
        <b/>
      </font>
    </dxf>
    <dxf>
      <numFmt numFmtId="166" formatCode="_ [$₹-439]* #,##0.00_ ;_ [$₹-439]* \-#,##0.00_ ;_ [$₹-439]* &quot;-&quot;??_ ;_ @_ "/>
    </dxf>
    <dxf>
      <numFmt numFmtId="164" formatCode="[$₹-439]#,##0;[Red][$₹-439]#,##0"/>
    </dxf>
    <dxf>
      <numFmt numFmtId="165" formatCode="0.0%"/>
    </dxf>
    <dxf>
      <font>
        <b/>
      </font>
    </dxf>
    <dxf>
      <font>
        <b/>
      </font>
    </dxf>
    <dxf>
      <numFmt numFmtId="166" formatCode="_ [$₹-439]* #,##0.00_ ;_ [$₹-439]* \-#,##0.00_ ;_ [$₹-439]* &quot;-&quot;??_ ;_ @_ "/>
    </dxf>
    <dxf>
      <numFmt numFmtId="164" formatCode="[$₹-439]#,##0;[Red][$₹-439]#,##0"/>
    </dxf>
    <dxf>
      <numFmt numFmtId="165" formatCode="0.0%"/>
    </dxf>
    <dxf>
      <font>
        <b/>
      </font>
    </dxf>
    <dxf>
      <font>
        <b/>
      </font>
    </dxf>
    <dxf>
      <numFmt numFmtId="166" formatCode="_ [$₹-439]* #,##0.00_ ;_ [$₹-439]* \-#,##0.00_ ;_ [$₹-439]* &quot;-&quot;??_ ;_ @_ "/>
    </dxf>
    <dxf>
      <numFmt numFmtId="164" formatCode="[$₹-439]#,##0;[Red][$₹-439]#,##0"/>
    </dxf>
    <dxf>
      <numFmt numFmtId="165" formatCode="0.0%"/>
    </dxf>
    <dxf>
      <font>
        <b/>
      </font>
    </dxf>
    <dxf>
      <font>
        <b/>
      </font>
    </dxf>
    <dxf>
      <numFmt numFmtId="166" formatCode="_ [$₹-439]* #,##0.00_ ;_ [$₹-439]* \-#,##0.00_ ;_ [$₹-439]* &quot;-&quot;??_ ;_ @_ "/>
    </dxf>
    <dxf>
      <numFmt numFmtId="164" formatCode="[$₹-439]#,##0;[Red][$₹-439]#,##0"/>
    </dxf>
    <dxf>
      <numFmt numFmtId="165" formatCode="0.0%"/>
    </dxf>
    <dxf>
      <numFmt numFmtId="164" formatCode="[$₹-439]#,##0;[Red][$₹-439]#,##0"/>
    </dxf>
    <dxf>
      <numFmt numFmtId="165" formatCode="0.0%"/>
    </dxf>
    <dxf>
      <font>
        <b/>
      </font>
    </dxf>
    <dxf>
      <font>
        <b/>
      </font>
    </dxf>
    <dxf>
      <numFmt numFmtId="166" formatCode="_ [$₹-439]* #,##0.00_ ;_ [$₹-439]* \-#,##0.00_ ;_ [$₹-439]* &quot;-&quot;??_ ;_ @_ "/>
    </dxf>
    <dxf>
      <fill>
        <patternFill>
          <bgColor rgb="FF002060"/>
        </patternFill>
      </fill>
    </dxf>
    <dxf>
      <font>
        <color theme="6" tint="-0.24994659260841701"/>
      </font>
      <fill>
        <patternFill>
          <bgColor theme="9" tint="0.39994506668294322"/>
        </patternFill>
      </fill>
    </dxf>
    <dxf>
      <font>
        <color rgb="FF934E00"/>
      </font>
      <fill>
        <patternFill>
          <bgColor rgb="FFFF6F00"/>
        </patternFill>
      </fill>
    </dxf>
    <dxf>
      <font>
        <color rgb="FF7B0000"/>
      </font>
      <fill>
        <patternFill patternType="solid">
          <bgColor rgb="FFFF0000"/>
        </patternFill>
      </fill>
    </dxf>
    <dxf>
      <font>
        <color theme="6" tint="-0.24994659260841701"/>
      </font>
      <fill>
        <patternFill>
          <bgColor theme="9" tint="0.39994506668294322"/>
        </patternFill>
      </fill>
    </dxf>
    <dxf>
      <fill>
        <patternFill>
          <bgColor rgb="FFFF0000"/>
        </patternFill>
      </fill>
    </dxf>
    <dxf>
      <fill>
        <patternFill>
          <bgColor theme="9" tint="0.39994506668294322"/>
        </patternFill>
      </fill>
    </dxf>
    <dxf>
      <fill>
        <patternFill>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934B0BA0-0848-42C6-9A61-7382132DF927}">
      <tableStyleElement type="headerRow" dxfId="75"/>
    </tableStyle>
  </tableStyles>
  <colors>
    <mruColors>
      <color rgb="FFF0F4F8"/>
      <color rgb="FF1F3864"/>
      <color rgb="FFFF6F00"/>
      <color rgb="FFF2F2F2"/>
      <color rgb="FF7B0000"/>
      <color rgb="FF934E00"/>
      <color rgb="FFFF0000"/>
      <color rgb="FFFC6C6C"/>
      <color rgb="FFFF4343"/>
      <color rgb="FF7030A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[TechMart_Sales_Analytics.xlsx]Analysis!PivotTable1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&amp;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North</c:v>
                </c:pt>
                <c:pt idx="1">
                  <c:v>West</c:v>
                </c:pt>
                <c:pt idx="2">
                  <c:v>South</c:v>
                </c:pt>
                <c:pt idx="3">
                  <c:v>East</c:v>
                </c:pt>
                <c:pt idx="4">
                  <c:v>Central</c:v>
                </c:pt>
              </c:strCache>
            </c:strRef>
          </c:cat>
          <c:val>
            <c:numRef>
              <c:f>Analysis!$B$4:$B$9</c:f>
              <c:numCache>
                <c:formatCode>[$₹-439]#,##0;[Red][$₹-439]#,##0</c:formatCode>
                <c:ptCount val="5"/>
                <c:pt idx="0">
                  <c:v>14560479.500000002</c:v>
                </c:pt>
                <c:pt idx="1">
                  <c:v>9632318.7999999989</c:v>
                </c:pt>
                <c:pt idx="2">
                  <c:v>9347593.2500000019</c:v>
                </c:pt>
                <c:pt idx="3">
                  <c:v>6060414.200000002</c:v>
                </c:pt>
                <c:pt idx="4">
                  <c:v>2642332</c:v>
                </c:pt>
              </c:numCache>
            </c:numRef>
          </c:val>
          <c:extLst>
            <c:ext xmlns:c16="http://schemas.microsoft.com/office/drawing/2014/chart" uri="{C3380CC4-5D6E-409C-BE32-E72D297353CC}">
              <c16:uniqueId val="{00000000-B554-4B23-B8DC-DC30D13587EE}"/>
            </c:ext>
          </c:extLst>
        </c:ser>
        <c:ser>
          <c:idx val="1"/>
          <c:order val="1"/>
          <c:tx>
            <c:strRef>
              <c:f>Analysis!$C$3</c:f>
              <c:strCache>
                <c:ptCount val="1"/>
                <c:pt idx="0">
                  <c:v>Total Orders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North</c:v>
                </c:pt>
                <c:pt idx="1">
                  <c:v>West</c:v>
                </c:pt>
                <c:pt idx="2">
                  <c:v>South</c:v>
                </c:pt>
                <c:pt idx="3">
                  <c:v>East</c:v>
                </c:pt>
                <c:pt idx="4">
                  <c:v>Central</c:v>
                </c:pt>
              </c:strCache>
            </c:strRef>
          </c:cat>
          <c:val>
            <c:numRef>
              <c:f>Analysis!$C$4:$C$9</c:f>
              <c:numCache>
                <c:formatCode>General</c:formatCode>
                <c:ptCount val="5"/>
                <c:pt idx="0">
                  <c:v>163</c:v>
                </c:pt>
                <c:pt idx="1">
                  <c:v>125</c:v>
                </c:pt>
                <c:pt idx="2">
                  <c:v>111</c:v>
                </c:pt>
                <c:pt idx="3">
                  <c:v>67</c:v>
                </c:pt>
                <c:pt idx="4">
                  <c:v>34</c:v>
                </c:pt>
              </c:numCache>
            </c:numRef>
          </c:val>
          <c:extLst>
            <c:ext xmlns:c16="http://schemas.microsoft.com/office/drawing/2014/chart" uri="{C3380CC4-5D6E-409C-BE32-E72D297353CC}">
              <c16:uniqueId val="{00000001-B554-4B23-B8DC-DC30D13587EE}"/>
            </c:ext>
          </c:extLst>
        </c:ser>
        <c:ser>
          <c:idx val="2"/>
          <c:order val="2"/>
          <c:tx>
            <c:strRef>
              <c:f>Analysis!$D$3</c:f>
              <c:strCache>
                <c:ptCount val="1"/>
                <c:pt idx="0">
                  <c:v>Total Profit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North</c:v>
                </c:pt>
                <c:pt idx="1">
                  <c:v>West</c:v>
                </c:pt>
                <c:pt idx="2">
                  <c:v>South</c:v>
                </c:pt>
                <c:pt idx="3">
                  <c:v>East</c:v>
                </c:pt>
                <c:pt idx="4">
                  <c:v>Central</c:v>
                </c:pt>
              </c:strCache>
            </c:strRef>
          </c:cat>
          <c:val>
            <c:numRef>
              <c:f>Analysis!$D$4:$D$9</c:f>
              <c:numCache>
                <c:formatCode>[$₹-439]#,##0;[Red][$₹-439]#,##0</c:formatCode>
                <c:ptCount val="5"/>
                <c:pt idx="0">
                  <c:v>3826279.4999999991</c:v>
                </c:pt>
                <c:pt idx="1">
                  <c:v>2497218.8000000007</c:v>
                </c:pt>
                <c:pt idx="2">
                  <c:v>2362393.2499999991</c:v>
                </c:pt>
                <c:pt idx="3">
                  <c:v>1617914.1999999995</c:v>
                </c:pt>
                <c:pt idx="4">
                  <c:v>677332</c:v>
                </c:pt>
              </c:numCache>
            </c:numRef>
          </c:val>
          <c:extLst>
            <c:ext xmlns:c16="http://schemas.microsoft.com/office/drawing/2014/chart" uri="{C3380CC4-5D6E-409C-BE32-E72D297353CC}">
              <c16:uniqueId val="{00000002-B554-4B23-B8DC-DC30D13587EE}"/>
            </c:ext>
          </c:extLst>
        </c:ser>
        <c:ser>
          <c:idx val="3"/>
          <c:order val="3"/>
          <c:tx>
            <c:strRef>
              <c:f>Analysis!$E$3</c:f>
              <c:strCache>
                <c:ptCount val="1"/>
                <c:pt idx="0">
                  <c:v>Profit Margin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North</c:v>
                </c:pt>
                <c:pt idx="1">
                  <c:v>West</c:v>
                </c:pt>
                <c:pt idx="2">
                  <c:v>South</c:v>
                </c:pt>
                <c:pt idx="3">
                  <c:v>East</c:v>
                </c:pt>
                <c:pt idx="4">
                  <c:v>Central</c:v>
                </c:pt>
              </c:strCache>
            </c:strRef>
          </c:cat>
          <c:val>
            <c:numRef>
              <c:f>Analysis!$E$4:$E$9</c:f>
              <c:numCache>
                <c:formatCode>0.0%</c:formatCode>
                <c:ptCount val="5"/>
                <c:pt idx="0">
                  <c:v>0.26278526747693981</c:v>
                </c:pt>
                <c:pt idx="1">
                  <c:v>0.25925416837324788</c:v>
                </c:pt>
                <c:pt idx="2">
                  <c:v>0.25272743334226688</c:v>
                </c:pt>
                <c:pt idx="3">
                  <c:v>0.26696429428866414</c:v>
                </c:pt>
                <c:pt idx="4">
                  <c:v>0.25633871898005245</c:v>
                </c:pt>
              </c:numCache>
            </c:numRef>
          </c:val>
          <c:extLst>
            <c:ext xmlns:c16="http://schemas.microsoft.com/office/drawing/2014/chart" uri="{C3380CC4-5D6E-409C-BE32-E72D297353CC}">
              <c16:uniqueId val="{00000003-B554-4B23-B8DC-DC30D13587EE}"/>
            </c:ext>
          </c:extLst>
        </c:ser>
        <c:dLbls>
          <c:showLegendKey val="0"/>
          <c:showVal val="1"/>
          <c:showCatName val="0"/>
          <c:showSerName val="0"/>
          <c:showPercent val="0"/>
          <c:showBubbleSize val="0"/>
        </c:dLbls>
        <c:gapWidth val="182"/>
        <c:axId val="1405524880"/>
        <c:axId val="1405520560"/>
      </c:barChart>
      <c:catAx>
        <c:axId val="1405524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520560"/>
        <c:crosses val="autoZero"/>
        <c:auto val="1"/>
        <c:lblAlgn val="ctr"/>
        <c:lblOffset val="100"/>
        <c:noMultiLvlLbl val="0"/>
      </c:catAx>
      <c:valAx>
        <c:axId val="1405520560"/>
        <c:scaling>
          <c:orientation val="minMax"/>
        </c:scaling>
        <c:delete val="0"/>
        <c:axPos val="b"/>
        <c:numFmt formatCode="[$₹-439]#,##0;[Red][$₹-43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52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[TechMart_Sales_Analytics.xlsx]Analysis!PivotTable2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Trend (Completed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rgbClr val="FF6F00"/>
            </a:solidFill>
            <a:ln w="9525">
              <a:solidFill>
                <a:schemeClr val="accent1"/>
              </a:solidFill>
            </a:ln>
            <a:effectLst/>
          </c:spPr>
        </c:marker>
        <c:dLbl>
          <c:idx val="0"/>
          <c:spPr>
            <a:noFill/>
            <a:ln>
              <a:noFill/>
            </a:ln>
            <a:effectLst>
              <a:outerShdw sx="1000" sy="1000" algn="ctr" rotWithShape="0">
                <a:srgbClr val="000000"/>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65743127858312E-2"/>
          <c:y val="0.13305997362346525"/>
          <c:w val="0.95235365118711712"/>
          <c:h val="0.69668925820549388"/>
        </c:manualLayout>
      </c:layout>
      <c:lineChart>
        <c:grouping val="standard"/>
        <c:varyColors val="0"/>
        <c:ser>
          <c:idx val="0"/>
          <c:order val="0"/>
          <c:tx>
            <c:strRef>
              <c:f>Analysis!$B$22</c:f>
              <c:strCache>
                <c:ptCount val="1"/>
                <c:pt idx="0">
                  <c:v>Total</c:v>
                </c:pt>
              </c:strCache>
            </c:strRef>
          </c:tx>
          <c:spPr>
            <a:ln w="28575" cap="rnd">
              <a:solidFill>
                <a:schemeClr val="accent1"/>
              </a:solidFill>
              <a:round/>
            </a:ln>
            <a:effectLst/>
          </c:spPr>
          <c:marker>
            <c:symbol val="circle"/>
            <c:size val="5"/>
            <c:spPr>
              <a:solidFill>
                <a:srgbClr val="FF6F00"/>
              </a:solidFill>
              <a:ln w="9525">
                <a:solidFill>
                  <a:schemeClr val="accent1"/>
                </a:solidFill>
              </a:ln>
              <a:effectLst/>
            </c:spPr>
          </c:marker>
          <c:dLbls>
            <c:spPr>
              <a:noFill/>
              <a:ln>
                <a:noFill/>
              </a:ln>
              <a:effectLst>
                <a:outerShdw sx="1000" sy="1000" algn="ctr" rotWithShape="0">
                  <a:srgbClr val="000000"/>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Analysis!$B$23:$B$35</c:f>
              <c:numCache>
                <c:formatCode>General</c:formatCode>
                <c:ptCount val="12"/>
                <c:pt idx="0">
                  <c:v>3031025.4499999997</c:v>
                </c:pt>
                <c:pt idx="1">
                  <c:v>2578909.5</c:v>
                </c:pt>
                <c:pt idx="2">
                  <c:v>1625477.1500000001</c:v>
                </c:pt>
                <c:pt idx="3">
                  <c:v>1633442.9500000002</c:v>
                </c:pt>
                <c:pt idx="4">
                  <c:v>3761123.1500000004</c:v>
                </c:pt>
                <c:pt idx="5">
                  <c:v>2157559.4500000002</c:v>
                </c:pt>
                <c:pt idx="6">
                  <c:v>2529790.0000000005</c:v>
                </c:pt>
                <c:pt idx="7">
                  <c:v>2129247.85</c:v>
                </c:pt>
                <c:pt idx="8">
                  <c:v>2667367.4</c:v>
                </c:pt>
                <c:pt idx="9">
                  <c:v>3232039.8</c:v>
                </c:pt>
                <c:pt idx="10">
                  <c:v>992572.85</c:v>
                </c:pt>
                <c:pt idx="11">
                  <c:v>1758226.6</c:v>
                </c:pt>
              </c:numCache>
            </c:numRef>
          </c:val>
          <c:smooth val="0"/>
          <c:extLst>
            <c:ext xmlns:c16="http://schemas.microsoft.com/office/drawing/2014/chart" uri="{C3380CC4-5D6E-409C-BE32-E72D297353CC}">
              <c16:uniqueId val="{00000000-5CD5-4F30-9CDC-5AB254EEB09B}"/>
            </c:ext>
          </c:extLst>
        </c:ser>
        <c:dLbls>
          <c:dLblPos val="t"/>
          <c:showLegendKey val="0"/>
          <c:showVal val="1"/>
          <c:showCatName val="0"/>
          <c:showSerName val="0"/>
          <c:showPercent val="0"/>
          <c:showBubbleSize val="0"/>
        </c:dLbls>
        <c:marker val="1"/>
        <c:smooth val="0"/>
        <c:axId val="1405563760"/>
        <c:axId val="1405547440"/>
      </c:lineChart>
      <c:catAx>
        <c:axId val="140556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outerShdw sx="1000" sy="1000" algn="ctr" rotWithShape="0">
              <a:srgbClr val="000000"/>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547440"/>
        <c:crosses val="autoZero"/>
        <c:auto val="1"/>
        <c:lblAlgn val="ctr"/>
        <c:lblOffset val="100"/>
        <c:noMultiLvlLbl val="0"/>
      </c:catAx>
      <c:valAx>
        <c:axId val="1405547440"/>
        <c:scaling>
          <c:orientation val="minMax"/>
        </c:scaling>
        <c:delete val="1"/>
        <c:axPos val="l"/>
        <c:numFmt formatCode="General" sourceLinked="1"/>
        <c:majorTickMark val="out"/>
        <c:minorTickMark val="none"/>
        <c:tickLblPos val="nextTo"/>
        <c:crossAx val="140556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[TechMart_Sales_Analytics.xlsx]Analysis!PivotTable4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Products by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39]#,##0;[Red][$₹-43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39]#,##0;[Red][$₹-43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Analysis!$C$42</c:f>
              <c:strCache>
                <c:ptCount val="1"/>
                <c:pt idx="0">
                  <c:v>Total Revenue</c:v>
                </c:pt>
              </c:strCache>
            </c:strRef>
          </c:tx>
          <c:spPr>
            <a:solidFill>
              <a:schemeClr val="accent1"/>
            </a:solidFill>
            <a:ln>
              <a:noFill/>
            </a:ln>
            <a:effectLst/>
          </c:spPr>
          <c:invertIfNegative val="0"/>
          <c:dLbls>
            <c:numFmt formatCode="[$₹-439]#,##0;[Red][$₹-43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Analysis!$B$43:$B$54</c:f>
              <c:multiLvlStrCache>
                <c:ptCount val="10"/>
                <c:lvl>
                  <c:pt idx="0">
                    <c:v>P0002</c:v>
                  </c:pt>
                  <c:pt idx="1">
                    <c:v>P0003</c:v>
                  </c:pt>
                  <c:pt idx="2">
                    <c:v>P0001</c:v>
                  </c:pt>
                  <c:pt idx="3">
                    <c:v>P0015</c:v>
                  </c:pt>
                  <c:pt idx="4">
                    <c:v>P0018</c:v>
                  </c:pt>
                  <c:pt idx="5">
                    <c:v>P0006</c:v>
                  </c:pt>
                  <c:pt idx="6">
                    <c:v>P0009</c:v>
                  </c:pt>
                  <c:pt idx="7">
                    <c:v>P0017</c:v>
                  </c:pt>
                  <c:pt idx="8">
                    <c:v>P0007</c:v>
                  </c:pt>
                  <c:pt idx="9">
                    <c:v>P0005</c:v>
                  </c:pt>
                </c:lvl>
                <c:lvl>
                  <c:pt idx="0">
                    <c:v>Completed</c:v>
                  </c:pt>
                </c:lvl>
              </c:multiLvlStrCache>
            </c:multiLvlStrRef>
          </c:cat>
          <c:val>
            <c:numRef>
              <c:f>Analysis!$C$43:$C$54</c:f>
              <c:numCache>
                <c:formatCode>General</c:formatCode>
                <c:ptCount val="10"/>
                <c:pt idx="0">
                  <c:v>3909444.15</c:v>
                </c:pt>
                <c:pt idx="1">
                  <c:v>3648075</c:v>
                </c:pt>
                <c:pt idx="2">
                  <c:v>3291958.85</c:v>
                </c:pt>
                <c:pt idx="3">
                  <c:v>2544710.8500000006</c:v>
                </c:pt>
                <c:pt idx="4">
                  <c:v>2087212.0499999998</c:v>
                </c:pt>
                <c:pt idx="5">
                  <c:v>1341565.6000000001</c:v>
                </c:pt>
                <c:pt idx="6">
                  <c:v>1341015</c:v>
                </c:pt>
                <c:pt idx="7">
                  <c:v>1245920</c:v>
                </c:pt>
                <c:pt idx="8">
                  <c:v>1155172</c:v>
                </c:pt>
                <c:pt idx="9">
                  <c:v>889822</c:v>
                </c:pt>
              </c:numCache>
            </c:numRef>
          </c:val>
          <c:extLst>
            <c:ext xmlns:c16="http://schemas.microsoft.com/office/drawing/2014/chart" uri="{C3380CC4-5D6E-409C-BE32-E72D297353CC}">
              <c16:uniqueId val="{00000000-0E3D-40DC-AA54-C9B389EFB534}"/>
            </c:ext>
          </c:extLst>
        </c:ser>
        <c:ser>
          <c:idx val="1"/>
          <c:order val="1"/>
          <c:tx>
            <c:strRef>
              <c:f>Analysis!$D$42</c:f>
              <c:strCache>
                <c:ptCount val="1"/>
                <c:pt idx="0">
                  <c:v>Total Profit</c:v>
                </c:pt>
              </c:strCache>
            </c:strRef>
          </c:tx>
          <c:spPr>
            <a:solidFill>
              <a:schemeClr val="accent2"/>
            </a:solidFill>
            <a:ln>
              <a:noFill/>
            </a:ln>
            <a:effectLst/>
          </c:spPr>
          <c:invertIfNegative val="0"/>
          <c:dLbls>
            <c:numFmt formatCode="[$₹-439]#,##0;[Red][$₹-43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Analysis!$B$43:$B$54</c:f>
              <c:multiLvlStrCache>
                <c:ptCount val="10"/>
                <c:lvl>
                  <c:pt idx="0">
                    <c:v>P0002</c:v>
                  </c:pt>
                  <c:pt idx="1">
                    <c:v>P0003</c:v>
                  </c:pt>
                  <c:pt idx="2">
                    <c:v>P0001</c:v>
                  </c:pt>
                  <c:pt idx="3">
                    <c:v>P0015</c:v>
                  </c:pt>
                  <c:pt idx="4">
                    <c:v>P0018</c:v>
                  </c:pt>
                  <c:pt idx="5">
                    <c:v>P0006</c:v>
                  </c:pt>
                  <c:pt idx="6">
                    <c:v>P0009</c:v>
                  </c:pt>
                  <c:pt idx="7">
                    <c:v>P0017</c:v>
                  </c:pt>
                  <c:pt idx="8">
                    <c:v>P0007</c:v>
                  </c:pt>
                  <c:pt idx="9">
                    <c:v>P0005</c:v>
                  </c:pt>
                </c:lvl>
                <c:lvl>
                  <c:pt idx="0">
                    <c:v>Completed</c:v>
                  </c:pt>
                </c:lvl>
              </c:multiLvlStrCache>
            </c:multiLvlStrRef>
          </c:cat>
          <c:val>
            <c:numRef>
              <c:f>Analysis!$D$43:$D$54</c:f>
              <c:numCache>
                <c:formatCode>General</c:formatCode>
                <c:ptCount val="10"/>
                <c:pt idx="0">
                  <c:v>1077444.1499999999</c:v>
                </c:pt>
                <c:pt idx="1">
                  <c:v>758075</c:v>
                </c:pt>
                <c:pt idx="2">
                  <c:v>871958.85</c:v>
                </c:pt>
                <c:pt idx="3">
                  <c:v>699710.84999999986</c:v>
                </c:pt>
                <c:pt idx="4">
                  <c:v>529212.05000000005</c:v>
                </c:pt>
                <c:pt idx="5">
                  <c:v>342565.6</c:v>
                </c:pt>
                <c:pt idx="6">
                  <c:v>381015</c:v>
                </c:pt>
                <c:pt idx="7">
                  <c:v>321920</c:v>
                </c:pt>
                <c:pt idx="8">
                  <c:v>309172</c:v>
                </c:pt>
                <c:pt idx="9">
                  <c:v>224822</c:v>
                </c:pt>
              </c:numCache>
            </c:numRef>
          </c:val>
          <c:extLst>
            <c:ext xmlns:c16="http://schemas.microsoft.com/office/drawing/2014/chart" uri="{C3380CC4-5D6E-409C-BE32-E72D297353CC}">
              <c16:uniqueId val="{00000001-0E3D-40DC-AA54-C9B389EFB534}"/>
            </c:ext>
          </c:extLst>
        </c:ser>
        <c:dLbls>
          <c:dLblPos val="outEnd"/>
          <c:showLegendKey val="0"/>
          <c:showVal val="1"/>
          <c:showCatName val="0"/>
          <c:showSerName val="0"/>
          <c:showPercent val="0"/>
          <c:showBubbleSize val="0"/>
        </c:dLbls>
        <c:gapWidth val="182"/>
        <c:axId val="1275722240"/>
        <c:axId val="1275719360"/>
      </c:barChart>
      <c:catAx>
        <c:axId val="127572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19360"/>
        <c:crosses val="autoZero"/>
        <c:auto val="1"/>
        <c:lblAlgn val="ctr"/>
        <c:lblOffset val="100"/>
        <c:noMultiLvlLbl val="0"/>
      </c:catAx>
      <c:valAx>
        <c:axId val="127571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2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[TechMart_Sales_Analytics.xlsx]Analysis!PivotTable5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Share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Analysis!$B$72</c:f>
              <c:strCache>
                <c:ptCount val="1"/>
                <c:pt idx="0">
                  <c:v>Average Order 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A8-45DE-850E-6B2F3ABCBD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A8-45DE-850E-6B2F3ABCBD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A8-45DE-850E-6B2F3ABCBD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A8-45DE-850E-6B2F3ABCBD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7A8-45DE-850E-6B2F3ABCBD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Analysis!$A$73:$A$78</c:f>
              <c:strCache>
                <c:ptCount val="5"/>
                <c:pt idx="0">
                  <c:v>Social Media</c:v>
                </c:pt>
                <c:pt idx="1">
                  <c:v>Retail Store</c:v>
                </c:pt>
                <c:pt idx="2">
                  <c:v>Mobile App</c:v>
                </c:pt>
                <c:pt idx="3">
                  <c:v>Affiliate</c:v>
                </c:pt>
                <c:pt idx="4">
                  <c:v>Website</c:v>
                </c:pt>
              </c:strCache>
            </c:strRef>
          </c:cat>
          <c:val>
            <c:numRef>
              <c:f>Analysis!$B$73:$B$78</c:f>
              <c:numCache>
                <c:formatCode>General</c:formatCode>
                <c:ptCount val="5"/>
                <c:pt idx="0">
                  <c:v>96972.338613861386</c:v>
                </c:pt>
                <c:pt idx="1">
                  <c:v>86764.457065217386</c:v>
                </c:pt>
                <c:pt idx="2">
                  <c:v>85063.856250000012</c:v>
                </c:pt>
                <c:pt idx="3">
                  <c:v>77582.824137931064</c:v>
                </c:pt>
                <c:pt idx="4">
                  <c:v>77489.073300970878</c:v>
                </c:pt>
              </c:numCache>
            </c:numRef>
          </c:val>
          <c:extLst>
            <c:ext xmlns:c16="http://schemas.microsoft.com/office/drawing/2014/chart" uri="{C3380CC4-5D6E-409C-BE32-E72D297353CC}">
              <c16:uniqueId val="{00000000-EDE5-4083-A161-63E15BFB2BFA}"/>
            </c:ext>
          </c:extLst>
        </c:ser>
        <c:ser>
          <c:idx val="1"/>
          <c:order val="1"/>
          <c:tx>
            <c:strRef>
              <c:f>Analysis!$C$72</c:f>
              <c:strCache>
                <c:ptCount val="1"/>
                <c:pt idx="0">
                  <c:v>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17A8-45DE-850E-6B2F3ABCBD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17A8-45DE-850E-6B2F3ABCBD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17A8-45DE-850E-6B2F3ABCBD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17A8-45DE-850E-6B2F3ABCBD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17A8-45DE-850E-6B2F3ABCBD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Analysis!$A$73:$A$78</c:f>
              <c:strCache>
                <c:ptCount val="5"/>
                <c:pt idx="0">
                  <c:v>Social Media</c:v>
                </c:pt>
                <c:pt idx="1">
                  <c:v>Retail Store</c:v>
                </c:pt>
                <c:pt idx="2">
                  <c:v>Mobile App</c:v>
                </c:pt>
                <c:pt idx="3">
                  <c:v>Affiliate</c:v>
                </c:pt>
                <c:pt idx="4">
                  <c:v>Website</c:v>
                </c:pt>
              </c:strCache>
            </c:strRef>
          </c:cat>
          <c:val>
            <c:numRef>
              <c:f>Analysis!$C$73:$C$78</c:f>
              <c:numCache>
                <c:formatCode>General</c:formatCode>
                <c:ptCount val="5"/>
                <c:pt idx="0">
                  <c:v>101</c:v>
                </c:pt>
                <c:pt idx="1">
                  <c:v>92</c:v>
                </c:pt>
                <c:pt idx="2">
                  <c:v>88</c:v>
                </c:pt>
                <c:pt idx="3">
                  <c:v>116</c:v>
                </c:pt>
                <c:pt idx="4">
                  <c:v>103</c:v>
                </c:pt>
              </c:numCache>
            </c:numRef>
          </c:val>
          <c:extLst>
            <c:ext xmlns:c16="http://schemas.microsoft.com/office/drawing/2014/chart" uri="{C3380CC4-5D6E-409C-BE32-E72D297353CC}">
              <c16:uniqueId val="{00000001-EDE5-4083-A161-63E15BFB2BFA}"/>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3.0488806781220588E-2"/>
          <c:y val="0.83157905167971569"/>
          <c:w val="0.94907868412519236"/>
          <c:h val="0.157477332928907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[TechMart_Sales_Analytics.xlsx]Analysis!PivotTable6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Rep Performance Leaderboard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Analysis!$B$82</c:f>
              <c:strCache>
                <c:ptCount val="1"/>
                <c:pt idx="0">
                  <c:v>Total Deal Value</c:v>
                </c:pt>
              </c:strCache>
            </c:strRef>
          </c:tx>
          <c:spPr>
            <a:solidFill>
              <a:schemeClr val="accent1"/>
            </a:solidFill>
            <a:ln>
              <a:noFill/>
            </a:ln>
            <a:effectLst/>
          </c:spPr>
          <c:invertIfNegative val="0"/>
          <c:cat>
            <c:strRef>
              <c:f>Analysis!$A$83:$A$130</c:f>
              <c:strCache>
                <c:ptCount val="47"/>
                <c:pt idx="0">
                  <c:v>Anita Banerjee</c:v>
                </c:pt>
                <c:pt idx="1">
                  <c:v>Arun Sharma</c:v>
                </c:pt>
                <c:pt idx="2">
                  <c:v>Anita Ghosh</c:v>
                </c:pt>
                <c:pt idx="3">
                  <c:v>Anita Joshi</c:v>
                </c:pt>
                <c:pt idx="4">
                  <c:v>Neha Patel</c:v>
                </c:pt>
                <c:pt idx="5">
                  <c:v>Gaurav Iyer</c:v>
                </c:pt>
                <c:pt idx="6">
                  <c:v>Sunita Sen</c:v>
                </c:pt>
                <c:pt idx="7">
                  <c:v>Karan Malhotra</c:v>
                </c:pt>
                <c:pt idx="8">
                  <c:v>Kavita Patel</c:v>
                </c:pt>
                <c:pt idx="9">
                  <c:v>Preeti Mehta</c:v>
                </c:pt>
                <c:pt idx="10">
                  <c:v>Manish Banerjee</c:v>
                </c:pt>
                <c:pt idx="11">
                  <c:v>Karan Gupta</c:v>
                </c:pt>
                <c:pt idx="12">
                  <c:v>Sanjay Reddy</c:v>
                </c:pt>
                <c:pt idx="13">
                  <c:v>Meena Agarwal</c:v>
                </c:pt>
                <c:pt idx="14">
                  <c:v>Arjun Rao</c:v>
                </c:pt>
                <c:pt idx="15">
                  <c:v>Sneha Tiwari</c:v>
                </c:pt>
                <c:pt idx="16">
                  <c:v>Deepak Roy</c:v>
                </c:pt>
                <c:pt idx="17">
                  <c:v>Pooja Kumar</c:v>
                </c:pt>
                <c:pt idx="18">
                  <c:v>Karan Agarwal</c:v>
                </c:pt>
                <c:pt idx="19">
                  <c:v>Manish Kumar</c:v>
                </c:pt>
                <c:pt idx="20">
                  <c:v>Harish Bose</c:v>
                </c:pt>
                <c:pt idx="21">
                  <c:v>Manish Pillai</c:v>
                </c:pt>
                <c:pt idx="22">
                  <c:v>Swati Chopra</c:v>
                </c:pt>
                <c:pt idx="23">
                  <c:v>Manoj Saxena</c:v>
                </c:pt>
                <c:pt idx="24">
                  <c:v>Sanjay Rastogi</c:v>
                </c:pt>
                <c:pt idx="25">
                  <c:v>Amit Nair</c:v>
                </c:pt>
                <c:pt idx="26">
                  <c:v>Anita Agarwal</c:v>
                </c:pt>
                <c:pt idx="27">
                  <c:v>Preeti Rao</c:v>
                </c:pt>
                <c:pt idx="28">
                  <c:v>Jyoti Sharma</c:v>
                </c:pt>
                <c:pt idx="29">
                  <c:v>Seema Chopra</c:v>
                </c:pt>
                <c:pt idx="30">
                  <c:v>Preeti Pandey</c:v>
                </c:pt>
                <c:pt idx="31">
                  <c:v>Usha Rao</c:v>
                </c:pt>
                <c:pt idx="32">
                  <c:v>Sunita Mehta</c:v>
                </c:pt>
                <c:pt idx="33">
                  <c:v>Manoj Rastogi</c:v>
                </c:pt>
                <c:pt idx="34">
                  <c:v>Amit Mehta</c:v>
                </c:pt>
                <c:pt idx="35">
                  <c:v>Suresh Joshi</c:v>
                </c:pt>
                <c:pt idx="36">
                  <c:v>Manoj Lal</c:v>
                </c:pt>
                <c:pt idx="37">
                  <c:v>Kavita Mehta</c:v>
                </c:pt>
                <c:pt idx="38">
                  <c:v>Deepak Iyer</c:v>
                </c:pt>
                <c:pt idx="39">
                  <c:v>Jyoti Dubey</c:v>
                </c:pt>
                <c:pt idx="40">
                  <c:v>Rohit Kumar</c:v>
                </c:pt>
                <c:pt idx="41">
                  <c:v>Meena Singh</c:v>
                </c:pt>
                <c:pt idx="42">
                  <c:v>Vikram Chopra</c:v>
                </c:pt>
                <c:pt idx="43">
                  <c:v>Kavita Kumar</c:v>
                </c:pt>
                <c:pt idx="44">
                  <c:v>Jyoti Chopra</c:v>
                </c:pt>
                <c:pt idx="45">
                  <c:v>Suresh Verma</c:v>
                </c:pt>
                <c:pt idx="46">
                  <c:v>Preeti Chopra</c:v>
                </c:pt>
              </c:strCache>
            </c:strRef>
          </c:cat>
          <c:val>
            <c:numRef>
              <c:f>Analysis!$B$83:$B$130</c:f>
              <c:numCache>
                <c:formatCode>General</c:formatCode>
                <c:ptCount val="47"/>
                <c:pt idx="0">
                  <c:v>3422200</c:v>
                </c:pt>
                <c:pt idx="1">
                  <c:v>2536300</c:v>
                </c:pt>
                <c:pt idx="2">
                  <c:v>2176800</c:v>
                </c:pt>
                <c:pt idx="3">
                  <c:v>1851500</c:v>
                </c:pt>
                <c:pt idx="4">
                  <c:v>1679000</c:v>
                </c:pt>
                <c:pt idx="5">
                  <c:v>1660800</c:v>
                </c:pt>
                <c:pt idx="6">
                  <c:v>1620300</c:v>
                </c:pt>
                <c:pt idx="7">
                  <c:v>1552300</c:v>
                </c:pt>
                <c:pt idx="8">
                  <c:v>1523400</c:v>
                </c:pt>
                <c:pt idx="9">
                  <c:v>1521800</c:v>
                </c:pt>
                <c:pt idx="10">
                  <c:v>1508400</c:v>
                </c:pt>
                <c:pt idx="11">
                  <c:v>1461500</c:v>
                </c:pt>
                <c:pt idx="12">
                  <c:v>1410800</c:v>
                </c:pt>
                <c:pt idx="13">
                  <c:v>1408300</c:v>
                </c:pt>
                <c:pt idx="14">
                  <c:v>1406100</c:v>
                </c:pt>
                <c:pt idx="15">
                  <c:v>1392700</c:v>
                </c:pt>
                <c:pt idx="16">
                  <c:v>1372400</c:v>
                </c:pt>
                <c:pt idx="17">
                  <c:v>1366800</c:v>
                </c:pt>
                <c:pt idx="18">
                  <c:v>1361200</c:v>
                </c:pt>
                <c:pt idx="19">
                  <c:v>1356800</c:v>
                </c:pt>
                <c:pt idx="20">
                  <c:v>1350400</c:v>
                </c:pt>
                <c:pt idx="21">
                  <c:v>1349000</c:v>
                </c:pt>
                <c:pt idx="22">
                  <c:v>1324300</c:v>
                </c:pt>
                <c:pt idx="23">
                  <c:v>1322900</c:v>
                </c:pt>
                <c:pt idx="24">
                  <c:v>1300100</c:v>
                </c:pt>
                <c:pt idx="25">
                  <c:v>1293100</c:v>
                </c:pt>
                <c:pt idx="26">
                  <c:v>1272700</c:v>
                </c:pt>
                <c:pt idx="27">
                  <c:v>1269500</c:v>
                </c:pt>
                <c:pt idx="28">
                  <c:v>1247500</c:v>
                </c:pt>
                <c:pt idx="29">
                  <c:v>1233400</c:v>
                </c:pt>
                <c:pt idx="30">
                  <c:v>1212900</c:v>
                </c:pt>
                <c:pt idx="31">
                  <c:v>1210700</c:v>
                </c:pt>
                <c:pt idx="32">
                  <c:v>1200300</c:v>
                </c:pt>
                <c:pt idx="33">
                  <c:v>1167900</c:v>
                </c:pt>
                <c:pt idx="34">
                  <c:v>1119000</c:v>
                </c:pt>
                <c:pt idx="35">
                  <c:v>1110700</c:v>
                </c:pt>
                <c:pt idx="36">
                  <c:v>1078800</c:v>
                </c:pt>
                <c:pt idx="37">
                  <c:v>1063000</c:v>
                </c:pt>
                <c:pt idx="38">
                  <c:v>1059700</c:v>
                </c:pt>
                <c:pt idx="39">
                  <c:v>1053200</c:v>
                </c:pt>
                <c:pt idx="40">
                  <c:v>1045200</c:v>
                </c:pt>
                <c:pt idx="41">
                  <c:v>1038400</c:v>
                </c:pt>
                <c:pt idx="42">
                  <c:v>1003200</c:v>
                </c:pt>
                <c:pt idx="43">
                  <c:v>926200</c:v>
                </c:pt>
                <c:pt idx="44">
                  <c:v>925500</c:v>
                </c:pt>
                <c:pt idx="45">
                  <c:v>911100</c:v>
                </c:pt>
                <c:pt idx="46">
                  <c:v>864900</c:v>
                </c:pt>
              </c:numCache>
            </c:numRef>
          </c:val>
          <c:extLst>
            <c:ext xmlns:c16="http://schemas.microsoft.com/office/drawing/2014/chart" uri="{C3380CC4-5D6E-409C-BE32-E72D297353CC}">
              <c16:uniqueId val="{00000000-CEE1-4BDA-856D-1CF2EAD3733A}"/>
            </c:ext>
          </c:extLst>
        </c:ser>
        <c:ser>
          <c:idx val="1"/>
          <c:order val="1"/>
          <c:tx>
            <c:strRef>
              <c:f>Analysis!$C$82</c:f>
              <c:strCache>
                <c:ptCount val="1"/>
                <c:pt idx="0">
                  <c:v>Deals Won</c:v>
                </c:pt>
              </c:strCache>
            </c:strRef>
          </c:tx>
          <c:spPr>
            <a:solidFill>
              <a:schemeClr val="accent3"/>
            </a:solidFill>
            <a:ln>
              <a:noFill/>
            </a:ln>
            <a:effectLst/>
          </c:spPr>
          <c:invertIfNegative val="0"/>
          <c:cat>
            <c:strRef>
              <c:f>Analysis!$A$83:$A$130</c:f>
              <c:strCache>
                <c:ptCount val="47"/>
                <c:pt idx="0">
                  <c:v>Anita Banerjee</c:v>
                </c:pt>
                <c:pt idx="1">
                  <c:v>Arun Sharma</c:v>
                </c:pt>
                <c:pt idx="2">
                  <c:v>Anita Ghosh</c:v>
                </c:pt>
                <c:pt idx="3">
                  <c:v>Anita Joshi</c:v>
                </c:pt>
                <c:pt idx="4">
                  <c:v>Neha Patel</c:v>
                </c:pt>
                <c:pt idx="5">
                  <c:v>Gaurav Iyer</c:v>
                </c:pt>
                <c:pt idx="6">
                  <c:v>Sunita Sen</c:v>
                </c:pt>
                <c:pt idx="7">
                  <c:v>Karan Malhotra</c:v>
                </c:pt>
                <c:pt idx="8">
                  <c:v>Kavita Patel</c:v>
                </c:pt>
                <c:pt idx="9">
                  <c:v>Preeti Mehta</c:v>
                </c:pt>
                <c:pt idx="10">
                  <c:v>Manish Banerjee</c:v>
                </c:pt>
                <c:pt idx="11">
                  <c:v>Karan Gupta</c:v>
                </c:pt>
                <c:pt idx="12">
                  <c:v>Sanjay Reddy</c:v>
                </c:pt>
                <c:pt idx="13">
                  <c:v>Meena Agarwal</c:v>
                </c:pt>
                <c:pt idx="14">
                  <c:v>Arjun Rao</c:v>
                </c:pt>
                <c:pt idx="15">
                  <c:v>Sneha Tiwari</c:v>
                </c:pt>
                <c:pt idx="16">
                  <c:v>Deepak Roy</c:v>
                </c:pt>
                <c:pt idx="17">
                  <c:v>Pooja Kumar</c:v>
                </c:pt>
                <c:pt idx="18">
                  <c:v>Karan Agarwal</c:v>
                </c:pt>
                <c:pt idx="19">
                  <c:v>Manish Kumar</c:v>
                </c:pt>
                <c:pt idx="20">
                  <c:v>Harish Bose</c:v>
                </c:pt>
                <c:pt idx="21">
                  <c:v>Manish Pillai</c:v>
                </c:pt>
                <c:pt idx="22">
                  <c:v>Swati Chopra</c:v>
                </c:pt>
                <c:pt idx="23">
                  <c:v>Manoj Saxena</c:v>
                </c:pt>
                <c:pt idx="24">
                  <c:v>Sanjay Rastogi</c:v>
                </c:pt>
                <c:pt idx="25">
                  <c:v>Amit Nair</c:v>
                </c:pt>
                <c:pt idx="26">
                  <c:v>Anita Agarwal</c:v>
                </c:pt>
                <c:pt idx="27">
                  <c:v>Preeti Rao</c:v>
                </c:pt>
                <c:pt idx="28">
                  <c:v>Jyoti Sharma</c:v>
                </c:pt>
                <c:pt idx="29">
                  <c:v>Seema Chopra</c:v>
                </c:pt>
                <c:pt idx="30">
                  <c:v>Preeti Pandey</c:v>
                </c:pt>
                <c:pt idx="31">
                  <c:v>Usha Rao</c:v>
                </c:pt>
                <c:pt idx="32">
                  <c:v>Sunita Mehta</c:v>
                </c:pt>
                <c:pt idx="33">
                  <c:v>Manoj Rastogi</c:v>
                </c:pt>
                <c:pt idx="34">
                  <c:v>Amit Mehta</c:v>
                </c:pt>
                <c:pt idx="35">
                  <c:v>Suresh Joshi</c:v>
                </c:pt>
                <c:pt idx="36">
                  <c:v>Manoj Lal</c:v>
                </c:pt>
                <c:pt idx="37">
                  <c:v>Kavita Mehta</c:v>
                </c:pt>
                <c:pt idx="38">
                  <c:v>Deepak Iyer</c:v>
                </c:pt>
                <c:pt idx="39">
                  <c:v>Jyoti Dubey</c:v>
                </c:pt>
                <c:pt idx="40">
                  <c:v>Rohit Kumar</c:v>
                </c:pt>
                <c:pt idx="41">
                  <c:v>Meena Singh</c:v>
                </c:pt>
                <c:pt idx="42">
                  <c:v>Vikram Chopra</c:v>
                </c:pt>
                <c:pt idx="43">
                  <c:v>Kavita Kumar</c:v>
                </c:pt>
                <c:pt idx="44">
                  <c:v>Jyoti Chopra</c:v>
                </c:pt>
                <c:pt idx="45">
                  <c:v>Suresh Verma</c:v>
                </c:pt>
                <c:pt idx="46">
                  <c:v>Preeti Chopra</c:v>
                </c:pt>
              </c:strCache>
            </c:strRef>
          </c:cat>
          <c:val>
            <c:numRef>
              <c:f>Analysis!$C$83:$C$130</c:f>
              <c:numCache>
                <c:formatCode>General</c:formatCode>
                <c:ptCount val="47"/>
                <c:pt idx="0">
                  <c:v>10</c:v>
                </c:pt>
                <c:pt idx="1">
                  <c:v>9</c:v>
                </c:pt>
                <c:pt idx="2">
                  <c:v>12</c:v>
                </c:pt>
                <c:pt idx="3">
                  <c:v>3</c:v>
                </c:pt>
                <c:pt idx="4">
                  <c:v>6</c:v>
                </c:pt>
                <c:pt idx="5">
                  <c:v>6</c:v>
                </c:pt>
                <c:pt idx="6">
                  <c:v>5</c:v>
                </c:pt>
                <c:pt idx="7">
                  <c:v>4</c:v>
                </c:pt>
                <c:pt idx="8">
                  <c:v>4</c:v>
                </c:pt>
                <c:pt idx="9">
                  <c:v>7</c:v>
                </c:pt>
                <c:pt idx="10">
                  <c:v>4</c:v>
                </c:pt>
                <c:pt idx="11">
                  <c:v>2</c:v>
                </c:pt>
                <c:pt idx="12">
                  <c:v>4</c:v>
                </c:pt>
                <c:pt idx="13">
                  <c:v>4</c:v>
                </c:pt>
                <c:pt idx="14">
                  <c:v>3</c:v>
                </c:pt>
                <c:pt idx="15">
                  <c:v>2</c:v>
                </c:pt>
                <c:pt idx="16">
                  <c:v>5</c:v>
                </c:pt>
                <c:pt idx="17">
                  <c:v>5</c:v>
                </c:pt>
                <c:pt idx="18">
                  <c:v>4</c:v>
                </c:pt>
                <c:pt idx="19">
                  <c:v>7</c:v>
                </c:pt>
                <c:pt idx="20">
                  <c:v>3</c:v>
                </c:pt>
                <c:pt idx="21">
                  <c:v>7</c:v>
                </c:pt>
                <c:pt idx="22">
                  <c:v>4</c:v>
                </c:pt>
                <c:pt idx="23">
                  <c:v>5</c:v>
                </c:pt>
                <c:pt idx="24">
                  <c:v>3</c:v>
                </c:pt>
                <c:pt idx="25">
                  <c:v>5</c:v>
                </c:pt>
                <c:pt idx="26">
                  <c:v>5</c:v>
                </c:pt>
                <c:pt idx="27">
                  <c:v>3</c:v>
                </c:pt>
                <c:pt idx="28">
                  <c:v>5</c:v>
                </c:pt>
                <c:pt idx="29">
                  <c:v>6</c:v>
                </c:pt>
                <c:pt idx="30">
                  <c:v>4</c:v>
                </c:pt>
                <c:pt idx="31">
                  <c:v>3</c:v>
                </c:pt>
                <c:pt idx="32">
                  <c:v>7</c:v>
                </c:pt>
                <c:pt idx="33">
                  <c:v>4</c:v>
                </c:pt>
                <c:pt idx="34">
                  <c:v>5</c:v>
                </c:pt>
                <c:pt idx="35">
                  <c:v>1</c:v>
                </c:pt>
                <c:pt idx="36">
                  <c:v>5</c:v>
                </c:pt>
                <c:pt idx="37">
                  <c:v>3</c:v>
                </c:pt>
                <c:pt idx="38">
                  <c:v>3</c:v>
                </c:pt>
                <c:pt idx="39">
                  <c:v>5</c:v>
                </c:pt>
                <c:pt idx="40">
                  <c:v>5</c:v>
                </c:pt>
                <c:pt idx="41">
                  <c:v>7</c:v>
                </c:pt>
                <c:pt idx="42">
                  <c:v>5</c:v>
                </c:pt>
                <c:pt idx="43">
                  <c:v>6</c:v>
                </c:pt>
                <c:pt idx="44">
                  <c:v>4</c:v>
                </c:pt>
                <c:pt idx="45">
                  <c:v>5</c:v>
                </c:pt>
                <c:pt idx="46">
                  <c:v>5</c:v>
                </c:pt>
              </c:numCache>
            </c:numRef>
          </c:val>
          <c:extLst>
            <c:ext xmlns:c16="http://schemas.microsoft.com/office/drawing/2014/chart" uri="{C3380CC4-5D6E-409C-BE32-E72D297353CC}">
              <c16:uniqueId val="{00000001-CEE1-4BDA-856D-1CF2EAD3733A}"/>
            </c:ext>
          </c:extLst>
        </c:ser>
        <c:ser>
          <c:idx val="2"/>
          <c:order val="2"/>
          <c:tx>
            <c:strRef>
              <c:f>Analysis!$D$82</c:f>
              <c:strCache>
                <c:ptCount val="1"/>
                <c:pt idx="0">
                  <c:v>Commission Earned</c:v>
                </c:pt>
              </c:strCache>
            </c:strRef>
          </c:tx>
          <c:spPr>
            <a:solidFill>
              <a:schemeClr val="accent5"/>
            </a:solidFill>
            <a:ln>
              <a:noFill/>
            </a:ln>
            <a:effectLst/>
          </c:spPr>
          <c:invertIfNegative val="0"/>
          <c:cat>
            <c:strRef>
              <c:f>Analysis!$A$83:$A$130</c:f>
              <c:strCache>
                <c:ptCount val="47"/>
                <c:pt idx="0">
                  <c:v>Anita Banerjee</c:v>
                </c:pt>
                <c:pt idx="1">
                  <c:v>Arun Sharma</c:v>
                </c:pt>
                <c:pt idx="2">
                  <c:v>Anita Ghosh</c:v>
                </c:pt>
                <c:pt idx="3">
                  <c:v>Anita Joshi</c:v>
                </c:pt>
                <c:pt idx="4">
                  <c:v>Neha Patel</c:v>
                </c:pt>
                <c:pt idx="5">
                  <c:v>Gaurav Iyer</c:v>
                </c:pt>
                <c:pt idx="6">
                  <c:v>Sunita Sen</c:v>
                </c:pt>
                <c:pt idx="7">
                  <c:v>Karan Malhotra</c:v>
                </c:pt>
                <c:pt idx="8">
                  <c:v>Kavita Patel</c:v>
                </c:pt>
                <c:pt idx="9">
                  <c:v>Preeti Mehta</c:v>
                </c:pt>
                <c:pt idx="10">
                  <c:v>Manish Banerjee</c:v>
                </c:pt>
                <c:pt idx="11">
                  <c:v>Karan Gupta</c:v>
                </c:pt>
                <c:pt idx="12">
                  <c:v>Sanjay Reddy</c:v>
                </c:pt>
                <c:pt idx="13">
                  <c:v>Meena Agarwal</c:v>
                </c:pt>
                <c:pt idx="14">
                  <c:v>Arjun Rao</c:v>
                </c:pt>
                <c:pt idx="15">
                  <c:v>Sneha Tiwari</c:v>
                </c:pt>
                <c:pt idx="16">
                  <c:v>Deepak Roy</c:v>
                </c:pt>
                <c:pt idx="17">
                  <c:v>Pooja Kumar</c:v>
                </c:pt>
                <c:pt idx="18">
                  <c:v>Karan Agarwal</c:v>
                </c:pt>
                <c:pt idx="19">
                  <c:v>Manish Kumar</c:v>
                </c:pt>
                <c:pt idx="20">
                  <c:v>Harish Bose</c:v>
                </c:pt>
                <c:pt idx="21">
                  <c:v>Manish Pillai</c:v>
                </c:pt>
                <c:pt idx="22">
                  <c:v>Swati Chopra</c:v>
                </c:pt>
                <c:pt idx="23">
                  <c:v>Manoj Saxena</c:v>
                </c:pt>
                <c:pt idx="24">
                  <c:v>Sanjay Rastogi</c:v>
                </c:pt>
                <c:pt idx="25">
                  <c:v>Amit Nair</c:v>
                </c:pt>
                <c:pt idx="26">
                  <c:v>Anita Agarwal</c:v>
                </c:pt>
                <c:pt idx="27">
                  <c:v>Preeti Rao</c:v>
                </c:pt>
                <c:pt idx="28">
                  <c:v>Jyoti Sharma</c:v>
                </c:pt>
                <c:pt idx="29">
                  <c:v>Seema Chopra</c:v>
                </c:pt>
                <c:pt idx="30">
                  <c:v>Preeti Pandey</c:v>
                </c:pt>
                <c:pt idx="31">
                  <c:v>Usha Rao</c:v>
                </c:pt>
                <c:pt idx="32">
                  <c:v>Sunita Mehta</c:v>
                </c:pt>
                <c:pt idx="33">
                  <c:v>Manoj Rastogi</c:v>
                </c:pt>
                <c:pt idx="34">
                  <c:v>Amit Mehta</c:v>
                </c:pt>
                <c:pt idx="35">
                  <c:v>Suresh Joshi</c:v>
                </c:pt>
                <c:pt idx="36">
                  <c:v>Manoj Lal</c:v>
                </c:pt>
                <c:pt idx="37">
                  <c:v>Kavita Mehta</c:v>
                </c:pt>
                <c:pt idx="38">
                  <c:v>Deepak Iyer</c:v>
                </c:pt>
                <c:pt idx="39">
                  <c:v>Jyoti Dubey</c:v>
                </c:pt>
                <c:pt idx="40">
                  <c:v>Rohit Kumar</c:v>
                </c:pt>
                <c:pt idx="41">
                  <c:v>Meena Singh</c:v>
                </c:pt>
                <c:pt idx="42">
                  <c:v>Vikram Chopra</c:v>
                </c:pt>
                <c:pt idx="43">
                  <c:v>Kavita Kumar</c:v>
                </c:pt>
                <c:pt idx="44">
                  <c:v>Jyoti Chopra</c:v>
                </c:pt>
                <c:pt idx="45">
                  <c:v>Suresh Verma</c:v>
                </c:pt>
                <c:pt idx="46">
                  <c:v>Preeti Chopra</c:v>
                </c:pt>
              </c:strCache>
            </c:strRef>
          </c:cat>
          <c:val>
            <c:numRef>
              <c:f>Analysis!$D$83:$D$130</c:f>
              <c:numCache>
                <c:formatCode>General</c:formatCode>
                <c:ptCount val="47"/>
                <c:pt idx="0">
                  <c:v>131043.09999999999</c:v>
                </c:pt>
                <c:pt idx="1">
                  <c:v>101598.7</c:v>
                </c:pt>
                <c:pt idx="2">
                  <c:v>92553.8</c:v>
                </c:pt>
                <c:pt idx="3">
                  <c:v>45725.100000000006</c:v>
                </c:pt>
                <c:pt idx="4">
                  <c:v>63705.299999999996</c:v>
                </c:pt>
                <c:pt idx="5">
                  <c:v>71870.799999999988</c:v>
                </c:pt>
                <c:pt idx="6">
                  <c:v>80990.600000000006</c:v>
                </c:pt>
                <c:pt idx="7">
                  <c:v>43939.9</c:v>
                </c:pt>
                <c:pt idx="8">
                  <c:v>42101.8</c:v>
                </c:pt>
                <c:pt idx="9">
                  <c:v>74284.600000000006</c:v>
                </c:pt>
                <c:pt idx="10">
                  <c:v>37696.9</c:v>
                </c:pt>
                <c:pt idx="11">
                  <c:v>19163.3</c:v>
                </c:pt>
                <c:pt idx="12">
                  <c:v>56323.6</c:v>
                </c:pt>
                <c:pt idx="13">
                  <c:v>48264.800000000003</c:v>
                </c:pt>
                <c:pt idx="14">
                  <c:v>13084.599999999999</c:v>
                </c:pt>
                <c:pt idx="15">
                  <c:v>13058.8</c:v>
                </c:pt>
                <c:pt idx="16">
                  <c:v>58466.6</c:v>
                </c:pt>
                <c:pt idx="17">
                  <c:v>42829.5</c:v>
                </c:pt>
                <c:pt idx="18">
                  <c:v>58459.600000000006</c:v>
                </c:pt>
                <c:pt idx="19">
                  <c:v>47251.9</c:v>
                </c:pt>
                <c:pt idx="20">
                  <c:v>33194.300000000003</c:v>
                </c:pt>
                <c:pt idx="21">
                  <c:v>40850.299999999996</c:v>
                </c:pt>
                <c:pt idx="22">
                  <c:v>58206.2</c:v>
                </c:pt>
                <c:pt idx="23">
                  <c:v>29142.300000000003</c:v>
                </c:pt>
                <c:pt idx="24">
                  <c:v>21820.399999999998</c:v>
                </c:pt>
                <c:pt idx="25">
                  <c:v>55984.3</c:v>
                </c:pt>
                <c:pt idx="26">
                  <c:v>49923.9</c:v>
                </c:pt>
                <c:pt idx="27">
                  <c:v>17727.900000000001</c:v>
                </c:pt>
                <c:pt idx="28">
                  <c:v>34121.1</c:v>
                </c:pt>
                <c:pt idx="29">
                  <c:v>91767.4</c:v>
                </c:pt>
                <c:pt idx="30">
                  <c:v>47450.8</c:v>
                </c:pt>
                <c:pt idx="31">
                  <c:v>27506.400000000001</c:v>
                </c:pt>
                <c:pt idx="32">
                  <c:v>69172.899999999994</c:v>
                </c:pt>
                <c:pt idx="33">
                  <c:v>31584</c:v>
                </c:pt>
                <c:pt idx="34">
                  <c:v>37820.000000000007</c:v>
                </c:pt>
                <c:pt idx="35">
                  <c:v>3374.5</c:v>
                </c:pt>
                <c:pt idx="36">
                  <c:v>28679.8</c:v>
                </c:pt>
                <c:pt idx="37">
                  <c:v>9536.4</c:v>
                </c:pt>
                <c:pt idx="38">
                  <c:v>18702.399999999998</c:v>
                </c:pt>
                <c:pt idx="39">
                  <c:v>16594.399999999998</c:v>
                </c:pt>
                <c:pt idx="40">
                  <c:v>50756.800000000003</c:v>
                </c:pt>
                <c:pt idx="41">
                  <c:v>58503.899999999994</c:v>
                </c:pt>
                <c:pt idx="42">
                  <c:v>38404.299999999996</c:v>
                </c:pt>
                <c:pt idx="43">
                  <c:v>19844</c:v>
                </c:pt>
                <c:pt idx="44">
                  <c:v>20867.2</c:v>
                </c:pt>
                <c:pt idx="45">
                  <c:v>27726.799999999999</c:v>
                </c:pt>
                <c:pt idx="46">
                  <c:v>23176.399999999998</c:v>
                </c:pt>
              </c:numCache>
            </c:numRef>
          </c:val>
          <c:extLst>
            <c:ext xmlns:c16="http://schemas.microsoft.com/office/drawing/2014/chart" uri="{C3380CC4-5D6E-409C-BE32-E72D297353CC}">
              <c16:uniqueId val="{00000002-CEE1-4BDA-856D-1CF2EAD3733A}"/>
            </c:ext>
          </c:extLst>
        </c:ser>
        <c:ser>
          <c:idx val="3"/>
          <c:order val="3"/>
          <c:tx>
            <c:strRef>
              <c:f>Analysis!$E$82</c:f>
              <c:strCache>
                <c:ptCount val="1"/>
                <c:pt idx="0">
                  <c:v>Avg Close Days</c:v>
                </c:pt>
              </c:strCache>
            </c:strRef>
          </c:tx>
          <c:spPr>
            <a:solidFill>
              <a:schemeClr val="accent1">
                <a:lumMod val="60000"/>
              </a:schemeClr>
            </a:solidFill>
            <a:ln>
              <a:noFill/>
            </a:ln>
            <a:effectLst/>
          </c:spPr>
          <c:invertIfNegative val="0"/>
          <c:cat>
            <c:strRef>
              <c:f>Analysis!$A$83:$A$130</c:f>
              <c:strCache>
                <c:ptCount val="47"/>
                <c:pt idx="0">
                  <c:v>Anita Banerjee</c:v>
                </c:pt>
                <c:pt idx="1">
                  <c:v>Arun Sharma</c:v>
                </c:pt>
                <c:pt idx="2">
                  <c:v>Anita Ghosh</c:v>
                </c:pt>
                <c:pt idx="3">
                  <c:v>Anita Joshi</c:v>
                </c:pt>
                <c:pt idx="4">
                  <c:v>Neha Patel</c:v>
                </c:pt>
                <c:pt idx="5">
                  <c:v>Gaurav Iyer</c:v>
                </c:pt>
                <c:pt idx="6">
                  <c:v>Sunita Sen</c:v>
                </c:pt>
                <c:pt idx="7">
                  <c:v>Karan Malhotra</c:v>
                </c:pt>
                <c:pt idx="8">
                  <c:v>Kavita Patel</c:v>
                </c:pt>
                <c:pt idx="9">
                  <c:v>Preeti Mehta</c:v>
                </c:pt>
                <c:pt idx="10">
                  <c:v>Manish Banerjee</c:v>
                </c:pt>
                <c:pt idx="11">
                  <c:v>Karan Gupta</c:v>
                </c:pt>
                <c:pt idx="12">
                  <c:v>Sanjay Reddy</c:v>
                </c:pt>
                <c:pt idx="13">
                  <c:v>Meena Agarwal</c:v>
                </c:pt>
                <c:pt idx="14">
                  <c:v>Arjun Rao</c:v>
                </c:pt>
                <c:pt idx="15">
                  <c:v>Sneha Tiwari</c:v>
                </c:pt>
                <c:pt idx="16">
                  <c:v>Deepak Roy</c:v>
                </c:pt>
                <c:pt idx="17">
                  <c:v>Pooja Kumar</c:v>
                </c:pt>
                <c:pt idx="18">
                  <c:v>Karan Agarwal</c:v>
                </c:pt>
                <c:pt idx="19">
                  <c:v>Manish Kumar</c:v>
                </c:pt>
                <c:pt idx="20">
                  <c:v>Harish Bose</c:v>
                </c:pt>
                <c:pt idx="21">
                  <c:v>Manish Pillai</c:v>
                </c:pt>
                <c:pt idx="22">
                  <c:v>Swati Chopra</c:v>
                </c:pt>
                <c:pt idx="23">
                  <c:v>Manoj Saxena</c:v>
                </c:pt>
                <c:pt idx="24">
                  <c:v>Sanjay Rastogi</c:v>
                </c:pt>
                <c:pt idx="25">
                  <c:v>Amit Nair</c:v>
                </c:pt>
                <c:pt idx="26">
                  <c:v>Anita Agarwal</c:v>
                </c:pt>
                <c:pt idx="27">
                  <c:v>Preeti Rao</c:v>
                </c:pt>
                <c:pt idx="28">
                  <c:v>Jyoti Sharma</c:v>
                </c:pt>
                <c:pt idx="29">
                  <c:v>Seema Chopra</c:v>
                </c:pt>
                <c:pt idx="30">
                  <c:v>Preeti Pandey</c:v>
                </c:pt>
                <c:pt idx="31">
                  <c:v>Usha Rao</c:v>
                </c:pt>
                <c:pt idx="32">
                  <c:v>Sunita Mehta</c:v>
                </c:pt>
                <c:pt idx="33">
                  <c:v>Manoj Rastogi</c:v>
                </c:pt>
                <c:pt idx="34">
                  <c:v>Amit Mehta</c:v>
                </c:pt>
                <c:pt idx="35">
                  <c:v>Suresh Joshi</c:v>
                </c:pt>
                <c:pt idx="36">
                  <c:v>Manoj Lal</c:v>
                </c:pt>
                <c:pt idx="37">
                  <c:v>Kavita Mehta</c:v>
                </c:pt>
                <c:pt idx="38">
                  <c:v>Deepak Iyer</c:v>
                </c:pt>
                <c:pt idx="39">
                  <c:v>Jyoti Dubey</c:v>
                </c:pt>
                <c:pt idx="40">
                  <c:v>Rohit Kumar</c:v>
                </c:pt>
                <c:pt idx="41">
                  <c:v>Meena Singh</c:v>
                </c:pt>
                <c:pt idx="42">
                  <c:v>Vikram Chopra</c:v>
                </c:pt>
                <c:pt idx="43">
                  <c:v>Kavita Kumar</c:v>
                </c:pt>
                <c:pt idx="44">
                  <c:v>Jyoti Chopra</c:v>
                </c:pt>
                <c:pt idx="45">
                  <c:v>Suresh Verma</c:v>
                </c:pt>
                <c:pt idx="46">
                  <c:v>Preeti Chopra</c:v>
                </c:pt>
              </c:strCache>
            </c:strRef>
          </c:cat>
          <c:val>
            <c:numRef>
              <c:f>Analysis!$E$83:$E$130</c:f>
              <c:numCache>
                <c:formatCode>General</c:formatCode>
                <c:ptCount val="47"/>
                <c:pt idx="0">
                  <c:v>37.6</c:v>
                </c:pt>
                <c:pt idx="1">
                  <c:v>43.85</c:v>
                </c:pt>
                <c:pt idx="2">
                  <c:v>41.6</c:v>
                </c:pt>
                <c:pt idx="3">
                  <c:v>42.7</c:v>
                </c:pt>
                <c:pt idx="4">
                  <c:v>43.7</c:v>
                </c:pt>
                <c:pt idx="5">
                  <c:v>52.8</c:v>
                </c:pt>
                <c:pt idx="6">
                  <c:v>43.5</c:v>
                </c:pt>
                <c:pt idx="7">
                  <c:v>46.5</c:v>
                </c:pt>
                <c:pt idx="8">
                  <c:v>37.299999999999997</c:v>
                </c:pt>
                <c:pt idx="9">
                  <c:v>42.5</c:v>
                </c:pt>
                <c:pt idx="10">
                  <c:v>46.2</c:v>
                </c:pt>
                <c:pt idx="11">
                  <c:v>45</c:v>
                </c:pt>
                <c:pt idx="12">
                  <c:v>43.9</c:v>
                </c:pt>
                <c:pt idx="13">
                  <c:v>54.3</c:v>
                </c:pt>
                <c:pt idx="14">
                  <c:v>44.5</c:v>
                </c:pt>
                <c:pt idx="15">
                  <c:v>53.8</c:v>
                </c:pt>
                <c:pt idx="16">
                  <c:v>48.4</c:v>
                </c:pt>
                <c:pt idx="17">
                  <c:v>52</c:v>
                </c:pt>
                <c:pt idx="18">
                  <c:v>59</c:v>
                </c:pt>
                <c:pt idx="19">
                  <c:v>40.299999999999997</c:v>
                </c:pt>
                <c:pt idx="20">
                  <c:v>45.1</c:v>
                </c:pt>
                <c:pt idx="21">
                  <c:v>39</c:v>
                </c:pt>
                <c:pt idx="22">
                  <c:v>47.9</c:v>
                </c:pt>
                <c:pt idx="23">
                  <c:v>36.200000000000003</c:v>
                </c:pt>
                <c:pt idx="24">
                  <c:v>54.2</c:v>
                </c:pt>
                <c:pt idx="25">
                  <c:v>48.7</c:v>
                </c:pt>
                <c:pt idx="26">
                  <c:v>43.2</c:v>
                </c:pt>
                <c:pt idx="27">
                  <c:v>58.4</c:v>
                </c:pt>
                <c:pt idx="28">
                  <c:v>65.8</c:v>
                </c:pt>
                <c:pt idx="29">
                  <c:v>55.6</c:v>
                </c:pt>
                <c:pt idx="30">
                  <c:v>58.5</c:v>
                </c:pt>
                <c:pt idx="31">
                  <c:v>47.4</c:v>
                </c:pt>
                <c:pt idx="32">
                  <c:v>36.9</c:v>
                </c:pt>
                <c:pt idx="33">
                  <c:v>43.2</c:v>
                </c:pt>
                <c:pt idx="34">
                  <c:v>55.4</c:v>
                </c:pt>
                <c:pt idx="35">
                  <c:v>44.5</c:v>
                </c:pt>
                <c:pt idx="36">
                  <c:v>46</c:v>
                </c:pt>
                <c:pt idx="37">
                  <c:v>47.7</c:v>
                </c:pt>
                <c:pt idx="38">
                  <c:v>46.9</c:v>
                </c:pt>
                <c:pt idx="39">
                  <c:v>41</c:v>
                </c:pt>
                <c:pt idx="40">
                  <c:v>48.6</c:v>
                </c:pt>
                <c:pt idx="41">
                  <c:v>51.8</c:v>
                </c:pt>
                <c:pt idx="42">
                  <c:v>46.3</c:v>
                </c:pt>
                <c:pt idx="43">
                  <c:v>39.9</c:v>
                </c:pt>
                <c:pt idx="44">
                  <c:v>48.1</c:v>
                </c:pt>
                <c:pt idx="45">
                  <c:v>55.9</c:v>
                </c:pt>
                <c:pt idx="46">
                  <c:v>40.5</c:v>
                </c:pt>
              </c:numCache>
            </c:numRef>
          </c:val>
          <c:extLst>
            <c:ext xmlns:c16="http://schemas.microsoft.com/office/drawing/2014/chart" uri="{C3380CC4-5D6E-409C-BE32-E72D297353CC}">
              <c16:uniqueId val="{00000003-CEE1-4BDA-856D-1CF2EAD3733A}"/>
            </c:ext>
          </c:extLst>
        </c:ser>
        <c:dLbls>
          <c:showLegendKey val="0"/>
          <c:showVal val="0"/>
          <c:showCatName val="0"/>
          <c:showSerName val="0"/>
          <c:showPercent val="0"/>
          <c:showBubbleSize val="0"/>
        </c:dLbls>
        <c:gapWidth val="219"/>
        <c:overlap val="-27"/>
        <c:axId val="1273069232"/>
        <c:axId val="1273071152"/>
      </c:barChart>
      <c:catAx>
        <c:axId val="127306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071152"/>
        <c:crosses val="autoZero"/>
        <c:auto val="1"/>
        <c:lblAlgn val="ctr"/>
        <c:lblOffset val="100"/>
        <c:noMultiLvlLbl val="0"/>
      </c:catAx>
      <c:valAx>
        <c:axId val="127307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069232"/>
        <c:crosses val="autoZero"/>
        <c:crossBetween val="between"/>
      </c:valAx>
      <c:spPr>
        <a:noFill/>
        <a:ln>
          <a:noFill/>
        </a:ln>
        <a:effectLst/>
      </c:spPr>
    </c:plotArea>
    <c:legend>
      <c:legendPos val="b"/>
      <c:layout>
        <c:manualLayout>
          <c:xMode val="edge"/>
          <c:yMode val="edge"/>
          <c:x val="6.147856517935258E-2"/>
          <c:y val="0.91261519393409141"/>
          <c:w val="0.8770426509186352"/>
          <c:h val="5.96070282881306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[TechMart_Sales_Analytics.xlsx]Analysis!PivotTable1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&amp;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North</c:v>
                </c:pt>
                <c:pt idx="1">
                  <c:v>West</c:v>
                </c:pt>
                <c:pt idx="2">
                  <c:v>South</c:v>
                </c:pt>
                <c:pt idx="3">
                  <c:v>East</c:v>
                </c:pt>
                <c:pt idx="4">
                  <c:v>Central</c:v>
                </c:pt>
              </c:strCache>
            </c:strRef>
          </c:cat>
          <c:val>
            <c:numRef>
              <c:f>Analysis!$B$4:$B$9</c:f>
              <c:numCache>
                <c:formatCode>[$₹-439]#,##0;[Red][$₹-439]#,##0</c:formatCode>
                <c:ptCount val="5"/>
                <c:pt idx="0">
                  <c:v>14560479.500000002</c:v>
                </c:pt>
                <c:pt idx="1">
                  <c:v>9632318.7999999989</c:v>
                </c:pt>
                <c:pt idx="2">
                  <c:v>9347593.2500000019</c:v>
                </c:pt>
                <c:pt idx="3">
                  <c:v>6060414.200000002</c:v>
                </c:pt>
                <c:pt idx="4">
                  <c:v>2642332</c:v>
                </c:pt>
              </c:numCache>
            </c:numRef>
          </c:val>
          <c:extLst>
            <c:ext xmlns:c16="http://schemas.microsoft.com/office/drawing/2014/chart" uri="{C3380CC4-5D6E-409C-BE32-E72D297353CC}">
              <c16:uniqueId val="{00000000-C966-424A-A9AD-BEF4EBD9F0BF}"/>
            </c:ext>
          </c:extLst>
        </c:ser>
        <c:ser>
          <c:idx val="1"/>
          <c:order val="1"/>
          <c:tx>
            <c:strRef>
              <c:f>Analysis!$C$3</c:f>
              <c:strCache>
                <c:ptCount val="1"/>
                <c:pt idx="0">
                  <c:v>Total Orders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North</c:v>
                </c:pt>
                <c:pt idx="1">
                  <c:v>West</c:v>
                </c:pt>
                <c:pt idx="2">
                  <c:v>South</c:v>
                </c:pt>
                <c:pt idx="3">
                  <c:v>East</c:v>
                </c:pt>
                <c:pt idx="4">
                  <c:v>Central</c:v>
                </c:pt>
              </c:strCache>
            </c:strRef>
          </c:cat>
          <c:val>
            <c:numRef>
              <c:f>Analysis!$C$4:$C$9</c:f>
              <c:numCache>
                <c:formatCode>General</c:formatCode>
                <c:ptCount val="5"/>
                <c:pt idx="0">
                  <c:v>163</c:v>
                </c:pt>
                <c:pt idx="1">
                  <c:v>125</c:v>
                </c:pt>
                <c:pt idx="2">
                  <c:v>111</c:v>
                </c:pt>
                <c:pt idx="3">
                  <c:v>67</c:v>
                </c:pt>
                <c:pt idx="4">
                  <c:v>34</c:v>
                </c:pt>
              </c:numCache>
            </c:numRef>
          </c:val>
          <c:extLst>
            <c:ext xmlns:c16="http://schemas.microsoft.com/office/drawing/2014/chart" uri="{C3380CC4-5D6E-409C-BE32-E72D297353CC}">
              <c16:uniqueId val="{00000001-C966-424A-A9AD-BEF4EBD9F0BF}"/>
            </c:ext>
          </c:extLst>
        </c:ser>
        <c:ser>
          <c:idx val="2"/>
          <c:order val="2"/>
          <c:tx>
            <c:strRef>
              <c:f>Analysis!$D$3</c:f>
              <c:strCache>
                <c:ptCount val="1"/>
                <c:pt idx="0">
                  <c:v>Total Profit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North</c:v>
                </c:pt>
                <c:pt idx="1">
                  <c:v>West</c:v>
                </c:pt>
                <c:pt idx="2">
                  <c:v>South</c:v>
                </c:pt>
                <c:pt idx="3">
                  <c:v>East</c:v>
                </c:pt>
                <c:pt idx="4">
                  <c:v>Central</c:v>
                </c:pt>
              </c:strCache>
            </c:strRef>
          </c:cat>
          <c:val>
            <c:numRef>
              <c:f>Analysis!$D$4:$D$9</c:f>
              <c:numCache>
                <c:formatCode>[$₹-439]#,##0;[Red][$₹-439]#,##0</c:formatCode>
                <c:ptCount val="5"/>
                <c:pt idx="0">
                  <c:v>3826279.4999999991</c:v>
                </c:pt>
                <c:pt idx="1">
                  <c:v>2497218.8000000007</c:v>
                </c:pt>
                <c:pt idx="2">
                  <c:v>2362393.2499999991</c:v>
                </c:pt>
                <c:pt idx="3">
                  <c:v>1617914.1999999995</c:v>
                </c:pt>
                <c:pt idx="4">
                  <c:v>677332</c:v>
                </c:pt>
              </c:numCache>
            </c:numRef>
          </c:val>
          <c:extLst>
            <c:ext xmlns:c16="http://schemas.microsoft.com/office/drawing/2014/chart" uri="{C3380CC4-5D6E-409C-BE32-E72D297353CC}">
              <c16:uniqueId val="{00000002-C966-424A-A9AD-BEF4EBD9F0BF}"/>
            </c:ext>
          </c:extLst>
        </c:ser>
        <c:ser>
          <c:idx val="3"/>
          <c:order val="3"/>
          <c:tx>
            <c:strRef>
              <c:f>Analysis!$E$3</c:f>
              <c:strCache>
                <c:ptCount val="1"/>
                <c:pt idx="0">
                  <c:v>Profit Margin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North</c:v>
                </c:pt>
                <c:pt idx="1">
                  <c:v>West</c:v>
                </c:pt>
                <c:pt idx="2">
                  <c:v>South</c:v>
                </c:pt>
                <c:pt idx="3">
                  <c:v>East</c:v>
                </c:pt>
                <c:pt idx="4">
                  <c:v>Central</c:v>
                </c:pt>
              </c:strCache>
            </c:strRef>
          </c:cat>
          <c:val>
            <c:numRef>
              <c:f>Analysis!$E$4:$E$9</c:f>
              <c:numCache>
                <c:formatCode>0.0%</c:formatCode>
                <c:ptCount val="5"/>
                <c:pt idx="0">
                  <c:v>0.26278526747693981</c:v>
                </c:pt>
                <c:pt idx="1">
                  <c:v>0.25925416837324788</c:v>
                </c:pt>
                <c:pt idx="2">
                  <c:v>0.25272743334226688</c:v>
                </c:pt>
                <c:pt idx="3">
                  <c:v>0.26696429428866414</c:v>
                </c:pt>
                <c:pt idx="4">
                  <c:v>0.25633871898005245</c:v>
                </c:pt>
              </c:numCache>
            </c:numRef>
          </c:val>
          <c:extLst>
            <c:ext xmlns:c16="http://schemas.microsoft.com/office/drawing/2014/chart" uri="{C3380CC4-5D6E-409C-BE32-E72D297353CC}">
              <c16:uniqueId val="{00000003-C966-424A-A9AD-BEF4EBD9F0BF}"/>
            </c:ext>
          </c:extLst>
        </c:ser>
        <c:dLbls>
          <c:showLegendKey val="0"/>
          <c:showVal val="1"/>
          <c:showCatName val="0"/>
          <c:showSerName val="0"/>
          <c:showPercent val="0"/>
          <c:showBubbleSize val="0"/>
        </c:dLbls>
        <c:gapWidth val="182"/>
        <c:axId val="1405524880"/>
        <c:axId val="1405520560"/>
      </c:barChart>
      <c:catAx>
        <c:axId val="1405524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520560"/>
        <c:crosses val="autoZero"/>
        <c:auto val="1"/>
        <c:lblAlgn val="ctr"/>
        <c:lblOffset val="100"/>
        <c:noMultiLvlLbl val="0"/>
      </c:catAx>
      <c:valAx>
        <c:axId val="1405520560"/>
        <c:scaling>
          <c:orientation val="minMax"/>
        </c:scaling>
        <c:delete val="0"/>
        <c:axPos val="b"/>
        <c:numFmt formatCode="[$₹-439]#,##0;[Red][$₹-43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52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[TechMart_Sales_Analytics.xlsx]Analysis!PivotTable2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Trend (Completed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rgbClr val="FF6F00"/>
            </a:solidFill>
            <a:ln w="9525">
              <a:solidFill>
                <a:schemeClr val="accent1"/>
              </a:solidFill>
            </a:ln>
            <a:effectLst/>
          </c:spPr>
        </c:marker>
        <c:dLbl>
          <c:idx val="0"/>
          <c:spPr>
            <a:noFill/>
            <a:ln>
              <a:noFill/>
            </a:ln>
            <a:effectLst>
              <a:outerShdw sx="1000" sy="1000" algn="ctr" rotWithShape="0">
                <a:srgbClr val="000000"/>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FF6F00"/>
            </a:solidFill>
            <a:ln w="9525">
              <a:solidFill>
                <a:schemeClr val="accent1"/>
              </a:solidFill>
            </a:ln>
            <a:effectLst/>
          </c:spPr>
        </c:marker>
        <c:dLbl>
          <c:idx val="0"/>
          <c:spPr>
            <a:noFill/>
            <a:ln>
              <a:noFill/>
            </a:ln>
            <a:effectLst>
              <a:outerShdw sx="1000" sy="1000" algn="ctr" rotWithShape="0">
                <a:srgbClr val="000000"/>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FF6F00"/>
            </a:solidFill>
            <a:ln w="9525">
              <a:solidFill>
                <a:schemeClr val="accent1"/>
              </a:solidFill>
            </a:ln>
            <a:effectLst/>
          </c:spPr>
        </c:marker>
        <c:dLbl>
          <c:idx val="0"/>
          <c:spPr>
            <a:noFill/>
            <a:ln>
              <a:noFill/>
            </a:ln>
            <a:effectLst>
              <a:outerShdw sx="1000" sy="1000" algn="ctr" rotWithShape="0">
                <a:srgbClr val="000000"/>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65743127858312E-2"/>
          <c:y val="0.13305997362346525"/>
          <c:w val="0.95235365118711712"/>
          <c:h val="0.69668925820549388"/>
        </c:manualLayout>
      </c:layout>
      <c:lineChart>
        <c:grouping val="standard"/>
        <c:varyColors val="0"/>
        <c:ser>
          <c:idx val="0"/>
          <c:order val="0"/>
          <c:tx>
            <c:strRef>
              <c:f>Analysis!$B$22</c:f>
              <c:strCache>
                <c:ptCount val="1"/>
                <c:pt idx="0">
                  <c:v>Total</c:v>
                </c:pt>
              </c:strCache>
            </c:strRef>
          </c:tx>
          <c:spPr>
            <a:ln w="28575" cap="rnd">
              <a:solidFill>
                <a:schemeClr val="accent1"/>
              </a:solidFill>
              <a:round/>
            </a:ln>
            <a:effectLst/>
          </c:spPr>
          <c:marker>
            <c:symbol val="circle"/>
            <c:size val="5"/>
            <c:spPr>
              <a:solidFill>
                <a:srgbClr val="FF6F00"/>
              </a:solidFill>
              <a:ln w="9525">
                <a:solidFill>
                  <a:schemeClr val="accent1"/>
                </a:solidFill>
              </a:ln>
              <a:effectLst/>
            </c:spPr>
          </c:marker>
          <c:dLbls>
            <c:spPr>
              <a:noFill/>
              <a:ln>
                <a:noFill/>
              </a:ln>
              <a:effectLst>
                <a:outerShdw sx="1000" sy="1000" algn="ctr" rotWithShape="0">
                  <a:srgbClr val="000000"/>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Analysis!$B$23:$B$35</c:f>
              <c:numCache>
                <c:formatCode>General</c:formatCode>
                <c:ptCount val="12"/>
                <c:pt idx="0">
                  <c:v>3031025.4499999997</c:v>
                </c:pt>
                <c:pt idx="1">
                  <c:v>2578909.5</c:v>
                </c:pt>
                <c:pt idx="2">
                  <c:v>1625477.1500000001</c:v>
                </c:pt>
                <c:pt idx="3">
                  <c:v>1633442.9500000002</c:v>
                </c:pt>
                <c:pt idx="4">
                  <c:v>3761123.1500000004</c:v>
                </c:pt>
                <c:pt idx="5">
                  <c:v>2157559.4500000002</c:v>
                </c:pt>
                <c:pt idx="6">
                  <c:v>2529790.0000000005</c:v>
                </c:pt>
                <c:pt idx="7">
                  <c:v>2129247.85</c:v>
                </c:pt>
                <c:pt idx="8">
                  <c:v>2667367.4</c:v>
                </c:pt>
                <c:pt idx="9">
                  <c:v>3232039.8</c:v>
                </c:pt>
                <c:pt idx="10">
                  <c:v>992572.85</c:v>
                </c:pt>
                <c:pt idx="11">
                  <c:v>1758226.6</c:v>
                </c:pt>
              </c:numCache>
            </c:numRef>
          </c:val>
          <c:smooth val="0"/>
          <c:extLst>
            <c:ext xmlns:c16="http://schemas.microsoft.com/office/drawing/2014/chart" uri="{C3380CC4-5D6E-409C-BE32-E72D297353CC}">
              <c16:uniqueId val="{00000000-DAB5-4A83-967F-EB70D1522677}"/>
            </c:ext>
          </c:extLst>
        </c:ser>
        <c:dLbls>
          <c:dLblPos val="t"/>
          <c:showLegendKey val="0"/>
          <c:showVal val="1"/>
          <c:showCatName val="0"/>
          <c:showSerName val="0"/>
          <c:showPercent val="0"/>
          <c:showBubbleSize val="0"/>
        </c:dLbls>
        <c:marker val="1"/>
        <c:smooth val="0"/>
        <c:axId val="1405563760"/>
        <c:axId val="1405547440"/>
      </c:lineChart>
      <c:catAx>
        <c:axId val="140556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outerShdw sx="1000" sy="1000" algn="ctr" rotWithShape="0">
              <a:srgbClr val="000000"/>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547440"/>
        <c:crosses val="autoZero"/>
        <c:auto val="1"/>
        <c:lblAlgn val="ctr"/>
        <c:lblOffset val="100"/>
        <c:noMultiLvlLbl val="0"/>
      </c:catAx>
      <c:valAx>
        <c:axId val="1405547440"/>
        <c:scaling>
          <c:orientation val="minMax"/>
        </c:scaling>
        <c:delete val="1"/>
        <c:axPos val="l"/>
        <c:numFmt formatCode="General" sourceLinked="1"/>
        <c:majorTickMark val="out"/>
        <c:minorTickMark val="none"/>
        <c:tickLblPos val="nextTo"/>
        <c:crossAx val="140556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[TechMart_Sales_Analytics.xlsx]Analysis!PivotTable4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Products by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39]#,##0;[Red][$₹-43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39]#,##0;[Red][$₹-43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39]#,##0;[Red][$₹-43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439]#,##0;[Red][$₹-43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39]#,##0;[Red][$₹-43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439]#,##0;[Red][$₹-43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Analysis!$C$42</c:f>
              <c:strCache>
                <c:ptCount val="1"/>
                <c:pt idx="0">
                  <c:v>Total Revenue</c:v>
                </c:pt>
              </c:strCache>
            </c:strRef>
          </c:tx>
          <c:spPr>
            <a:solidFill>
              <a:schemeClr val="accent1"/>
            </a:solidFill>
            <a:ln>
              <a:noFill/>
            </a:ln>
            <a:effectLst/>
          </c:spPr>
          <c:invertIfNegative val="0"/>
          <c:dLbls>
            <c:numFmt formatCode="[$₹-439]#,##0;[Red][$₹-43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Analysis!$B$43:$B$54</c:f>
              <c:multiLvlStrCache>
                <c:ptCount val="10"/>
                <c:lvl>
                  <c:pt idx="0">
                    <c:v>P0002</c:v>
                  </c:pt>
                  <c:pt idx="1">
                    <c:v>P0003</c:v>
                  </c:pt>
                  <c:pt idx="2">
                    <c:v>P0001</c:v>
                  </c:pt>
                  <c:pt idx="3">
                    <c:v>P0015</c:v>
                  </c:pt>
                  <c:pt idx="4">
                    <c:v>P0018</c:v>
                  </c:pt>
                  <c:pt idx="5">
                    <c:v>P0006</c:v>
                  </c:pt>
                  <c:pt idx="6">
                    <c:v>P0009</c:v>
                  </c:pt>
                  <c:pt idx="7">
                    <c:v>P0017</c:v>
                  </c:pt>
                  <c:pt idx="8">
                    <c:v>P0007</c:v>
                  </c:pt>
                  <c:pt idx="9">
                    <c:v>P0005</c:v>
                  </c:pt>
                </c:lvl>
                <c:lvl>
                  <c:pt idx="0">
                    <c:v>Completed</c:v>
                  </c:pt>
                </c:lvl>
              </c:multiLvlStrCache>
            </c:multiLvlStrRef>
          </c:cat>
          <c:val>
            <c:numRef>
              <c:f>Analysis!$C$43:$C$54</c:f>
              <c:numCache>
                <c:formatCode>General</c:formatCode>
                <c:ptCount val="10"/>
                <c:pt idx="0">
                  <c:v>3909444.15</c:v>
                </c:pt>
                <c:pt idx="1">
                  <c:v>3648075</c:v>
                </c:pt>
                <c:pt idx="2">
                  <c:v>3291958.85</c:v>
                </c:pt>
                <c:pt idx="3">
                  <c:v>2544710.8500000006</c:v>
                </c:pt>
                <c:pt idx="4">
                  <c:v>2087212.0499999998</c:v>
                </c:pt>
                <c:pt idx="5">
                  <c:v>1341565.6000000001</c:v>
                </c:pt>
                <c:pt idx="6">
                  <c:v>1341015</c:v>
                </c:pt>
                <c:pt idx="7">
                  <c:v>1245920</c:v>
                </c:pt>
                <c:pt idx="8">
                  <c:v>1155172</c:v>
                </c:pt>
                <c:pt idx="9">
                  <c:v>889822</c:v>
                </c:pt>
              </c:numCache>
            </c:numRef>
          </c:val>
          <c:extLst>
            <c:ext xmlns:c16="http://schemas.microsoft.com/office/drawing/2014/chart" uri="{C3380CC4-5D6E-409C-BE32-E72D297353CC}">
              <c16:uniqueId val="{00000000-07B1-4346-9F30-CDE3961B93B2}"/>
            </c:ext>
          </c:extLst>
        </c:ser>
        <c:ser>
          <c:idx val="1"/>
          <c:order val="1"/>
          <c:tx>
            <c:strRef>
              <c:f>Analysis!$D$42</c:f>
              <c:strCache>
                <c:ptCount val="1"/>
                <c:pt idx="0">
                  <c:v>Total Profit</c:v>
                </c:pt>
              </c:strCache>
            </c:strRef>
          </c:tx>
          <c:spPr>
            <a:solidFill>
              <a:schemeClr val="accent2"/>
            </a:solidFill>
            <a:ln>
              <a:noFill/>
            </a:ln>
            <a:effectLst/>
          </c:spPr>
          <c:invertIfNegative val="0"/>
          <c:dLbls>
            <c:numFmt formatCode="[$₹-439]#,##0;[Red][$₹-43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Analysis!$B$43:$B$54</c:f>
              <c:multiLvlStrCache>
                <c:ptCount val="10"/>
                <c:lvl>
                  <c:pt idx="0">
                    <c:v>P0002</c:v>
                  </c:pt>
                  <c:pt idx="1">
                    <c:v>P0003</c:v>
                  </c:pt>
                  <c:pt idx="2">
                    <c:v>P0001</c:v>
                  </c:pt>
                  <c:pt idx="3">
                    <c:v>P0015</c:v>
                  </c:pt>
                  <c:pt idx="4">
                    <c:v>P0018</c:v>
                  </c:pt>
                  <c:pt idx="5">
                    <c:v>P0006</c:v>
                  </c:pt>
                  <c:pt idx="6">
                    <c:v>P0009</c:v>
                  </c:pt>
                  <c:pt idx="7">
                    <c:v>P0017</c:v>
                  </c:pt>
                  <c:pt idx="8">
                    <c:v>P0007</c:v>
                  </c:pt>
                  <c:pt idx="9">
                    <c:v>P0005</c:v>
                  </c:pt>
                </c:lvl>
                <c:lvl>
                  <c:pt idx="0">
                    <c:v>Completed</c:v>
                  </c:pt>
                </c:lvl>
              </c:multiLvlStrCache>
            </c:multiLvlStrRef>
          </c:cat>
          <c:val>
            <c:numRef>
              <c:f>Analysis!$D$43:$D$54</c:f>
              <c:numCache>
                <c:formatCode>General</c:formatCode>
                <c:ptCount val="10"/>
                <c:pt idx="0">
                  <c:v>1077444.1499999999</c:v>
                </c:pt>
                <c:pt idx="1">
                  <c:v>758075</c:v>
                </c:pt>
                <c:pt idx="2">
                  <c:v>871958.85</c:v>
                </c:pt>
                <c:pt idx="3">
                  <c:v>699710.84999999986</c:v>
                </c:pt>
                <c:pt idx="4">
                  <c:v>529212.05000000005</c:v>
                </c:pt>
                <c:pt idx="5">
                  <c:v>342565.6</c:v>
                </c:pt>
                <c:pt idx="6">
                  <c:v>381015</c:v>
                </c:pt>
                <c:pt idx="7">
                  <c:v>321920</c:v>
                </c:pt>
                <c:pt idx="8">
                  <c:v>309172</c:v>
                </c:pt>
                <c:pt idx="9">
                  <c:v>224822</c:v>
                </c:pt>
              </c:numCache>
            </c:numRef>
          </c:val>
          <c:extLst>
            <c:ext xmlns:c16="http://schemas.microsoft.com/office/drawing/2014/chart" uri="{C3380CC4-5D6E-409C-BE32-E72D297353CC}">
              <c16:uniqueId val="{00000001-07B1-4346-9F30-CDE3961B93B2}"/>
            </c:ext>
          </c:extLst>
        </c:ser>
        <c:dLbls>
          <c:dLblPos val="outEnd"/>
          <c:showLegendKey val="0"/>
          <c:showVal val="1"/>
          <c:showCatName val="0"/>
          <c:showSerName val="0"/>
          <c:showPercent val="0"/>
          <c:showBubbleSize val="0"/>
        </c:dLbls>
        <c:gapWidth val="182"/>
        <c:axId val="1275722240"/>
        <c:axId val="1275719360"/>
      </c:barChart>
      <c:catAx>
        <c:axId val="127572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19360"/>
        <c:crosses val="autoZero"/>
        <c:auto val="1"/>
        <c:lblAlgn val="ctr"/>
        <c:lblOffset val="100"/>
        <c:noMultiLvlLbl val="0"/>
      </c:catAx>
      <c:valAx>
        <c:axId val="127571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2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[TechMart_Sales_Analytics.xlsx]Analysis!PivotTable5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Share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pieChart>
        <c:varyColors val="1"/>
        <c:ser>
          <c:idx val="0"/>
          <c:order val="0"/>
          <c:tx>
            <c:strRef>
              <c:f>Analysis!$B$72</c:f>
              <c:strCache>
                <c:ptCount val="1"/>
                <c:pt idx="0">
                  <c:v>Average Order 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F9-4A50-9993-8B412824AC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F9-4A50-9993-8B412824AC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F9-4A50-9993-8B412824AC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F9-4A50-9993-8B412824AC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F9-4A50-9993-8B412824AC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Analysis!$A$73:$A$78</c:f>
              <c:strCache>
                <c:ptCount val="5"/>
                <c:pt idx="0">
                  <c:v>Social Media</c:v>
                </c:pt>
                <c:pt idx="1">
                  <c:v>Retail Store</c:v>
                </c:pt>
                <c:pt idx="2">
                  <c:v>Mobile App</c:v>
                </c:pt>
                <c:pt idx="3">
                  <c:v>Affiliate</c:v>
                </c:pt>
                <c:pt idx="4">
                  <c:v>Website</c:v>
                </c:pt>
              </c:strCache>
            </c:strRef>
          </c:cat>
          <c:val>
            <c:numRef>
              <c:f>Analysis!$B$73:$B$78</c:f>
              <c:numCache>
                <c:formatCode>General</c:formatCode>
                <c:ptCount val="5"/>
                <c:pt idx="0">
                  <c:v>96972.338613861386</c:v>
                </c:pt>
                <c:pt idx="1">
                  <c:v>86764.457065217386</c:v>
                </c:pt>
                <c:pt idx="2">
                  <c:v>85063.856250000012</c:v>
                </c:pt>
                <c:pt idx="3">
                  <c:v>77582.824137931064</c:v>
                </c:pt>
                <c:pt idx="4">
                  <c:v>77489.073300970878</c:v>
                </c:pt>
              </c:numCache>
            </c:numRef>
          </c:val>
          <c:extLst>
            <c:ext xmlns:c16="http://schemas.microsoft.com/office/drawing/2014/chart" uri="{C3380CC4-5D6E-409C-BE32-E72D297353CC}">
              <c16:uniqueId val="{0000000A-63F9-4A50-9993-8B412824AC14}"/>
            </c:ext>
          </c:extLst>
        </c:ser>
        <c:ser>
          <c:idx val="1"/>
          <c:order val="1"/>
          <c:tx>
            <c:strRef>
              <c:f>Analysis!$C$72</c:f>
              <c:strCache>
                <c:ptCount val="1"/>
                <c:pt idx="0">
                  <c:v>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63F9-4A50-9993-8B412824AC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63F9-4A50-9993-8B412824AC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63F9-4A50-9993-8B412824AC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63F9-4A50-9993-8B412824AC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63F9-4A50-9993-8B412824AC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Analysis!$A$73:$A$78</c:f>
              <c:strCache>
                <c:ptCount val="5"/>
                <c:pt idx="0">
                  <c:v>Social Media</c:v>
                </c:pt>
                <c:pt idx="1">
                  <c:v>Retail Store</c:v>
                </c:pt>
                <c:pt idx="2">
                  <c:v>Mobile App</c:v>
                </c:pt>
                <c:pt idx="3">
                  <c:v>Affiliate</c:v>
                </c:pt>
                <c:pt idx="4">
                  <c:v>Website</c:v>
                </c:pt>
              </c:strCache>
            </c:strRef>
          </c:cat>
          <c:val>
            <c:numRef>
              <c:f>Analysis!$C$73:$C$78</c:f>
              <c:numCache>
                <c:formatCode>General</c:formatCode>
                <c:ptCount val="5"/>
                <c:pt idx="0">
                  <c:v>101</c:v>
                </c:pt>
                <c:pt idx="1">
                  <c:v>92</c:v>
                </c:pt>
                <c:pt idx="2">
                  <c:v>88</c:v>
                </c:pt>
                <c:pt idx="3">
                  <c:v>116</c:v>
                </c:pt>
                <c:pt idx="4">
                  <c:v>103</c:v>
                </c:pt>
              </c:numCache>
            </c:numRef>
          </c:val>
          <c:extLst>
            <c:ext xmlns:c16="http://schemas.microsoft.com/office/drawing/2014/chart" uri="{C3380CC4-5D6E-409C-BE32-E72D297353CC}">
              <c16:uniqueId val="{00000015-63F9-4A50-9993-8B412824AC14}"/>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3.0488806781220588E-2"/>
          <c:y val="0.83157905167971569"/>
          <c:w val="0.94907868412519236"/>
          <c:h val="0.157477332928907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[TechMart_Sales_Analytics.xlsx]Analysis!PivotTable6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Rep Performance Leaderboard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Analysis!$B$82</c:f>
              <c:strCache>
                <c:ptCount val="1"/>
                <c:pt idx="0">
                  <c:v>Total Deal Value</c:v>
                </c:pt>
              </c:strCache>
            </c:strRef>
          </c:tx>
          <c:spPr>
            <a:solidFill>
              <a:schemeClr val="accent1"/>
            </a:solidFill>
            <a:ln>
              <a:noFill/>
            </a:ln>
            <a:effectLst/>
          </c:spPr>
          <c:invertIfNegative val="0"/>
          <c:cat>
            <c:strRef>
              <c:f>Analysis!$A$83:$A$130</c:f>
              <c:strCache>
                <c:ptCount val="47"/>
                <c:pt idx="0">
                  <c:v>Anita Banerjee</c:v>
                </c:pt>
                <c:pt idx="1">
                  <c:v>Arun Sharma</c:v>
                </c:pt>
                <c:pt idx="2">
                  <c:v>Anita Ghosh</c:v>
                </c:pt>
                <c:pt idx="3">
                  <c:v>Anita Joshi</c:v>
                </c:pt>
                <c:pt idx="4">
                  <c:v>Neha Patel</c:v>
                </c:pt>
                <c:pt idx="5">
                  <c:v>Gaurav Iyer</c:v>
                </c:pt>
                <c:pt idx="6">
                  <c:v>Sunita Sen</c:v>
                </c:pt>
                <c:pt idx="7">
                  <c:v>Karan Malhotra</c:v>
                </c:pt>
                <c:pt idx="8">
                  <c:v>Kavita Patel</c:v>
                </c:pt>
                <c:pt idx="9">
                  <c:v>Preeti Mehta</c:v>
                </c:pt>
                <c:pt idx="10">
                  <c:v>Manish Banerjee</c:v>
                </c:pt>
                <c:pt idx="11">
                  <c:v>Karan Gupta</c:v>
                </c:pt>
                <c:pt idx="12">
                  <c:v>Sanjay Reddy</c:v>
                </c:pt>
                <c:pt idx="13">
                  <c:v>Meena Agarwal</c:v>
                </c:pt>
                <c:pt idx="14">
                  <c:v>Arjun Rao</c:v>
                </c:pt>
                <c:pt idx="15">
                  <c:v>Sneha Tiwari</c:v>
                </c:pt>
                <c:pt idx="16">
                  <c:v>Deepak Roy</c:v>
                </c:pt>
                <c:pt idx="17">
                  <c:v>Pooja Kumar</c:v>
                </c:pt>
                <c:pt idx="18">
                  <c:v>Karan Agarwal</c:v>
                </c:pt>
                <c:pt idx="19">
                  <c:v>Manish Kumar</c:v>
                </c:pt>
                <c:pt idx="20">
                  <c:v>Harish Bose</c:v>
                </c:pt>
                <c:pt idx="21">
                  <c:v>Manish Pillai</c:v>
                </c:pt>
                <c:pt idx="22">
                  <c:v>Swati Chopra</c:v>
                </c:pt>
                <c:pt idx="23">
                  <c:v>Manoj Saxena</c:v>
                </c:pt>
                <c:pt idx="24">
                  <c:v>Sanjay Rastogi</c:v>
                </c:pt>
                <c:pt idx="25">
                  <c:v>Amit Nair</c:v>
                </c:pt>
                <c:pt idx="26">
                  <c:v>Anita Agarwal</c:v>
                </c:pt>
                <c:pt idx="27">
                  <c:v>Preeti Rao</c:v>
                </c:pt>
                <c:pt idx="28">
                  <c:v>Jyoti Sharma</c:v>
                </c:pt>
                <c:pt idx="29">
                  <c:v>Seema Chopra</c:v>
                </c:pt>
                <c:pt idx="30">
                  <c:v>Preeti Pandey</c:v>
                </c:pt>
                <c:pt idx="31">
                  <c:v>Usha Rao</c:v>
                </c:pt>
                <c:pt idx="32">
                  <c:v>Sunita Mehta</c:v>
                </c:pt>
                <c:pt idx="33">
                  <c:v>Manoj Rastogi</c:v>
                </c:pt>
                <c:pt idx="34">
                  <c:v>Amit Mehta</c:v>
                </c:pt>
                <c:pt idx="35">
                  <c:v>Suresh Joshi</c:v>
                </c:pt>
                <c:pt idx="36">
                  <c:v>Manoj Lal</c:v>
                </c:pt>
                <c:pt idx="37">
                  <c:v>Kavita Mehta</c:v>
                </c:pt>
                <c:pt idx="38">
                  <c:v>Deepak Iyer</c:v>
                </c:pt>
                <c:pt idx="39">
                  <c:v>Jyoti Dubey</c:v>
                </c:pt>
                <c:pt idx="40">
                  <c:v>Rohit Kumar</c:v>
                </c:pt>
                <c:pt idx="41">
                  <c:v>Meena Singh</c:v>
                </c:pt>
                <c:pt idx="42">
                  <c:v>Vikram Chopra</c:v>
                </c:pt>
                <c:pt idx="43">
                  <c:v>Kavita Kumar</c:v>
                </c:pt>
                <c:pt idx="44">
                  <c:v>Jyoti Chopra</c:v>
                </c:pt>
                <c:pt idx="45">
                  <c:v>Suresh Verma</c:v>
                </c:pt>
                <c:pt idx="46">
                  <c:v>Preeti Chopra</c:v>
                </c:pt>
              </c:strCache>
            </c:strRef>
          </c:cat>
          <c:val>
            <c:numRef>
              <c:f>Analysis!$B$83:$B$130</c:f>
              <c:numCache>
                <c:formatCode>General</c:formatCode>
                <c:ptCount val="47"/>
                <c:pt idx="0">
                  <c:v>3422200</c:v>
                </c:pt>
                <c:pt idx="1">
                  <c:v>2536300</c:v>
                </c:pt>
                <c:pt idx="2">
                  <c:v>2176800</c:v>
                </c:pt>
                <c:pt idx="3">
                  <c:v>1851500</c:v>
                </c:pt>
                <c:pt idx="4">
                  <c:v>1679000</c:v>
                </c:pt>
                <c:pt idx="5">
                  <c:v>1660800</c:v>
                </c:pt>
                <c:pt idx="6">
                  <c:v>1620300</c:v>
                </c:pt>
                <c:pt idx="7">
                  <c:v>1552300</c:v>
                </c:pt>
                <c:pt idx="8">
                  <c:v>1523400</c:v>
                </c:pt>
                <c:pt idx="9">
                  <c:v>1521800</c:v>
                </c:pt>
                <c:pt idx="10">
                  <c:v>1508400</c:v>
                </c:pt>
                <c:pt idx="11">
                  <c:v>1461500</c:v>
                </c:pt>
                <c:pt idx="12">
                  <c:v>1410800</c:v>
                </c:pt>
                <c:pt idx="13">
                  <c:v>1408300</c:v>
                </c:pt>
                <c:pt idx="14">
                  <c:v>1406100</c:v>
                </c:pt>
                <c:pt idx="15">
                  <c:v>1392700</c:v>
                </c:pt>
                <c:pt idx="16">
                  <c:v>1372400</c:v>
                </c:pt>
                <c:pt idx="17">
                  <c:v>1366800</c:v>
                </c:pt>
                <c:pt idx="18">
                  <c:v>1361200</c:v>
                </c:pt>
                <c:pt idx="19">
                  <c:v>1356800</c:v>
                </c:pt>
                <c:pt idx="20">
                  <c:v>1350400</c:v>
                </c:pt>
                <c:pt idx="21">
                  <c:v>1349000</c:v>
                </c:pt>
                <c:pt idx="22">
                  <c:v>1324300</c:v>
                </c:pt>
                <c:pt idx="23">
                  <c:v>1322900</c:v>
                </c:pt>
                <c:pt idx="24">
                  <c:v>1300100</c:v>
                </c:pt>
                <c:pt idx="25">
                  <c:v>1293100</c:v>
                </c:pt>
                <c:pt idx="26">
                  <c:v>1272700</c:v>
                </c:pt>
                <c:pt idx="27">
                  <c:v>1269500</c:v>
                </c:pt>
                <c:pt idx="28">
                  <c:v>1247500</c:v>
                </c:pt>
                <c:pt idx="29">
                  <c:v>1233400</c:v>
                </c:pt>
                <c:pt idx="30">
                  <c:v>1212900</c:v>
                </c:pt>
                <c:pt idx="31">
                  <c:v>1210700</c:v>
                </c:pt>
                <c:pt idx="32">
                  <c:v>1200300</c:v>
                </c:pt>
                <c:pt idx="33">
                  <c:v>1167900</c:v>
                </c:pt>
                <c:pt idx="34">
                  <c:v>1119000</c:v>
                </c:pt>
                <c:pt idx="35">
                  <c:v>1110700</c:v>
                </c:pt>
                <c:pt idx="36">
                  <c:v>1078800</c:v>
                </c:pt>
                <c:pt idx="37">
                  <c:v>1063000</c:v>
                </c:pt>
                <c:pt idx="38">
                  <c:v>1059700</c:v>
                </c:pt>
                <c:pt idx="39">
                  <c:v>1053200</c:v>
                </c:pt>
                <c:pt idx="40">
                  <c:v>1045200</c:v>
                </c:pt>
                <c:pt idx="41">
                  <c:v>1038400</c:v>
                </c:pt>
                <c:pt idx="42">
                  <c:v>1003200</c:v>
                </c:pt>
                <c:pt idx="43">
                  <c:v>926200</c:v>
                </c:pt>
                <c:pt idx="44">
                  <c:v>925500</c:v>
                </c:pt>
                <c:pt idx="45">
                  <c:v>911100</c:v>
                </c:pt>
                <c:pt idx="46">
                  <c:v>864900</c:v>
                </c:pt>
              </c:numCache>
            </c:numRef>
          </c:val>
          <c:extLst>
            <c:ext xmlns:c16="http://schemas.microsoft.com/office/drawing/2014/chart" uri="{C3380CC4-5D6E-409C-BE32-E72D297353CC}">
              <c16:uniqueId val="{00000000-0A6C-44BD-859B-E20B7C073454}"/>
            </c:ext>
          </c:extLst>
        </c:ser>
        <c:ser>
          <c:idx val="1"/>
          <c:order val="1"/>
          <c:tx>
            <c:strRef>
              <c:f>Analysis!$C$82</c:f>
              <c:strCache>
                <c:ptCount val="1"/>
                <c:pt idx="0">
                  <c:v>Deals Won</c:v>
                </c:pt>
              </c:strCache>
            </c:strRef>
          </c:tx>
          <c:spPr>
            <a:solidFill>
              <a:schemeClr val="accent3"/>
            </a:solidFill>
            <a:ln>
              <a:noFill/>
            </a:ln>
            <a:effectLst/>
          </c:spPr>
          <c:invertIfNegative val="0"/>
          <c:cat>
            <c:strRef>
              <c:f>Analysis!$A$83:$A$130</c:f>
              <c:strCache>
                <c:ptCount val="47"/>
                <c:pt idx="0">
                  <c:v>Anita Banerjee</c:v>
                </c:pt>
                <c:pt idx="1">
                  <c:v>Arun Sharma</c:v>
                </c:pt>
                <c:pt idx="2">
                  <c:v>Anita Ghosh</c:v>
                </c:pt>
                <c:pt idx="3">
                  <c:v>Anita Joshi</c:v>
                </c:pt>
                <c:pt idx="4">
                  <c:v>Neha Patel</c:v>
                </c:pt>
                <c:pt idx="5">
                  <c:v>Gaurav Iyer</c:v>
                </c:pt>
                <c:pt idx="6">
                  <c:v>Sunita Sen</c:v>
                </c:pt>
                <c:pt idx="7">
                  <c:v>Karan Malhotra</c:v>
                </c:pt>
                <c:pt idx="8">
                  <c:v>Kavita Patel</c:v>
                </c:pt>
                <c:pt idx="9">
                  <c:v>Preeti Mehta</c:v>
                </c:pt>
                <c:pt idx="10">
                  <c:v>Manish Banerjee</c:v>
                </c:pt>
                <c:pt idx="11">
                  <c:v>Karan Gupta</c:v>
                </c:pt>
                <c:pt idx="12">
                  <c:v>Sanjay Reddy</c:v>
                </c:pt>
                <c:pt idx="13">
                  <c:v>Meena Agarwal</c:v>
                </c:pt>
                <c:pt idx="14">
                  <c:v>Arjun Rao</c:v>
                </c:pt>
                <c:pt idx="15">
                  <c:v>Sneha Tiwari</c:v>
                </c:pt>
                <c:pt idx="16">
                  <c:v>Deepak Roy</c:v>
                </c:pt>
                <c:pt idx="17">
                  <c:v>Pooja Kumar</c:v>
                </c:pt>
                <c:pt idx="18">
                  <c:v>Karan Agarwal</c:v>
                </c:pt>
                <c:pt idx="19">
                  <c:v>Manish Kumar</c:v>
                </c:pt>
                <c:pt idx="20">
                  <c:v>Harish Bose</c:v>
                </c:pt>
                <c:pt idx="21">
                  <c:v>Manish Pillai</c:v>
                </c:pt>
                <c:pt idx="22">
                  <c:v>Swati Chopra</c:v>
                </c:pt>
                <c:pt idx="23">
                  <c:v>Manoj Saxena</c:v>
                </c:pt>
                <c:pt idx="24">
                  <c:v>Sanjay Rastogi</c:v>
                </c:pt>
                <c:pt idx="25">
                  <c:v>Amit Nair</c:v>
                </c:pt>
                <c:pt idx="26">
                  <c:v>Anita Agarwal</c:v>
                </c:pt>
                <c:pt idx="27">
                  <c:v>Preeti Rao</c:v>
                </c:pt>
                <c:pt idx="28">
                  <c:v>Jyoti Sharma</c:v>
                </c:pt>
                <c:pt idx="29">
                  <c:v>Seema Chopra</c:v>
                </c:pt>
                <c:pt idx="30">
                  <c:v>Preeti Pandey</c:v>
                </c:pt>
                <c:pt idx="31">
                  <c:v>Usha Rao</c:v>
                </c:pt>
                <c:pt idx="32">
                  <c:v>Sunita Mehta</c:v>
                </c:pt>
                <c:pt idx="33">
                  <c:v>Manoj Rastogi</c:v>
                </c:pt>
                <c:pt idx="34">
                  <c:v>Amit Mehta</c:v>
                </c:pt>
                <c:pt idx="35">
                  <c:v>Suresh Joshi</c:v>
                </c:pt>
                <c:pt idx="36">
                  <c:v>Manoj Lal</c:v>
                </c:pt>
                <c:pt idx="37">
                  <c:v>Kavita Mehta</c:v>
                </c:pt>
                <c:pt idx="38">
                  <c:v>Deepak Iyer</c:v>
                </c:pt>
                <c:pt idx="39">
                  <c:v>Jyoti Dubey</c:v>
                </c:pt>
                <c:pt idx="40">
                  <c:v>Rohit Kumar</c:v>
                </c:pt>
                <c:pt idx="41">
                  <c:v>Meena Singh</c:v>
                </c:pt>
                <c:pt idx="42">
                  <c:v>Vikram Chopra</c:v>
                </c:pt>
                <c:pt idx="43">
                  <c:v>Kavita Kumar</c:v>
                </c:pt>
                <c:pt idx="44">
                  <c:v>Jyoti Chopra</c:v>
                </c:pt>
                <c:pt idx="45">
                  <c:v>Suresh Verma</c:v>
                </c:pt>
                <c:pt idx="46">
                  <c:v>Preeti Chopra</c:v>
                </c:pt>
              </c:strCache>
            </c:strRef>
          </c:cat>
          <c:val>
            <c:numRef>
              <c:f>Analysis!$C$83:$C$130</c:f>
              <c:numCache>
                <c:formatCode>General</c:formatCode>
                <c:ptCount val="47"/>
                <c:pt idx="0">
                  <c:v>10</c:v>
                </c:pt>
                <c:pt idx="1">
                  <c:v>9</c:v>
                </c:pt>
                <c:pt idx="2">
                  <c:v>12</c:v>
                </c:pt>
                <c:pt idx="3">
                  <c:v>3</c:v>
                </c:pt>
                <c:pt idx="4">
                  <c:v>6</c:v>
                </c:pt>
                <c:pt idx="5">
                  <c:v>6</c:v>
                </c:pt>
                <c:pt idx="6">
                  <c:v>5</c:v>
                </c:pt>
                <c:pt idx="7">
                  <c:v>4</c:v>
                </c:pt>
                <c:pt idx="8">
                  <c:v>4</c:v>
                </c:pt>
                <c:pt idx="9">
                  <c:v>7</c:v>
                </c:pt>
                <c:pt idx="10">
                  <c:v>4</c:v>
                </c:pt>
                <c:pt idx="11">
                  <c:v>2</c:v>
                </c:pt>
                <c:pt idx="12">
                  <c:v>4</c:v>
                </c:pt>
                <c:pt idx="13">
                  <c:v>4</c:v>
                </c:pt>
                <c:pt idx="14">
                  <c:v>3</c:v>
                </c:pt>
                <c:pt idx="15">
                  <c:v>2</c:v>
                </c:pt>
                <c:pt idx="16">
                  <c:v>5</c:v>
                </c:pt>
                <c:pt idx="17">
                  <c:v>5</c:v>
                </c:pt>
                <c:pt idx="18">
                  <c:v>4</c:v>
                </c:pt>
                <c:pt idx="19">
                  <c:v>7</c:v>
                </c:pt>
                <c:pt idx="20">
                  <c:v>3</c:v>
                </c:pt>
                <c:pt idx="21">
                  <c:v>7</c:v>
                </c:pt>
                <c:pt idx="22">
                  <c:v>4</c:v>
                </c:pt>
                <c:pt idx="23">
                  <c:v>5</c:v>
                </c:pt>
                <c:pt idx="24">
                  <c:v>3</c:v>
                </c:pt>
                <c:pt idx="25">
                  <c:v>5</c:v>
                </c:pt>
                <c:pt idx="26">
                  <c:v>5</c:v>
                </c:pt>
                <c:pt idx="27">
                  <c:v>3</c:v>
                </c:pt>
                <c:pt idx="28">
                  <c:v>5</c:v>
                </c:pt>
                <c:pt idx="29">
                  <c:v>6</c:v>
                </c:pt>
                <c:pt idx="30">
                  <c:v>4</c:v>
                </c:pt>
                <c:pt idx="31">
                  <c:v>3</c:v>
                </c:pt>
                <c:pt idx="32">
                  <c:v>7</c:v>
                </c:pt>
                <c:pt idx="33">
                  <c:v>4</c:v>
                </c:pt>
                <c:pt idx="34">
                  <c:v>5</c:v>
                </c:pt>
                <c:pt idx="35">
                  <c:v>1</c:v>
                </c:pt>
                <c:pt idx="36">
                  <c:v>5</c:v>
                </c:pt>
                <c:pt idx="37">
                  <c:v>3</c:v>
                </c:pt>
                <c:pt idx="38">
                  <c:v>3</c:v>
                </c:pt>
                <c:pt idx="39">
                  <c:v>5</c:v>
                </c:pt>
                <c:pt idx="40">
                  <c:v>5</c:v>
                </c:pt>
                <c:pt idx="41">
                  <c:v>7</c:v>
                </c:pt>
                <c:pt idx="42">
                  <c:v>5</c:v>
                </c:pt>
                <c:pt idx="43">
                  <c:v>6</c:v>
                </c:pt>
                <c:pt idx="44">
                  <c:v>4</c:v>
                </c:pt>
                <c:pt idx="45">
                  <c:v>5</c:v>
                </c:pt>
                <c:pt idx="46">
                  <c:v>5</c:v>
                </c:pt>
              </c:numCache>
            </c:numRef>
          </c:val>
          <c:extLst>
            <c:ext xmlns:c16="http://schemas.microsoft.com/office/drawing/2014/chart" uri="{C3380CC4-5D6E-409C-BE32-E72D297353CC}">
              <c16:uniqueId val="{00000001-0A6C-44BD-859B-E20B7C073454}"/>
            </c:ext>
          </c:extLst>
        </c:ser>
        <c:ser>
          <c:idx val="2"/>
          <c:order val="2"/>
          <c:tx>
            <c:strRef>
              <c:f>Analysis!$D$82</c:f>
              <c:strCache>
                <c:ptCount val="1"/>
                <c:pt idx="0">
                  <c:v>Commission Earned</c:v>
                </c:pt>
              </c:strCache>
            </c:strRef>
          </c:tx>
          <c:spPr>
            <a:solidFill>
              <a:schemeClr val="accent5"/>
            </a:solidFill>
            <a:ln>
              <a:noFill/>
            </a:ln>
            <a:effectLst/>
          </c:spPr>
          <c:invertIfNegative val="0"/>
          <c:cat>
            <c:strRef>
              <c:f>Analysis!$A$83:$A$130</c:f>
              <c:strCache>
                <c:ptCount val="47"/>
                <c:pt idx="0">
                  <c:v>Anita Banerjee</c:v>
                </c:pt>
                <c:pt idx="1">
                  <c:v>Arun Sharma</c:v>
                </c:pt>
                <c:pt idx="2">
                  <c:v>Anita Ghosh</c:v>
                </c:pt>
                <c:pt idx="3">
                  <c:v>Anita Joshi</c:v>
                </c:pt>
                <c:pt idx="4">
                  <c:v>Neha Patel</c:v>
                </c:pt>
                <c:pt idx="5">
                  <c:v>Gaurav Iyer</c:v>
                </c:pt>
                <c:pt idx="6">
                  <c:v>Sunita Sen</c:v>
                </c:pt>
                <c:pt idx="7">
                  <c:v>Karan Malhotra</c:v>
                </c:pt>
                <c:pt idx="8">
                  <c:v>Kavita Patel</c:v>
                </c:pt>
                <c:pt idx="9">
                  <c:v>Preeti Mehta</c:v>
                </c:pt>
                <c:pt idx="10">
                  <c:v>Manish Banerjee</c:v>
                </c:pt>
                <c:pt idx="11">
                  <c:v>Karan Gupta</c:v>
                </c:pt>
                <c:pt idx="12">
                  <c:v>Sanjay Reddy</c:v>
                </c:pt>
                <c:pt idx="13">
                  <c:v>Meena Agarwal</c:v>
                </c:pt>
                <c:pt idx="14">
                  <c:v>Arjun Rao</c:v>
                </c:pt>
                <c:pt idx="15">
                  <c:v>Sneha Tiwari</c:v>
                </c:pt>
                <c:pt idx="16">
                  <c:v>Deepak Roy</c:v>
                </c:pt>
                <c:pt idx="17">
                  <c:v>Pooja Kumar</c:v>
                </c:pt>
                <c:pt idx="18">
                  <c:v>Karan Agarwal</c:v>
                </c:pt>
                <c:pt idx="19">
                  <c:v>Manish Kumar</c:v>
                </c:pt>
                <c:pt idx="20">
                  <c:v>Harish Bose</c:v>
                </c:pt>
                <c:pt idx="21">
                  <c:v>Manish Pillai</c:v>
                </c:pt>
                <c:pt idx="22">
                  <c:v>Swati Chopra</c:v>
                </c:pt>
                <c:pt idx="23">
                  <c:v>Manoj Saxena</c:v>
                </c:pt>
                <c:pt idx="24">
                  <c:v>Sanjay Rastogi</c:v>
                </c:pt>
                <c:pt idx="25">
                  <c:v>Amit Nair</c:v>
                </c:pt>
                <c:pt idx="26">
                  <c:v>Anita Agarwal</c:v>
                </c:pt>
                <c:pt idx="27">
                  <c:v>Preeti Rao</c:v>
                </c:pt>
                <c:pt idx="28">
                  <c:v>Jyoti Sharma</c:v>
                </c:pt>
                <c:pt idx="29">
                  <c:v>Seema Chopra</c:v>
                </c:pt>
                <c:pt idx="30">
                  <c:v>Preeti Pandey</c:v>
                </c:pt>
                <c:pt idx="31">
                  <c:v>Usha Rao</c:v>
                </c:pt>
                <c:pt idx="32">
                  <c:v>Sunita Mehta</c:v>
                </c:pt>
                <c:pt idx="33">
                  <c:v>Manoj Rastogi</c:v>
                </c:pt>
                <c:pt idx="34">
                  <c:v>Amit Mehta</c:v>
                </c:pt>
                <c:pt idx="35">
                  <c:v>Suresh Joshi</c:v>
                </c:pt>
                <c:pt idx="36">
                  <c:v>Manoj Lal</c:v>
                </c:pt>
                <c:pt idx="37">
                  <c:v>Kavita Mehta</c:v>
                </c:pt>
                <c:pt idx="38">
                  <c:v>Deepak Iyer</c:v>
                </c:pt>
                <c:pt idx="39">
                  <c:v>Jyoti Dubey</c:v>
                </c:pt>
                <c:pt idx="40">
                  <c:v>Rohit Kumar</c:v>
                </c:pt>
                <c:pt idx="41">
                  <c:v>Meena Singh</c:v>
                </c:pt>
                <c:pt idx="42">
                  <c:v>Vikram Chopra</c:v>
                </c:pt>
                <c:pt idx="43">
                  <c:v>Kavita Kumar</c:v>
                </c:pt>
                <c:pt idx="44">
                  <c:v>Jyoti Chopra</c:v>
                </c:pt>
                <c:pt idx="45">
                  <c:v>Suresh Verma</c:v>
                </c:pt>
                <c:pt idx="46">
                  <c:v>Preeti Chopra</c:v>
                </c:pt>
              </c:strCache>
            </c:strRef>
          </c:cat>
          <c:val>
            <c:numRef>
              <c:f>Analysis!$D$83:$D$130</c:f>
              <c:numCache>
                <c:formatCode>General</c:formatCode>
                <c:ptCount val="47"/>
                <c:pt idx="0">
                  <c:v>131043.09999999999</c:v>
                </c:pt>
                <c:pt idx="1">
                  <c:v>101598.7</c:v>
                </c:pt>
                <c:pt idx="2">
                  <c:v>92553.8</c:v>
                </c:pt>
                <c:pt idx="3">
                  <c:v>45725.100000000006</c:v>
                </c:pt>
                <c:pt idx="4">
                  <c:v>63705.299999999996</c:v>
                </c:pt>
                <c:pt idx="5">
                  <c:v>71870.799999999988</c:v>
                </c:pt>
                <c:pt idx="6">
                  <c:v>80990.600000000006</c:v>
                </c:pt>
                <c:pt idx="7">
                  <c:v>43939.9</c:v>
                </c:pt>
                <c:pt idx="8">
                  <c:v>42101.8</c:v>
                </c:pt>
                <c:pt idx="9">
                  <c:v>74284.600000000006</c:v>
                </c:pt>
                <c:pt idx="10">
                  <c:v>37696.9</c:v>
                </c:pt>
                <c:pt idx="11">
                  <c:v>19163.3</c:v>
                </c:pt>
                <c:pt idx="12">
                  <c:v>56323.6</c:v>
                </c:pt>
                <c:pt idx="13">
                  <c:v>48264.800000000003</c:v>
                </c:pt>
                <c:pt idx="14">
                  <c:v>13084.599999999999</c:v>
                </c:pt>
                <c:pt idx="15">
                  <c:v>13058.8</c:v>
                </c:pt>
                <c:pt idx="16">
                  <c:v>58466.6</c:v>
                </c:pt>
                <c:pt idx="17">
                  <c:v>42829.5</c:v>
                </c:pt>
                <c:pt idx="18">
                  <c:v>58459.600000000006</c:v>
                </c:pt>
                <c:pt idx="19">
                  <c:v>47251.9</c:v>
                </c:pt>
                <c:pt idx="20">
                  <c:v>33194.300000000003</c:v>
                </c:pt>
                <c:pt idx="21">
                  <c:v>40850.299999999996</c:v>
                </c:pt>
                <c:pt idx="22">
                  <c:v>58206.2</c:v>
                </c:pt>
                <c:pt idx="23">
                  <c:v>29142.300000000003</c:v>
                </c:pt>
                <c:pt idx="24">
                  <c:v>21820.399999999998</c:v>
                </c:pt>
                <c:pt idx="25">
                  <c:v>55984.3</c:v>
                </c:pt>
                <c:pt idx="26">
                  <c:v>49923.9</c:v>
                </c:pt>
                <c:pt idx="27">
                  <c:v>17727.900000000001</c:v>
                </c:pt>
                <c:pt idx="28">
                  <c:v>34121.1</c:v>
                </c:pt>
                <c:pt idx="29">
                  <c:v>91767.4</c:v>
                </c:pt>
                <c:pt idx="30">
                  <c:v>47450.8</c:v>
                </c:pt>
                <c:pt idx="31">
                  <c:v>27506.400000000001</c:v>
                </c:pt>
                <c:pt idx="32">
                  <c:v>69172.899999999994</c:v>
                </c:pt>
                <c:pt idx="33">
                  <c:v>31584</c:v>
                </c:pt>
                <c:pt idx="34">
                  <c:v>37820.000000000007</c:v>
                </c:pt>
                <c:pt idx="35">
                  <c:v>3374.5</c:v>
                </c:pt>
                <c:pt idx="36">
                  <c:v>28679.8</c:v>
                </c:pt>
                <c:pt idx="37">
                  <c:v>9536.4</c:v>
                </c:pt>
                <c:pt idx="38">
                  <c:v>18702.399999999998</c:v>
                </c:pt>
                <c:pt idx="39">
                  <c:v>16594.399999999998</c:v>
                </c:pt>
                <c:pt idx="40">
                  <c:v>50756.800000000003</c:v>
                </c:pt>
                <c:pt idx="41">
                  <c:v>58503.899999999994</c:v>
                </c:pt>
                <c:pt idx="42">
                  <c:v>38404.299999999996</c:v>
                </c:pt>
                <c:pt idx="43">
                  <c:v>19844</c:v>
                </c:pt>
                <c:pt idx="44">
                  <c:v>20867.2</c:v>
                </c:pt>
                <c:pt idx="45">
                  <c:v>27726.799999999999</c:v>
                </c:pt>
                <c:pt idx="46">
                  <c:v>23176.399999999998</c:v>
                </c:pt>
              </c:numCache>
            </c:numRef>
          </c:val>
          <c:extLst>
            <c:ext xmlns:c16="http://schemas.microsoft.com/office/drawing/2014/chart" uri="{C3380CC4-5D6E-409C-BE32-E72D297353CC}">
              <c16:uniqueId val="{00000002-0A6C-44BD-859B-E20B7C073454}"/>
            </c:ext>
          </c:extLst>
        </c:ser>
        <c:ser>
          <c:idx val="3"/>
          <c:order val="3"/>
          <c:tx>
            <c:strRef>
              <c:f>Analysis!$E$82</c:f>
              <c:strCache>
                <c:ptCount val="1"/>
                <c:pt idx="0">
                  <c:v>Avg Close Days</c:v>
                </c:pt>
              </c:strCache>
            </c:strRef>
          </c:tx>
          <c:spPr>
            <a:solidFill>
              <a:schemeClr val="accent1">
                <a:lumMod val="60000"/>
              </a:schemeClr>
            </a:solidFill>
            <a:ln>
              <a:noFill/>
            </a:ln>
            <a:effectLst/>
          </c:spPr>
          <c:invertIfNegative val="0"/>
          <c:cat>
            <c:strRef>
              <c:f>Analysis!$A$83:$A$130</c:f>
              <c:strCache>
                <c:ptCount val="47"/>
                <c:pt idx="0">
                  <c:v>Anita Banerjee</c:v>
                </c:pt>
                <c:pt idx="1">
                  <c:v>Arun Sharma</c:v>
                </c:pt>
                <c:pt idx="2">
                  <c:v>Anita Ghosh</c:v>
                </c:pt>
                <c:pt idx="3">
                  <c:v>Anita Joshi</c:v>
                </c:pt>
                <c:pt idx="4">
                  <c:v>Neha Patel</c:v>
                </c:pt>
                <c:pt idx="5">
                  <c:v>Gaurav Iyer</c:v>
                </c:pt>
                <c:pt idx="6">
                  <c:v>Sunita Sen</c:v>
                </c:pt>
                <c:pt idx="7">
                  <c:v>Karan Malhotra</c:v>
                </c:pt>
                <c:pt idx="8">
                  <c:v>Kavita Patel</c:v>
                </c:pt>
                <c:pt idx="9">
                  <c:v>Preeti Mehta</c:v>
                </c:pt>
                <c:pt idx="10">
                  <c:v>Manish Banerjee</c:v>
                </c:pt>
                <c:pt idx="11">
                  <c:v>Karan Gupta</c:v>
                </c:pt>
                <c:pt idx="12">
                  <c:v>Sanjay Reddy</c:v>
                </c:pt>
                <c:pt idx="13">
                  <c:v>Meena Agarwal</c:v>
                </c:pt>
                <c:pt idx="14">
                  <c:v>Arjun Rao</c:v>
                </c:pt>
                <c:pt idx="15">
                  <c:v>Sneha Tiwari</c:v>
                </c:pt>
                <c:pt idx="16">
                  <c:v>Deepak Roy</c:v>
                </c:pt>
                <c:pt idx="17">
                  <c:v>Pooja Kumar</c:v>
                </c:pt>
                <c:pt idx="18">
                  <c:v>Karan Agarwal</c:v>
                </c:pt>
                <c:pt idx="19">
                  <c:v>Manish Kumar</c:v>
                </c:pt>
                <c:pt idx="20">
                  <c:v>Harish Bose</c:v>
                </c:pt>
                <c:pt idx="21">
                  <c:v>Manish Pillai</c:v>
                </c:pt>
                <c:pt idx="22">
                  <c:v>Swati Chopra</c:v>
                </c:pt>
                <c:pt idx="23">
                  <c:v>Manoj Saxena</c:v>
                </c:pt>
                <c:pt idx="24">
                  <c:v>Sanjay Rastogi</c:v>
                </c:pt>
                <c:pt idx="25">
                  <c:v>Amit Nair</c:v>
                </c:pt>
                <c:pt idx="26">
                  <c:v>Anita Agarwal</c:v>
                </c:pt>
                <c:pt idx="27">
                  <c:v>Preeti Rao</c:v>
                </c:pt>
                <c:pt idx="28">
                  <c:v>Jyoti Sharma</c:v>
                </c:pt>
                <c:pt idx="29">
                  <c:v>Seema Chopra</c:v>
                </c:pt>
                <c:pt idx="30">
                  <c:v>Preeti Pandey</c:v>
                </c:pt>
                <c:pt idx="31">
                  <c:v>Usha Rao</c:v>
                </c:pt>
                <c:pt idx="32">
                  <c:v>Sunita Mehta</c:v>
                </c:pt>
                <c:pt idx="33">
                  <c:v>Manoj Rastogi</c:v>
                </c:pt>
                <c:pt idx="34">
                  <c:v>Amit Mehta</c:v>
                </c:pt>
                <c:pt idx="35">
                  <c:v>Suresh Joshi</c:v>
                </c:pt>
                <c:pt idx="36">
                  <c:v>Manoj Lal</c:v>
                </c:pt>
                <c:pt idx="37">
                  <c:v>Kavita Mehta</c:v>
                </c:pt>
                <c:pt idx="38">
                  <c:v>Deepak Iyer</c:v>
                </c:pt>
                <c:pt idx="39">
                  <c:v>Jyoti Dubey</c:v>
                </c:pt>
                <c:pt idx="40">
                  <c:v>Rohit Kumar</c:v>
                </c:pt>
                <c:pt idx="41">
                  <c:v>Meena Singh</c:v>
                </c:pt>
                <c:pt idx="42">
                  <c:v>Vikram Chopra</c:v>
                </c:pt>
                <c:pt idx="43">
                  <c:v>Kavita Kumar</c:v>
                </c:pt>
                <c:pt idx="44">
                  <c:v>Jyoti Chopra</c:v>
                </c:pt>
                <c:pt idx="45">
                  <c:v>Suresh Verma</c:v>
                </c:pt>
                <c:pt idx="46">
                  <c:v>Preeti Chopra</c:v>
                </c:pt>
              </c:strCache>
            </c:strRef>
          </c:cat>
          <c:val>
            <c:numRef>
              <c:f>Analysis!$E$83:$E$130</c:f>
              <c:numCache>
                <c:formatCode>General</c:formatCode>
                <c:ptCount val="47"/>
                <c:pt idx="0">
                  <c:v>37.6</c:v>
                </c:pt>
                <c:pt idx="1">
                  <c:v>43.85</c:v>
                </c:pt>
                <c:pt idx="2">
                  <c:v>41.6</c:v>
                </c:pt>
                <c:pt idx="3">
                  <c:v>42.7</c:v>
                </c:pt>
                <c:pt idx="4">
                  <c:v>43.7</c:v>
                </c:pt>
                <c:pt idx="5">
                  <c:v>52.8</c:v>
                </c:pt>
                <c:pt idx="6">
                  <c:v>43.5</c:v>
                </c:pt>
                <c:pt idx="7">
                  <c:v>46.5</c:v>
                </c:pt>
                <c:pt idx="8">
                  <c:v>37.299999999999997</c:v>
                </c:pt>
                <c:pt idx="9">
                  <c:v>42.5</c:v>
                </c:pt>
                <c:pt idx="10">
                  <c:v>46.2</c:v>
                </c:pt>
                <c:pt idx="11">
                  <c:v>45</c:v>
                </c:pt>
                <c:pt idx="12">
                  <c:v>43.9</c:v>
                </c:pt>
                <c:pt idx="13">
                  <c:v>54.3</c:v>
                </c:pt>
                <c:pt idx="14">
                  <c:v>44.5</c:v>
                </c:pt>
                <c:pt idx="15">
                  <c:v>53.8</c:v>
                </c:pt>
                <c:pt idx="16">
                  <c:v>48.4</c:v>
                </c:pt>
                <c:pt idx="17">
                  <c:v>52</c:v>
                </c:pt>
                <c:pt idx="18">
                  <c:v>59</c:v>
                </c:pt>
                <c:pt idx="19">
                  <c:v>40.299999999999997</c:v>
                </c:pt>
                <c:pt idx="20">
                  <c:v>45.1</c:v>
                </c:pt>
                <c:pt idx="21">
                  <c:v>39</c:v>
                </c:pt>
                <c:pt idx="22">
                  <c:v>47.9</c:v>
                </c:pt>
                <c:pt idx="23">
                  <c:v>36.200000000000003</c:v>
                </c:pt>
                <c:pt idx="24">
                  <c:v>54.2</c:v>
                </c:pt>
                <c:pt idx="25">
                  <c:v>48.7</c:v>
                </c:pt>
                <c:pt idx="26">
                  <c:v>43.2</c:v>
                </c:pt>
                <c:pt idx="27">
                  <c:v>58.4</c:v>
                </c:pt>
                <c:pt idx="28">
                  <c:v>65.8</c:v>
                </c:pt>
                <c:pt idx="29">
                  <c:v>55.6</c:v>
                </c:pt>
                <c:pt idx="30">
                  <c:v>58.5</c:v>
                </c:pt>
                <c:pt idx="31">
                  <c:v>47.4</c:v>
                </c:pt>
                <c:pt idx="32">
                  <c:v>36.9</c:v>
                </c:pt>
                <c:pt idx="33">
                  <c:v>43.2</c:v>
                </c:pt>
                <c:pt idx="34">
                  <c:v>55.4</c:v>
                </c:pt>
                <c:pt idx="35">
                  <c:v>44.5</c:v>
                </c:pt>
                <c:pt idx="36">
                  <c:v>46</c:v>
                </c:pt>
                <c:pt idx="37">
                  <c:v>47.7</c:v>
                </c:pt>
                <c:pt idx="38">
                  <c:v>46.9</c:v>
                </c:pt>
                <c:pt idx="39">
                  <c:v>41</c:v>
                </c:pt>
                <c:pt idx="40">
                  <c:v>48.6</c:v>
                </c:pt>
                <c:pt idx="41">
                  <c:v>51.8</c:v>
                </c:pt>
                <c:pt idx="42">
                  <c:v>46.3</c:v>
                </c:pt>
                <c:pt idx="43">
                  <c:v>39.9</c:v>
                </c:pt>
                <c:pt idx="44">
                  <c:v>48.1</c:v>
                </c:pt>
                <c:pt idx="45">
                  <c:v>55.9</c:v>
                </c:pt>
                <c:pt idx="46">
                  <c:v>40.5</c:v>
                </c:pt>
              </c:numCache>
            </c:numRef>
          </c:val>
          <c:extLst>
            <c:ext xmlns:c16="http://schemas.microsoft.com/office/drawing/2014/chart" uri="{C3380CC4-5D6E-409C-BE32-E72D297353CC}">
              <c16:uniqueId val="{00000003-0A6C-44BD-859B-E20B7C073454}"/>
            </c:ext>
          </c:extLst>
        </c:ser>
        <c:dLbls>
          <c:showLegendKey val="0"/>
          <c:showVal val="0"/>
          <c:showCatName val="0"/>
          <c:showSerName val="0"/>
          <c:showPercent val="0"/>
          <c:showBubbleSize val="0"/>
        </c:dLbls>
        <c:gapWidth val="219"/>
        <c:overlap val="-27"/>
        <c:axId val="1273069232"/>
        <c:axId val="1273071152"/>
      </c:barChart>
      <c:catAx>
        <c:axId val="127306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071152"/>
        <c:crosses val="autoZero"/>
        <c:auto val="1"/>
        <c:lblAlgn val="ctr"/>
        <c:lblOffset val="100"/>
        <c:noMultiLvlLbl val="0"/>
      </c:catAx>
      <c:valAx>
        <c:axId val="127307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069232"/>
        <c:crosses val="autoZero"/>
        <c:crossBetween val="between"/>
      </c:valAx>
      <c:spPr>
        <a:noFill/>
        <a:ln>
          <a:noFill/>
        </a:ln>
        <a:effectLst/>
      </c:spPr>
    </c:plotArea>
    <c:legend>
      <c:legendPos val="b"/>
      <c:layout>
        <c:manualLayout>
          <c:xMode val="edge"/>
          <c:yMode val="edge"/>
          <c:x val="6.147856517935258E-2"/>
          <c:y val="0.91261519393409141"/>
          <c:w val="0.8770426509186352"/>
          <c:h val="5.96070282881306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81054</xdr:colOff>
      <xdr:row>2</xdr:row>
      <xdr:rowOff>6350</xdr:rowOff>
    </xdr:from>
    <xdr:to>
      <xdr:col>11</xdr:col>
      <xdr:colOff>12451</xdr:colOff>
      <xdr:row>18</xdr:row>
      <xdr:rowOff>0</xdr:rowOff>
    </xdr:to>
    <xdr:graphicFrame macro="">
      <xdr:nvGraphicFramePr>
        <xdr:cNvPr id="2" name="Revenue &amp; Profit by Region">
          <a:extLst>
            <a:ext uri="{FF2B5EF4-FFF2-40B4-BE49-F238E27FC236}">
              <a16:creationId xmlns:a16="http://schemas.microsoft.com/office/drawing/2014/main" id="{EF31A9A7-2C17-44C1-1538-3AFCA8614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81305</xdr:colOff>
      <xdr:row>21</xdr:row>
      <xdr:rowOff>18800</xdr:rowOff>
    </xdr:from>
    <xdr:to>
      <xdr:col>8</xdr:col>
      <xdr:colOff>6226</xdr:colOff>
      <xdr:row>38</xdr:row>
      <xdr:rowOff>12451</xdr:rowOff>
    </xdr:to>
    <xdr:graphicFrame macro="">
      <xdr:nvGraphicFramePr>
        <xdr:cNvPr id="3" name="Chart 2">
          <a:extLst>
            <a:ext uri="{FF2B5EF4-FFF2-40B4-BE49-F238E27FC236}">
              <a16:creationId xmlns:a16="http://schemas.microsoft.com/office/drawing/2014/main" id="{4E51769B-0CFC-F040-0C43-81941905E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92138</xdr:colOff>
      <xdr:row>41</xdr:row>
      <xdr:rowOff>12451</xdr:rowOff>
    </xdr:from>
    <xdr:to>
      <xdr:col>9</xdr:col>
      <xdr:colOff>996078</xdr:colOff>
      <xdr:row>58</xdr:row>
      <xdr:rowOff>43579</xdr:rowOff>
    </xdr:to>
    <xdr:graphicFrame macro="">
      <xdr:nvGraphicFramePr>
        <xdr:cNvPr id="4" name="Chart 3">
          <a:extLst>
            <a:ext uri="{FF2B5EF4-FFF2-40B4-BE49-F238E27FC236}">
              <a16:creationId xmlns:a16="http://schemas.microsoft.com/office/drawing/2014/main" id="{49474F5A-CF76-6780-AA30-4EE383272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238439</xdr:colOff>
      <xdr:row>71</xdr:row>
      <xdr:rowOff>1120</xdr:rowOff>
    </xdr:from>
    <xdr:to>
      <xdr:col>5</xdr:col>
      <xdr:colOff>678579</xdr:colOff>
      <xdr:row>80</xdr:row>
      <xdr:rowOff>24902</xdr:rowOff>
    </xdr:to>
    <xdr:graphicFrame macro="">
      <xdr:nvGraphicFramePr>
        <xdr:cNvPr id="8" name="Chart 7">
          <a:extLst>
            <a:ext uri="{FF2B5EF4-FFF2-40B4-BE49-F238E27FC236}">
              <a16:creationId xmlns:a16="http://schemas.microsoft.com/office/drawing/2014/main" id="{0455DB6C-7EB3-786E-54D4-0E887B81D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173070</xdr:colOff>
      <xdr:row>81</xdr:row>
      <xdr:rowOff>4232</xdr:rowOff>
    </xdr:from>
    <xdr:to>
      <xdr:col>11</xdr:col>
      <xdr:colOff>927598</xdr:colOff>
      <xdr:row>99</xdr:row>
      <xdr:rowOff>143188</xdr:rowOff>
    </xdr:to>
    <xdr:graphicFrame macro="">
      <xdr:nvGraphicFramePr>
        <xdr:cNvPr id="9" name="Chart 8">
          <a:extLst>
            <a:ext uri="{FF2B5EF4-FFF2-40B4-BE49-F238E27FC236}">
              <a16:creationId xmlns:a16="http://schemas.microsoft.com/office/drawing/2014/main" id="{5016D695-A606-24A1-CFB1-1C67796F2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181142</xdr:colOff>
      <xdr:row>2</xdr:row>
      <xdr:rowOff>7354</xdr:rowOff>
    </xdr:from>
    <xdr:to>
      <xdr:col>17</xdr:col>
      <xdr:colOff>20051</xdr:colOff>
      <xdr:row>7</xdr:row>
      <xdr:rowOff>93580</xdr:rowOff>
    </xdr:to>
    <xdr:sp macro="" textlink="">
      <xdr:nvSpPr>
        <xdr:cNvPr id="5" name="TextBox 4">
          <a:extLst>
            <a:ext uri="{FF2B5EF4-FFF2-40B4-BE49-F238E27FC236}">
              <a16:creationId xmlns:a16="http://schemas.microsoft.com/office/drawing/2014/main" id="{D7569DAE-3A33-624A-B6CD-BC9754861B78}"/>
            </a:ext>
          </a:extLst>
        </xdr:cNvPr>
        <xdr:cNvSpPr txBox="1"/>
      </xdr:nvSpPr>
      <xdr:spPr>
        <a:xfrm>
          <a:off x="11370510" y="395038"/>
          <a:ext cx="4203699" cy="10220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 FINDINGS</a:t>
          </a:r>
        </a:p>
        <a:p>
          <a:r>
            <a:rPr lang="en-US" sz="1100"/>
            <a:t>- </a:t>
          </a:r>
          <a:r>
            <a:rPr lang="en-US" sz="1100" b="1"/>
            <a:t>North</a:t>
          </a:r>
          <a:r>
            <a:rPr lang="en-US" sz="1100" baseline="0"/>
            <a:t> </a:t>
          </a:r>
          <a:r>
            <a:rPr lang="en-US" sz="1100"/>
            <a:t>region drives</a:t>
          </a:r>
          <a:r>
            <a:rPr lang="en-US" sz="1100" baseline="0"/>
            <a:t> </a:t>
          </a:r>
          <a:r>
            <a:rPr lang="en-US" sz="1100" b="1" baseline="0"/>
            <a:t>34.46</a:t>
          </a:r>
          <a:r>
            <a:rPr lang="en-US" sz="1100" b="1"/>
            <a:t>%</a:t>
          </a:r>
          <a:r>
            <a:rPr lang="en-US" sz="1100"/>
            <a:t> of total revenue</a:t>
          </a:r>
        </a:p>
        <a:p>
          <a:r>
            <a:rPr lang="en-US" sz="1100"/>
            <a:t>- </a:t>
          </a:r>
          <a:r>
            <a:rPr lang="en-US" sz="1100" b="1"/>
            <a:t>East</a:t>
          </a:r>
          <a:r>
            <a:rPr lang="en-US" sz="1100" baseline="0"/>
            <a:t> </a:t>
          </a:r>
          <a:r>
            <a:rPr lang="en-US" sz="1100"/>
            <a:t>Region has the highest profit margin at 26.7%</a:t>
          </a:r>
        </a:p>
        <a:p>
          <a:r>
            <a:rPr lang="en-US" sz="1100"/>
            <a:t>- </a:t>
          </a:r>
          <a:r>
            <a:rPr lang="en-US" sz="1100" b="1"/>
            <a:t>South</a:t>
          </a:r>
          <a:r>
            <a:rPr lang="en-US" sz="1100" baseline="0"/>
            <a:t> </a:t>
          </a:r>
          <a:r>
            <a:rPr lang="en-US" sz="1100"/>
            <a:t>Region has the lowest margin </a:t>
          </a:r>
          <a:r>
            <a:rPr lang="en-US" sz="1100" b="1" i="0">
              <a:solidFill>
                <a:schemeClr val="dk1"/>
              </a:solidFill>
              <a:effectLst/>
              <a:latin typeface="+mn-lt"/>
              <a:ea typeface="+mn-ea"/>
              <a:cs typeface="+mn-cs"/>
            </a:rPr>
            <a:t>25.3%</a:t>
          </a:r>
          <a:r>
            <a:rPr lang="en-US" sz="1100" b="0" i="0">
              <a:solidFill>
                <a:schemeClr val="dk1"/>
              </a:solidFill>
              <a:effectLst/>
              <a:latin typeface="+mn-lt"/>
              <a:ea typeface="+mn-ea"/>
              <a:cs typeface="+mn-cs"/>
            </a:rPr>
            <a:t> </a:t>
          </a:r>
          <a:r>
            <a:rPr lang="en-US" sz="1100"/>
            <a:t>— investigate pricing</a:t>
          </a:r>
        </a:p>
        <a:p>
          <a:r>
            <a:rPr lang="en-US" sz="1100"/>
            <a:t>- Recommendation: Focus Q1 expansion on </a:t>
          </a:r>
          <a:r>
            <a:rPr lang="en-US" sz="1100" b="1" i="0">
              <a:solidFill>
                <a:schemeClr val="dk1"/>
              </a:solidFill>
              <a:effectLst/>
              <a:latin typeface="+mn-lt"/>
              <a:ea typeface="+mn-ea"/>
              <a:cs typeface="+mn-cs"/>
            </a:rPr>
            <a:t>East</a:t>
          </a:r>
          <a:endParaRPr lang="en-US" sz="1100" b="1"/>
        </a:p>
      </xdr:txBody>
    </xdr:sp>
    <xdr:clientData/>
  </xdr:twoCellAnchor>
  <xdr:twoCellAnchor>
    <xdr:from>
      <xdr:col>8</xdr:col>
      <xdr:colOff>173789</xdr:colOff>
      <xdr:row>21</xdr:row>
      <xdr:rowOff>20052</xdr:rowOff>
    </xdr:from>
    <xdr:to>
      <xdr:col>13</xdr:col>
      <xdr:colOff>494632</xdr:colOff>
      <xdr:row>26</xdr:row>
      <xdr:rowOff>46791</xdr:rowOff>
    </xdr:to>
    <xdr:sp macro="" textlink="">
      <xdr:nvSpPr>
        <xdr:cNvPr id="6" name="TextBox 5">
          <a:extLst>
            <a:ext uri="{FF2B5EF4-FFF2-40B4-BE49-F238E27FC236}">
              <a16:creationId xmlns:a16="http://schemas.microsoft.com/office/drawing/2014/main" id="{958EE054-5A23-4759-A67D-F0601331EC03}"/>
            </a:ext>
          </a:extLst>
        </xdr:cNvPr>
        <xdr:cNvSpPr txBox="1"/>
      </xdr:nvSpPr>
      <xdr:spPr>
        <a:xfrm>
          <a:off x="8428789" y="3977105"/>
          <a:ext cx="5186948" cy="9625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 FINDINGS</a:t>
          </a:r>
        </a:p>
        <a:p>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May</a:t>
          </a:r>
          <a:r>
            <a:rPr lang="en-US" sz="1100" b="0" i="0">
              <a:solidFill>
                <a:schemeClr val="dk1"/>
              </a:solidFill>
              <a:effectLst/>
              <a:latin typeface="+mn-lt"/>
              <a:ea typeface="+mn-ea"/>
              <a:cs typeface="+mn-cs"/>
            </a:rPr>
            <a:t> has the highest MoM growth at </a:t>
          </a:r>
          <a:r>
            <a:rPr lang="en-US" sz="1100" b="1" i="0">
              <a:solidFill>
                <a:schemeClr val="dk1"/>
              </a:solidFill>
              <a:effectLst/>
              <a:latin typeface="+mn-lt"/>
              <a:ea typeface="+mn-ea"/>
              <a:cs typeface="+mn-cs"/>
            </a:rPr>
            <a:t>130.3% </a:t>
          </a:r>
          <a:r>
            <a:rPr lang="en-US" sz="1100" b="0" i="0">
              <a:solidFill>
                <a:schemeClr val="dk1"/>
              </a:solidFill>
              <a:effectLst/>
              <a:latin typeface="+mn-lt"/>
              <a:ea typeface="+mn-ea"/>
              <a:cs typeface="+mn-cs"/>
            </a:rPr>
            <a:t>— likely a seasonal or campaign peak</a:t>
          </a:r>
        </a:p>
        <a:p>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November</a:t>
          </a:r>
          <a:r>
            <a:rPr lang="en-US" sz="1100" b="0" i="0">
              <a:solidFill>
                <a:schemeClr val="dk1"/>
              </a:solidFill>
              <a:effectLst/>
              <a:latin typeface="+mn-lt"/>
              <a:ea typeface="+mn-ea"/>
              <a:cs typeface="+mn-cs"/>
            </a:rPr>
            <a:t> shows the steepest decline at </a:t>
          </a:r>
          <a:r>
            <a:rPr lang="en-US" sz="1100" b="1" i="0">
              <a:solidFill>
                <a:schemeClr val="dk1"/>
              </a:solidFill>
              <a:effectLst/>
              <a:latin typeface="+mn-lt"/>
              <a:ea typeface="+mn-ea"/>
              <a:cs typeface="+mn-cs"/>
            </a:rPr>
            <a:t>-69.3%</a:t>
          </a:r>
          <a:r>
            <a:rPr lang="en-US" sz="1100" b="0" i="0">
              <a:solidFill>
                <a:schemeClr val="dk1"/>
              </a:solidFill>
              <a:effectLst/>
              <a:latin typeface="+mn-lt"/>
              <a:ea typeface="+mn-ea"/>
              <a:cs typeface="+mn-cs"/>
            </a:rPr>
            <a:t>, the lowest revenue month (</a:t>
          </a:r>
          <a:r>
            <a:rPr lang="en-US" sz="1100" b="1" i="0">
              <a:solidFill>
                <a:schemeClr val="dk1"/>
              </a:solidFill>
              <a:effectLst/>
              <a:latin typeface="+mn-lt"/>
              <a:ea typeface="+mn-ea"/>
              <a:cs typeface="+mn-cs"/>
            </a:rPr>
            <a:t>₹992,573</a:t>
          </a:r>
          <a:r>
            <a:rPr lang="en-US"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 Revenue dropped sharply from </a:t>
          </a:r>
          <a:r>
            <a:rPr lang="en-US" sz="1100" b="1" i="0">
              <a:solidFill>
                <a:schemeClr val="dk1"/>
              </a:solidFill>
              <a:effectLst/>
              <a:latin typeface="+mn-lt"/>
              <a:ea typeface="+mn-ea"/>
              <a:cs typeface="+mn-cs"/>
            </a:rPr>
            <a:t>Jan (₹3.03M) to Mar (₹1.63M)</a:t>
          </a:r>
          <a:r>
            <a:rPr lang="en-US" sz="1100" b="0" i="0">
              <a:solidFill>
                <a:schemeClr val="dk1"/>
              </a:solidFill>
              <a:effectLst/>
              <a:latin typeface="+mn-lt"/>
              <a:ea typeface="+mn-ea"/>
              <a:cs typeface="+mn-cs"/>
            </a:rPr>
            <a:t>, then recovered in </a:t>
          </a:r>
          <a:r>
            <a:rPr lang="en-US" sz="1100" b="1" i="0">
              <a:solidFill>
                <a:schemeClr val="dk1"/>
              </a:solidFill>
              <a:effectLst/>
              <a:latin typeface="+mn-lt"/>
              <a:ea typeface="+mn-ea"/>
              <a:cs typeface="+mn-cs"/>
            </a:rPr>
            <a:t>May</a:t>
          </a:r>
        </a:p>
        <a:p>
          <a:r>
            <a:rPr lang="en-US" sz="1100" b="0" i="0">
              <a:solidFill>
                <a:schemeClr val="dk1"/>
              </a:solidFill>
              <a:effectLst/>
              <a:latin typeface="+mn-lt"/>
              <a:ea typeface="+mn-ea"/>
              <a:cs typeface="+mn-cs"/>
            </a:rPr>
            <a:t>- Recommendation: Investigate causes of </a:t>
          </a:r>
          <a:r>
            <a:rPr lang="en-US" sz="1100" b="1" i="0">
              <a:solidFill>
                <a:schemeClr val="dk1"/>
              </a:solidFill>
              <a:effectLst/>
              <a:latin typeface="+mn-lt"/>
              <a:ea typeface="+mn-ea"/>
              <a:cs typeface="+mn-cs"/>
            </a:rPr>
            <a:t>Nov</a:t>
          </a:r>
          <a:r>
            <a:rPr lang="en-US" sz="1100" b="0" i="0">
              <a:solidFill>
                <a:schemeClr val="dk1"/>
              </a:solidFill>
              <a:effectLst/>
              <a:latin typeface="+mn-lt"/>
              <a:ea typeface="+mn-ea"/>
              <a:cs typeface="+mn-cs"/>
            </a:rPr>
            <a:t> drop and replicate </a:t>
          </a:r>
          <a:r>
            <a:rPr lang="en-US" sz="1100" b="1" i="0">
              <a:solidFill>
                <a:schemeClr val="dk1"/>
              </a:solidFill>
              <a:effectLst/>
              <a:latin typeface="+mn-lt"/>
              <a:ea typeface="+mn-ea"/>
              <a:cs typeface="+mn-cs"/>
            </a:rPr>
            <a:t>May’s</a:t>
          </a:r>
          <a:r>
            <a:rPr lang="en-US" sz="1100" b="0" i="0">
              <a:solidFill>
                <a:schemeClr val="dk1"/>
              </a:solidFill>
              <a:effectLst/>
              <a:latin typeface="+mn-lt"/>
              <a:ea typeface="+mn-ea"/>
              <a:cs typeface="+mn-cs"/>
            </a:rPr>
            <a:t> drivers in Q4</a:t>
          </a:r>
        </a:p>
      </xdr:txBody>
    </xdr:sp>
    <xdr:clientData/>
  </xdr:twoCellAnchor>
  <xdr:twoCellAnchor>
    <xdr:from>
      <xdr:col>10</xdr:col>
      <xdr:colOff>133685</xdr:colOff>
      <xdr:row>41</xdr:row>
      <xdr:rowOff>13367</xdr:rowOff>
    </xdr:from>
    <xdr:to>
      <xdr:col>18</xdr:col>
      <xdr:colOff>160421</xdr:colOff>
      <xdr:row>46</xdr:row>
      <xdr:rowOff>73527</xdr:rowOff>
    </xdr:to>
    <xdr:sp macro="" textlink="">
      <xdr:nvSpPr>
        <xdr:cNvPr id="7" name="TextBox 6">
          <a:extLst>
            <a:ext uri="{FF2B5EF4-FFF2-40B4-BE49-F238E27FC236}">
              <a16:creationId xmlns:a16="http://schemas.microsoft.com/office/drawing/2014/main" id="{88194792-FC60-4CFF-A182-B1CC7E2341FD}"/>
            </a:ext>
          </a:extLst>
        </xdr:cNvPr>
        <xdr:cNvSpPr txBox="1"/>
      </xdr:nvSpPr>
      <xdr:spPr>
        <a:xfrm>
          <a:off x="11035632" y="7726946"/>
          <a:ext cx="6122736" cy="9959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 FINDINGS</a:t>
          </a:r>
        </a:p>
        <a:p>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Samsung S30256GB </a:t>
          </a:r>
          <a:r>
            <a:rPr lang="en-US" sz="1100" b="0" i="0">
              <a:solidFill>
                <a:schemeClr val="dk1"/>
              </a:solidFill>
              <a:effectLst/>
              <a:latin typeface="+mn-lt"/>
              <a:ea typeface="+mn-ea"/>
              <a:cs typeface="+mn-cs"/>
            </a:rPr>
            <a:t>drives </a:t>
          </a:r>
          <a:r>
            <a:rPr lang="en-US" sz="1100" b="1" i="0">
              <a:solidFill>
                <a:schemeClr val="dk1"/>
              </a:solidFill>
              <a:effectLst/>
              <a:latin typeface="+mn-lt"/>
              <a:ea typeface="+mn-ea"/>
              <a:cs typeface="+mn-cs"/>
            </a:rPr>
            <a:t>18.2%</a:t>
          </a:r>
          <a:r>
            <a:rPr lang="en-US" sz="1100" b="0" i="0">
              <a:solidFill>
                <a:schemeClr val="dk1"/>
              </a:solidFill>
              <a:effectLst/>
              <a:latin typeface="+mn-lt"/>
              <a:ea typeface="+mn-ea"/>
              <a:cs typeface="+mn-cs"/>
            </a:rPr>
            <a:t> of total revenue (</a:t>
          </a:r>
          <a:r>
            <a:rPr lang="en-US" sz="1100" b="1" i="0">
              <a:solidFill>
                <a:schemeClr val="dk1"/>
              </a:solidFill>
              <a:effectLst/>
              <a:latin typeface="+mn-lt"/>
              <a:ea typeface="+mn-ea"/>
              <a:cs typeface="+mn-cs"/>
            </a:rPr>
            <a:t>₹3.9M</a:t>
          </a:r>
          <a:r>
            <a:rPr lang="en-US" sz="1100" b="0" i="0">
              <a:solidFill>
                <a:schemeClr val="dk1"/>
              </a:solidFill>
              <a:effectLst/>
              <a:latin typeface="+mn-lt"/>
              <a:ea typeface="+mn-ea"/>
              <a:cs typeface="+mn-cs"/>
            </a:rPr>
            <a:t>) — top performer</a:t>
          </a:r>
        </a:p>
        <a:p>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WD Max34Green </a:t>
          </a:r>
          <a:r>
            <a:rPr lang="en-US" sz="1100" b="0" i="0">
              <a:solidFill>
                <a:schemeClr val="dk1"/>
              </a:solidFill>
              <a:effectLst/>
              <a:latin typeface="+mn-lt"/>
              <a:ea typeface="+mn-ea"/>
              <a:cs typeface="+mn-cs"/>
            </a:rPr>
            <a:t>has the highest profit margin at </a:t>
          </a:r>
          <a:r>
            <a:rPr lang="en-US" sz="1100" b="1" i="0">
              <a:solidFill>
                <a:schemeClr val="dk1"/>
              </a:solidFill>
              <a:effectLst/>
              <a:latin typeface="+mn-lt"/>
              <a:ea typeface="+mn-ea"/>
              <a:cs typeface="+mn-cs"/>
            </a:rPr>
            <a:t>28.4%</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Apple Plus44 </a:t>
          </a:r>
          <a:r>
            <a:rPr lang="en-US" sz="1100" b="0" i="0">
              <a:solidFill>
                <a:schemeClr val="dk1"/>
              </a:solidFill>
              <a:effectLst/>
              <a:latin typeface="+mn-lt"/>
              <a:ea typeface="+mn-ea"/>
              <a:cs typeface="+mn-cs"/>
            </a:rPr>
            <a:t>has the lowest margin at </a:t>
          </a:r>
          <a:r>
            <a:rPr lang="en-US" sz="1100" b="1" i="0">
              <a:solidFill>
                <a:schemeClr val="dk1"/>
              </a:solidFill>
              <a:effectLst/>
              <a:latin typeface="+mn-lt"/>
              <a:ea typeface="+mn-ea"/>
              <a:cs typeface="+mn-cs"/>
            </a:rPr>
            <a:t>20.8%</a:t>
          </a:r>
          <a:r>
            <a:rPr lang="en-US" sz="1100" b="0" i="0">
              <a:solidFill>
                <a:schemeClr val="dk1"/>
              </a:solidFill>
              <a:effectLst/>
              <a:latin typeface="+mn-lt"/>
              <a:ea typeface="+mn-ea"/>
              <a:cs typeface="+mn-cs"/>
            </a:rPr>
            <a:t> — investigate pricing</a:t>
          </a:r>
        </a:p>
        <a:p>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Recommendation</a:t>
          </a:r>
          <a:r>
            <a:rPr lang="en-US" sz="1100" b="0" i="0">
              <a:solidFill>
                <a:schemeClr val="dk1"/>
              </a:solidFill>
              <a:effectLst/>
              <a:latin typeface="+mn-lt"/>
              <a:ea typeface="+mn-ea"/>
              <a:cs typeface="+mn-cs"/>
            </a:rPr>
            <a:t>: Review </a:t>
          </a:r>
          <a:r>
            <a:rPr lang="en-US" sz="1100" b="1" i="0">
              <a:solidFill>
                <a:schemeClr val="dk1"/>
              </a:solidFill>
              <a:effectLst/>
              <a:latin typeface="+mn-lt"/>
              <a:ea typeface="+mn-ea"/>
              <a:cs typeface="+mn-cs"/>
            </a:rPr>
            <a:t>Apple Plus44’s</a:t>
          </a:r>
          <a:r>
            <a:rPr lang="en-US" sz="1100" b="0" i="0">
              <a:solidFill>
                <a:schemeClr val="dk1"/>
              </a:solidFill>
              <a:effectLst/>
              <a:latin typeface="+mn-lt"/>
              <a:ea typeface="+mn-ea"/>
              <a:cs typeface="+mn-cs"/>
            </a:rPr>
            <a:t> cost structure or pricing strategy</a:t>
          </a:r>
        </a:p>
      </xdr:txBody>
    </xdr:sp>
    <xdr:clientData/>
  </xdr:twoCellAnchor>
  <xdr:twoCellAnchor>
    <xdr:from>
      <xdr:col>5</xdr:col>
      <xdr:colOff>868946</xdr:colOff>
      <xdr:row>71</xdr:row>
      <xdr:rowOff>6684</xdr:rowOff>
    </xdr:from>
    <xdr:to>
      <xdr:col>11</xdr:col>
      <xdr:colOff>655051</xdr:colOff>
      <xdr:row>76</xdr:row>
      <xdr:rowOff>66843</xdr:rowOff>
    </xdr:to>
    <xdr:sp macro="" textlink="">
      <xdr:nvSpPr>
        <xdr:cNvPr id="10" name="TextBox 9">
          <a:extLst>
            <a:ext uri="{FF2B5EF4-FFF2-40B4-BE49-F238E27FC236}">
              <a16:creationId xmlns:a16="http://schemas.microsoft.com/office/drawing/2014/main" id="{D5C3CD97-5CD5-4FD8-98DE-854A4B6DB5A4}"/>
            </a:ext>
          </a:extLst>
        </xdr:cNvPr>
        <xdr:cNvSpPr txBox="1"/>
      </xdr:nvSpPr>
      <xdr:spPr>
        <a:xfrm>
          <a:off x="6857999" y="13348368"/>
          <a:ext cx="6122736" cy="9959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 FINDINGS</a:t>
          </a:r>
        </a:p>
        <a:p>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Social Media </a:t>
          </a:r>
          <a:r>
            <a:rPr lang="en-US" sz="1100" b="0" i="0">
              <a:solidFill>
                <a:schemeClr val="dk1"/>
              </a:solidFill>
              <a:effectLst/>
              <a:latin typeface="+mn-lt"/>
              <a:ea typeface="+mn-ea"/>
              <a:cs typeface="+mn-cs"/>
            </a:rPr>
            <a:t>drives the highest revenue share at </a:t>
          </a:r>
          <a:r>
            <a:rPr lang="en-US" sz="1100" b="1" i="0">
              <a:solidFill>
                <a:schemeClr val="dk1"/>
              </a:solidFill>
              <a:effectLst/>
              <a:latin typeface="+mn-lt"/>
              <a:ea typeface="+mn-ea"/>
              <a:cs typeface="+mn-cs"/>
            </a:rPr>
            <a:t>23%</a:t>
          </a:r>
        </a:p>
        <a:p>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Mobile App </a:t>
          </a:r>
          <a:r>
            <a:rPr lang="en-US" sz="1100" b="0" i="0">
              <a:solidFill>
                <a:schemeClr val="dk1"/>
              </a:solidFill>
              <a:effectLst/>
              <a:latin typeface="+mn-lt"/>
              <a:ea typeface="+mn-ea"/>
              <a:cs typeface="+mn-cs"/>
            </a:rPr>
            <a:t>has the lowest revenue share at </a:t>
          </a:r>
          <a:r>
            <a:rPr lang="en-US" sz="1100" b="1" i="0">
              <a:solidFill>
                <a:schemeClr val="dk1"/>
              </a:solidFill>
              <a:effectLst/>
              <a:latin typeface="+mn-lt"/>
              <a:ea typeface="+mn-ea"/>
              <a:cs typeface="+mn-cs"/>
            </a:rPr>
            <a:t>18%</a:t>
          </a:r>
          <a:r>
            <a:rPr lang="en-US" sz="1100" b="0" i="0">
              <a:solidFill>
                <a:schemeClr val="dk1"/>
              </a:solidFill>
              <a:effectLst/>
              <a:latin typeface="+mn-lt"/>
              <a:ea typeface="+mn-ea"/>
              <a:cs typeface="+mn-cs"/>
            </a:rPr>
            <a:t> despite decent AOV</a:t>
          </a:r>
        </a:p>
        <a:p>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Affiliate</a:t>
          </a:r>
          <a:r>
            <a:rPr lang="en-US" sz="1100" b="0" i="0">
              <a:solidFill>
                <a:schemeClr val="dk1"/>
              </a:solidFill>
              <a:effectLst/>
              <a:latin typeface="+mn-lt"/>
              <a:ea typeface="+mn-ea"/>
              <a:cs typeface="+mn-cs"/>
            </a:rPr>
            <a:t> generates the </a:t>
          </a:r>
          <a:r>
            <a:rPr lang="en-US" sz="1100" b="1" i="0">
              <a:solidFill>
                <a:schemeClr val="dk1"/>
              </a:solidFill>
              <a:effectLst/>
              <a:latin typeface="+mn-lt"/>
              <a:ea typeface="+mn-ea"/>
              <a:cs typeface="+mn-cs"/>
            </a:rPr>
            <a:t>most orders (116) </a:t>
          </a:r>
          <a:r>
            <a:rPr lang="en-US" sz="1100" b="0" i="0">
              <a:solidFill>
                <a:schemeClr val="dk1"/>
              </a:solidFill>
              <a:effectLst/>
              <a:latin typeface="+mn-lt"/>
              <a:ea typeface="+mn-ea"/>
              <a:cs typeface="+mn-cs"/>
            </a:rPr>
            <a:t>but lower AOV — opportunity to bundle</a:t>
          </a:r>
        </a:p>
        <a:p>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Recommendation</a:t>
          </a:r>
          <a:r>
            <a:rPr lang="en-US" sz="1100" b="0" i="0">
              <a:solidFill>
                <a:schemeClr val="dk1"/>
              </a:solidFill>
              <a:effectLst/>
              <a:latin typeface="+mn-lt"/>
              <a:ea typeface="+mn-ea"/>
              <a:cs typeface="+mn-cs"/>
            </a:rPr>
            <a:t>: Increase </a:t>
          </a:r>
          <a:r>
            <a:rPr lang="en-US" sz="1100" b="1" i="0">
              <a:solidFill>
                <a:schemeClr val="dk1"/>
              </a:solidFill>
              <a:effectLst/>
              <a:latin typeface="+mn-lt"/>
              <a:ea typeface="+mn-ea"/>
              <a:cs typeface="+mn-cs"/>
            </a:rPr>
            <a:t>Mobile App engagement </a:t>
          </a:r>
          <a:r>
            <a:rPr lang="en-US" sz="1100" b="0" i="0">
              <a:solidFill>
                <a:schemeClr val="dk1"/>
              </a:solidFill>
              <a:effectLst/>
              <a:latin typeface="+mn-lt"/>
              <a:ea typeface="+mn-ea"/>
              <a:cs typeface="+mn-cs"/>
            </a:rPr>
            <a:t>with push notifications or </a:t>
          </a:r>
          <a:r>
            <a:rPr lang="en-US" sz="1100" b="1" i="0">
              <a:solidFill>
                <a:schemeClr val="dk1"/>
              </a:solidFill>
              <a:effectLst/>
              <a:latin typeface="+mn-lt"/>
              <a:ea typeface="+mn-ea"/>
              <a:cs typeface="+mn-cs"/>
            </a:rPr>
            <a:t>loyalty offers</a:t>
          </a:r>
        </a:p>
      </xdr:txBody>
    </xdr:sp>
    <xdr:clientData/>
  </xdr:twoCellAnchor>
  <xdr:twoCellAnchor>
    <xdr:from>
      <xdr:col>11</xdr:col>
      <xdr:colOff>1082842</xdr:colOff>
      <xdr:row>81</xdr:row>
      <xdr:rowOff>6683</xdr:rowOff>
    </xdr:from>
    <xdr:to>
      <xdr:col>22</xdr:col>
      <xdr:colOff>26737</xdr:colOff>
      <xdr:row>88</xdr:row>
      <xdr:rowOff>20051</xdr:rowOff>
    </xdr:to>
    <xdr:sp macro="" textlink="">
      <xdr:nvSpPr>
        <xdr:cNvPr id="11" name="TextBox 10">
          <a:extLst>
            <a:ext uri="{FF2B5EF4-FFF2-40B4-BE49-F238E27FC236}">
              <a16:creationId xmlns:a16="http://schemas.microsoft.com/office/drawing/2014/main" id="{F0A299F9-5D52-4114-B4F2-DA355D8B4910}"/>
            </a:ext>
          </a:extLst>
        </xdr:cNvPr>
        <xdr:cNvSpPr txBox="1"/>
      </xdr:nvSpPr>
      <xdr:spPr>
        <a:xfrm>
          <a:off x="13408526" y="15233315"/>
          <a:ext cx="6350000" cy="13234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 FINDINGS</a:t>
          </a:r>
        </a:p>
        <a:p>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Anita Banerjee</a:t>
          </a:r>
          <a:r>
            <a:rPr lang="en-US" sz="1100" b="0" i="0">
              <a:solidFill>
                <a:schemeClr val="dk1"/>
              </a:solidFill>
              <a:effectLst/>
              <a:latin typeface="+mn-lt"/>
              <a:ea typeface="+mn-ea"/>
              <a:cs typeface="+mn-cs"/>
            </a:rPr>
            <a:t> leads in total deal value (</a:t>
          </a:r>
          <a:r>
            <a:rPr lang="en-US" sz="1100" b="1" i="0">
              <a:solidFill>
                <a:schemeClr val="dk1"/>
              </a:solidFill>
              <a:effectLst/>
              <a:latin typeface="+mn-lt"/>
              <a:ea typeface="+mn-ea"/>
              <a:cs typeface="+mn-cs"/>
            </a:rPr>
            <a:t>₹3.42M</a:t>
          </a:r>
          <a:r>
            <a:rPr lang="en-US" sz="1100" b="0" i="0">
              <a:solidFill>
                <a:schemeClr val="dk1"/>
              </a:solidFill>
              <a:effectLst/>
              <a:latin typeface="+mn-lt"/>
              <a:ea typeface="+mn-ea"/>
              <a:cs typeface="+mn-cs"/>
            </a:rPr>
            <a:t>) and commission earned (</a:t>
          </a:r>
          <a:r>
            <a:rPr lang="en-US" sz="1100" b="1" i="0">
              <a:solidFill>
                <a:schemeClr val="dk1"/>
              </a:solidFill>
              <a:effectLst/>
              <a:latin typeface="+mn-lt"/>
              <a:ea typeface="+mn-ea"/>
              <a:cs typeface="+mn-cs"/>
            </a:rPr>
            <a:t>₹1.31L</a:t>
          </a:r>
          <a:r>
            <a:rPr lang="en-US"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Anita Ghosh </a:t>
          </a:r>
          <a:r>
            <a:rPr lang="en-US" sz="1100" b="0" i="0">
              <a:solidFill>
                <a:schemeClr val="dk1"/>
              </a:solidFill>
              <a:effectLst/>
              <a:latin typeface="+mn-lt"/>
              <a:ea typeface="+mn-ea"/>
              <a:cs typeface="+mn-cs"/>
            </a:rPr>
            <a:t>has the highest number of </a:t>
          </a:r>
          <a:r>
            <a:rPr lang="en-US" sz="1100" b="1" i="0">
              <a:solidFill>
                <a:schemeClr val="dk1"/>
              </a:solidFill>
              <a:effectLst/>
              <a:latin typeface="+mn-lt"/>
              <a:ea typeface="+mn-ea"/>
              <a:cs typeface="+mn-cs"/>
            </a:rPr>
            <a:t>deals won (12) </a:t>
          </a:r>
          <a:r>
            <a:rPr lang="en-US" sz="1100" b="0" i="0">
              <a:solidFill>
                <a:schemeClr val="dk1"/>
              </a:solidFill>
              <a:effectLst/>
              <a:latin typeface="+mn-lt"/>
              <a:ea typeface="+mn-ea"/>
              <a:cs typeface="+mn-cs"/>
            </a:rPr>
            <a:t>— most consistent closer</a:t>
          </a:r>
        </a:p>
        <a:p>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Suresh Joshi</a:t>
          </a:r>
          <a:r>
            <a:rPr lang="en-US" sz="1100" b="0" i="0">
              <a:solidFill>
                <a:schemeClr val="dk1"/>
              </a:solidFill>
              <a:effectLst/>
              <a:latin typeface="+mn-lt"/>
              <a:ea typeface="+mn-ea"/>
              <a:cs typeface="+mn-cs"/>
            </a:rPr>
            <a:t> has the lowest </a:t>
          </a:r>
          <a:r>
            <a:rPr lang="en-US" sz="1100" b="1" i="0">
              <a:solidFill>
                <a:schemeClr val="dk1"/>
              </a:solidFill>
              <a:effectLst/>
              <a:latin typeface="+mn-lt"/>
              <a:ea typeface="+mn-ea"/>
              <a:cs typeface="+mn-cs"/>
            </a:rPr>
            <a:t>deal value (₹1.11M) </a:t>
          </a:r>
          <a:r>
            <a:rPr lang="en-US" sz="1100" b="0" i="0">
              <a:solidFill>
                <a:schemeClr val="dk1"/>
              </a:solidFill>
              <a:effectLst/>
              <a:latin typeface="+mn-lt"/>
              <a:ea typeface="+mn-ea"/>
              <a:cs typeface="+mn-cs"/>
            </a:rPr>
            <a:t>with </a:t>
          </a:r>
          <a:r>
            <a:rPr lang="en-US" sz="1100" b="1" i="0">
              <a:solidFill>
                <a:schemeClr val="dk1"/>
              </a:solidFill>
              <a:effectLst/>
              <a:latin typeface="+mn-lt"/>
              <a:ea typeface="+mn-ea"/>
              <a:cs typeface="+mn-cs"/>
            </a:rPr>
            <a:t>only 1 deal won </a:t>
          </a:r>
          <a:r>
            <a:rPr lang="en-US" sz="1100" b="0" i="0">
              <a:solidFill>
                <a:schemeClr val="dk1"/>
              </a:solidFill>
              <a:effectLst/>
              <a:latin typeface="+mn-lt"/>
              <a:ea typeface="+mn-ea"/>
              <a:cs typeface="+mn-cs"/>
            </a:rPr>
            <a:t>— performance risk</a:t>
          </a:r>
        </a:p>
        <a:p>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Top 20% reps </a:t>
          </a:r>
          <a:r>
            <a:rPr lang="en-US" sz="1100" b="0" i="0">
              <a:solidFill>
                <a:schemeClr val="dk1"/>
              </a:solidFill>
              <a:effectLst/>
              <a:latin typeface="+mn-lt"/>
              <a:ea typeface="+mn-ea"/>
              <a:cs typeface="+mn-cs"/>
            </a:rPr>
            <a:t>close deals 6 days faster on average (42 days vs. 48 days for bottom 50%)</a:t>
          </a:r>
        </a:p>
        <a:p>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Recommendation</a:t>
          </a:r>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Replicate Anita Ghosh’s high-volume approach and review Suresh Joshi’s pipeline</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12700</xdr:colOff>
      <xdr:row>2</xdr:row>
      <xdr:rowOff>101600</xdr:rowOff>
    </xdr:from>
    <xdr:ext cx="1358900" cy="571500"/>
    <xdr:sp macro="" textlink="KPI_Engine!B32">
      <xdr:nvSpPr>
        <xdr:cNvPr id="8" name="TextBox 7">
          <a:extLst>
            <a:ext uri="{FF2B5EF4-FFF2-40B4-BE49-F238E27FC236}">
              <a16:creationId xmlns:a16="http://schemas.microsoft.com/office/drawing/2014/main" id="{8AD6A5FC-336A-811B-9B17-F5ACCBDBFB9C}"/>
            </a:ext>
          </a:extLst>
        </xdr:cNvPr>
        <xdr:cNvSpPr txBox="1"/>
      </xdr:nvSpPr>
      <xdr:spPr>
        <a:xfrm>
          <a:off x="12700" y="1187450"/>
          <a:ext cx="1358900" cy="571500"/>
        </a:xfrm>
        <a:prstGeom prst="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rPr>
            <a:t>Total Orders</a:t>
          </a:r>
          <a:endParaRPr lang="en-US" sz="11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endParaRPr>
        </a:p>
        <a:p>
          <a:pPr algn="ctr"/>
          <a:fld id="{71078A49-40E4-4E80-AFE3-3690F8DF8877}" type="TxLink">
            <a:rPr lang="en-US" sz="14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rPr>
            <a:t>500</a:t>
          </a:fld>
          <a:endParaRPr lang="en-US" sz="1400">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2</xdr:col>
      <xdr:colOff>6350</xdr:colOff>
      <xdr:row>2</xdr:row>
      <xdr:rowOff>101600</xdr:rowOff>
    </xdr:from>
    <xdr:ext cx="1358900" cy="571500"/>
    <xdr:sp macro="" textlink="KPI_Engine!B11">
      <xdr:nvSpPr>
        <xdr:cNvPr id="9" name="TextBox 8">
          <a:extLst>
            <a:ext uri="{FF2B5EF4-FFF2-40B4-BE49-F238E27FC236}">
              <a16:creationId xmlns:a16="http://schemas.microsoft.com/office/drawing/2014/main" id="{507ACA69-D3D7-42FF-BD7B-6C2620F18B02}"/>
            </a:ext>
          </a:extLst>
        </xdr:cNvPr>
        <xdr:cNvSpPr txBox="1"/>
      </xdr:nvSpPr>
      <xdr:spPr>
        <a:xfrm>
          <a:off x="1492250" y="1187450"/>
          <a:ext cx="1358900" cy="571500"/>
        </a:xfrm>
        <a:prstGeom prst="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a:solidFill>
                <a:schemeClr val="tx2"/>
              </a:solidFill>
              <a:latin typeface="Calibri" panose="020F0502020204030204" pitchFamily="34" charset="0"/>
              <a:ea typeface="Calibri" panose="020F0502020204030204" pitchFamily="34" charset="0"/>
              <a:cs typeface="Calibri" panose="020F0502020204030204" pitchFamily="34" charset="0"/>
            </a:rPr>
            <a:t>Avg Order Value</a:t>
          </a:r>
          <a:endParaRPr lang="en-US" sz="14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endParaRPr>
        </a:p>
        <a:p>
          <a:pPr algn="ctr"/>
          <a:fld id="{20FD2696-A08F-4480-AAAD-3B61A8F32655}" type="TxLink">
            <a:rPr lang="en-US" sz="14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rPr>
            <a:pPr algn="ctr"/>
            <a:t>₹85,401</a:t>
          </a:fld>
          <a:endParaRPr lang="en-US" sz="1400">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4</xdr:col>
      <xdr:colOff>0</xdr:colOff>
      <xdr:row>2</xdr:row>
      <xdr:rowOff>101600</xdr:rowOff>
    </xdr:from>
    <xdr:ext cx="1358900" cy="571500"/>
    <xdr:sp macro="" textlink="KPI_Engine!B5">
      <xdr:nvSpPr>
        <xdr:cNvPr id="10" name="TextBox 9">
          <a:extLst>
            <a:ext uri="{FF2B5EF4-FFF2-40B4-BE49-F238E27FC236}">
              <a16:creationId xmlns:a16="http://schemas.microsoft.com/office/drawing/2014/main" id="{9FB1E7EC-0869-4DC4-AB01-C677C969AC5F}"/>
            </a:ext>
          </a:extLst>
        </xdr:cNvPr>
        <xdr:cNvSpPr txBox="1"/>
      </xdr:nvSpPr>
      <xdr:spPr>
        <a:xfrm>
          <a:off x="2971800" y="1187450"/>
          <a:ext cx="1358900" cy="571500"/>
        </a:xfrm>
        <a:prstGeom prst="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a:solidFill>
                <a:schemeClr val="tx2"/>
              </a:solidFill>
              <a:latin typeface="Calibri" panose="020F0502020204030204" pitchFamily="34" charset="0"/>
              <a:ea typeface="Calibri" panose="020F0502020204030204" pitchFamily="34" charset="0"/>
              <a:cs typeface="Calibri" panose="020F0502020204030204" pitchFamily="34" charset="0"/>
            </a:rPr>
            <a:t>Total Revenue</a:t>
          </a:r>
          <a:endParaRPr lang="en-US" sz="10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endParaRPr>
        </a:p>
        <a:p>
          <a:pPr algn="ctr"/>
          <a:fld id="{142AC61B-2BC9-455D-BBBB-D4B6BFCC6F6A}" type="TxLink">
            <a:rPr lang="en-US" sz="14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rPr>
            <a:pPr algn="ctr"/>
            <a:t>₹28,096,782</a:t>
          </a:fld>
          <a:endParaRPr lang="en-US" sz="1100" b="1">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5</xdr:col>
      <xdr:colOff>736600</xdr:colOff>
      <xdr:row>2</xdr:row>
      <xdr:rowOff>101600</xdr:rowOff>
    </xdr:from>
    <xdr:ext cx="1358900" cy="571500"/>
    <xdr:sp macro="" textlink="KPI_Engine!B21">
      <xdr:nvSpPr>
        <xdr:cNvPr id="11" name="TextBox 10">
          <a:extLst>
            <a:ext uri="{FF2B5EF4-FFF2-40B4-BE49-F238E27FC236}">
              <a16:creationId xmlns:a16="http://schemas.microsoft.com/office/drawing/2014/main" id="{A096D0D3-8661-4AC6-B2FE-9802A37B63C5}"/>
            </a:ext>
          </a:extLst>
        </xdr:cNvPr>
        <xdr:cNvSpPr txBox="1"/>
      </xdr:nvSpPr>
      <xdr:spPr>
        <a:xfrm>
          <a:off x="4451350" y="1187450"/>
          <a:ext cx="1358900" cy="571500"/>
        </a:xfrm>
        <a:prstGeom prst="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a:solidFill>
                <a:schemeClr val="tx2"/>
              </a:solidFill>
              <a:latin typeface="Calibri" panose="020F0502020204030204" pitchFamily="34" charset="0"/>
              <a:ea typeface="Calibri" panose="020F0502020204030204" pitchFamily="34" charset="0"/>
              <a:cs typeface="Calibri" panose="020F0502020204030204" pitchFamily="34" charset="0"/>
            </a:rPr>
            <a:t>Total Profit</a:t>
          </a:r>
          <a:endParaRPr lang="en-US" sz="10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endParaRPr>
        </a:p>
        <a:p>
          <a:pPr algn="ctr"/>
          <a:fld id="{6C780ADC-DEDB-454E-9B80-05391EDC14BC}" type="TxLink">
            <a:rPr lang="en-US" sz="14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rPr>
            <a:pPr algn="ctr"/>
            <a:t>₹7,571,982</a:t>
          </a:fld>
          <a:endParaRPr lang="en-US" sz="1100" b="1">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7</xdr:col>
      <xdr:colOff>730250</xdr:colOff>
      <xdr:row>2</xdr:row>
      <xdr:rowOff>101600</xdr:rowOff>
    </xdr:from>
    <xdr:ext cx="1358900" cy="571500"/>
    <xdr:sp macro="" textlink="KPI_Engine!B22">
      <xdr:nvSpPr>
        <xdr:cNvPr id="12" name="TextBox 11">
          <a:extLst>
            <a:ext uri="{FF2B5EF4-FFF2-40B4-BE49-F238E27FC236}">
              <a16:creationId xmlns:a16="http://schemas.microsoft.com/office/drawing/2014/main" id="{EA538919-2BCF-4A03-AAFD-4F31FC2B55A1}"/>
            </a:ext>
          </a:extLst>
        </xdr:cNvPr>
        <xdr:cNvSpPr txBox="1"/>
      </xdr:nvSpPr>
      <xdr:spPr>
        <a:xfrm>
          <a:off x="5930900" y="1187450"/>
          <a:ext cx="1358900" cy="571500"/>
        </a:xfrm>
        <a:prstGeom prst="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a:solidFill>
                <a:schemeClr val="tx2"/>
              </a:solidFill>
              <a:latin typeface="Calibri" panose="020F0502020204030204" pitchFamily="34" charset="0"/>
              <a:ea typeface="Calibri" panose="020F0502020204030204" pitchFamily="34" charset="0"/>
              <a:cs typeface="Calibri" panose="020F0502020204030204" pitchFamily="34" charset="0"/>
            </a:rPr>
            <a:t>Profit Margin %</a:t>
          </a:r>
          <a:endParaRPr lang="en-US" sz="10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endParaRPr>
        </a:p>
        <a:p>
          <a:pPr algn="ctr"/>
          <a:fld id="{CB85F791-B580-48C3-9274-445FFBA3EBE9}" type="TxLink">
            <a:rPr lang="en-US" sz="14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rPr>
            <a:pPr algn="ctr"/>
            <a:t>26.9%</a:t>
          </a:fld>
          <a:endParaRPr lang="en-US" sz="1100" b="1">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9</xdr:col>
      <xdr:colOff>723900</xdr:colOff>
      <xdr:row>2</xdr:row>
      <xdr:rowOff>101600</xdr:rowOff>
    </xdr:from>
    <xdr:ext cx="1358900" cy="571500"/>
    <xdr:sp macro="" textlink="KPI_Engine!B36">
      <xdr:nvSpPr>
        <xdr:cNvPr id="13" name="TextBox 12">
          <a:extLst>
            <a:ext uri="{FF2B5EF4-FFF2-40B4-BE49-F238E27FC236}">
              <a16:creationId xmlns:a16="http://schemas.microsoft.com/office/drawing/2014/main" id="{3D2C4E1E-A9DF-45CB-859C-9CFE5C302F33}"/>
            </a:ext>
          </a:extLst>
        </xdr:cNvPr>
        <xdr:cNvSpPr txBox="1"/>
      </xdr:nvSpPr>
      <xdr:spPr>
        <a:xfrm>
          <a:off x="7410450" y="1187450"/>
          <a:ext cx="1358900" cy="571500"/>
        </a:xfrm>
        <a:prstGeom prst="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a:solidFill>
                <a:schemeClr val="tx2"/>
              </a:solidFill>
              <a:latin typeface="Calibri" panose="020F0502020204030204" pitchFamily="34" charset="0"/>
              <a:ea typeface="Calibri" panose="020F0502020204030204" pitchFamily="34" charset="0"/>
              <a:cs typeface="Calibri" panose="020F0502020204030204" pitchFamily="34" charset="0"/>
            </a:rPr>
            <a:t>Completion Rate</a:t>
          </a:r>
          <a:endParaRPr lang="en-US" sz="10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endParaRPr>
        </a:p>
        <a:p>
          <a:pPr algn="ctr"/>
          <a:fld id="{232FB8E2-8648-44D6-AB35-1129664E4574}" type="TxLink">
            <a:rPr lang="en-US" sz="14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rPr>
            <a:pPr algn="ctr"/>
            <a:t>65.8%</a:t>
          </a:fld>
          <a:endParaRPr lang="en-US" sz="1100" b="1">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11</xdr:col>
      <xdr:colOff>717550</xdr:colOff>
      <xdr:row>2</xdr:row>
      <xdr:rowOff>101600</xdr:rowOff>
    </xdr:from>
    <xdr:ext cx="1358900" cy="571500"/>
    <xdr:sp macro="" textlink="KPI_Engine!B74">
      <xdr:nvSpPr>
        <xdr:cNvPr id="14" name="TextBox 13">
          <a:extLst>
            <a:ext uri="{FF2B5EF4-FFF2-40B4-BE49-F238E27FC236}">
              <a16:creationId xmlns:a16="http://schemas.microsoft.com/office/drawing/2014/main" id="{258EC58C-ADCC-414E-82FF-F3CF6CD47C73}"/>
            </a:ext>
          </a:extLst>
        </xdr:cNvPr>
        <xdr:cNvSpPr txBox="1"/>
      </xdr:nvSpPr>
      <xdr:spPr>
        <a:xfrm>
          <a:off x="8890000" y="1187450"/>
          <a:ext cx="1358900" cy="571500"/>
        </a:xfrm>
        <a:prstGeom prst="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a:solidFill>
                <a:schemeClr val="tx2"/>
              </a:solidFill>
              <a:latin typeface="Calibri" panose="020F0502020204030204" pitchFamily="34" charset="0"/>
              <a:ea typeface="Calibri" panose="020F0502020204030204" pitchFamily="34" charset="0"/>
              <a:cs typeface="Calibri" panose="020F0502020204030204" pitchFamily="34" charset="0"/>
            </a:rPr>
            <a:t>Win Rate</a:t>
          </a:r>
          <a:endParaRPr lang="en-US" sz="10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endParaRPr>
        </a:p>
        <a:p>
          <a:pPr algn="ctr"/>
          <a:fld id="{49832618-FC97-4E05-865C-492944E98992}" type="TxLink">
            <a:rPr lang="en-US" sz="14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rPr>
            <a:pPr algn="ctr"/>
            <a:t>45.8%</a:t>
          </a:fld>
          <a:endParaRPr lang="en-US" sz="1100" b="1">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13</xdr:col>
      <xdr:colOff>711200</xdr:colOff>
      <xdr:row>2</xdr:row>
      <xdr:rowOff>101600</xdr:rowOff>
    </xdr:from>
    <xdr:ext cx="1358900" cy="571500"/>
    <xdr:sp macro="" textlink="KPI_Engine!B19">
      <xdr:nvSpPr>
        <xdr:cNvPr id="15" name="TextBox 14">
          <a:extLst>
            <a:ext uri="{FF2B5EF4-FFF2-40B4-BE49-F238E27FC236}">
              <a16:creationId xmlns:a16="http://schemas.microsoft.com/office/drawing/2014/main" id="{B2E83626-C8FE-4F74-9D3A-66FE1BC17C11}"/>
            </a:ext>
          </a:extLst>
        </xdr:cNvPr>
        <xdr:cNvSpPr txBox="1"/>
      </xdr:nvSpPr>
      <xdr:spPr>
        <a:xfrm>
          <a:off x="10369550" y="1187450"/>
          <a:ext cx="1358900" cy="571500"/>
        </a:xfrm>
        <a:prstGeom prst="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a:solidFill>
                <a:schemeClr val="tx2"/>
              </a:solidFill>
              <a:latin typeface="Calibri" panose="020F0502020204030204" pitchFamily="34" charset="0"/>
              <a:ea typeface="Calibri" panose="020F0502020204030204" pitchFamily="34" charset="0"/>
              <a:cs typeface="Calibri" panose="020F0502020204030204" pitchFamily="34" charset="0"/>
            </a:rPr>
            <a:t>Top Region</a:t>
          </a:r>
          <a:endParaRPr lang="en-US" sz="10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endParaRPr>
        </a:p>
        <a:p>
          <a:pPr algn="ctr"/>
          <a:fld id="{B554CF12-F24F-45B8-9541-89C511642ACD}" type="TxLink">
            <a:rPr lang="en-US" sz="1400" b="1" i="0" u="none" strike="noStrike">
              <a:solidFill>
                <a:schemeClr val="tx2"/>
              </a:solidFill>
              <a:latin typeface="Calibri" panose="020F0502020204030204" pitchFamily="34" charset="0"/>
              <a:ea typeface="Calibri" panose="020F0502020204030204" pitchFamily="34" charset="0"/>
              <a:cs typeface="Calibri" panose="020F0502020204030204" pitchFamily="34" charset="0"/>
            </a:rPr>
            <a:pPr algn="ctr"/>
            <a:t>North</a:t>
          </a:fld>
          <a:endParaRPr lang="en-US" sz="1100" b="1">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editAs="oneCell">
    <xdr:from>
      <xdr:col>4</xdr:col>
      <xdr:colOff>137583</xdr:colOff>
      <xdr:row>1</xdr:row>
      <xdr:rowOff>0</xdr:rowOff>
    </xdr:from>
    <xdr:to>
      <xdr:col>7</xdr:col>
      <xdr:colOff>683683</xdr:colOff>
      <xdr:row>2</xdr:row>
      <xdr:rowOff>31750</xdr:rowOff>
    </xdr:to>
    <mc:AlternateContent xmlns:mc="http://schemas.openxmlformats.org/markup-compatibility/2006">
      <mc:Choice xmlns:a14="http://schemas.microsoft.com/office/drawing/2010/main" Requires="a14">
        <xdr:graphicFrame macro="">
          <xdr:nvGraphicFramePr>
            <xdr:cNvPr id="6" name="Status">
              <a:extLst>
                <a:ext uri="{FF2B5EF4-FFF2-40B4-BE49-F238E27FC236}">
                  <a16:creationId xmlns:a16="http://schemas.microsoft.com/office/drawing/2014/main" id="{E3F3FF3B-AC94-403C-16AD-AEB492E0620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3113012" y="574524"/>
              <a:ext cx="2777671" cy="545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260350</xdr:colOff>
      <xdr:row>1</xdr:row>
      <xdr:rowOff>0</xdr:rowOff>
    </xdr:from>
    <xdr:to>
      <xdr:col>15</xdr:col>
      <xdr:colOff>584200</xdr:colOff>
      <xdr:row>2</xdr:row>
      <xdr:rowOff>25400</xdr:rowOff>
    </xdr:to>
    <mc:AlternateContent xmlns:mc="http://schemas.openxmlformats.org/markup-compatibility/2006">
      <mc:Choice xmlns:a14="http://schemas.microsoft.com/office/drawing/2010/main" Requires="a14">
        <xdr:graphicFrame macro="">
          <xdr:nvGraphicFramePr>
            <xdr:cNvPr id="7" name="Channel">
              <a:extLst>
                <a:ext uri="{FF2B5EF4-FFF2-40B4-BE49-F238E27FC236}">
                  <a16:creationId xmlns:a16="http://schemas.microsoft.com/office/drawing/2014/main" id="{4241817D-9AC3-735E-6932-F6494AC4BC4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7698921" y="574524"/>
              <a:ext cx="4043136" cy="539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1</xdr:row>
      <xdr:rowOff>0</xdr:rowOff>
    </xdr:from>
    <xdr:to>
      <xdr:col>4</xdr:col>
      <xdr:colOff>152400</xdr:colOff>
      <xdr:row>2</xdr:row>
      <xdr:rowOff>38100</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FEEFAC22-B100-C5C4-33E5-4F0A9FBBA8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50" y="574524"/>
              <a:ext cx="3121479" cy="552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681566</xdr:colOff>
      <xdr:row>1</xdr:row>
      <xdr:rowOff>0</xdr:rowOff>
    </xdr:from>
    <xdr:to>
      <xdr:col>10</xdr:col>
      <xdr:colOff>268816</xdr:colOff>
      <xdr:row>2</xdr:row>
      <xdr:rowOff>31750</xdr:rowOff>
    </xdr:to>
    <mc:AlternateContent xmlns:mc="http://schemas.openxmlformats.org/markup-compatibility/2006">
      <mc:Choice xmlns:a14="http://schemas.microsoft.com/office/drawing/2010/main" Requires="a14">
        <xdr:graphicFrame macro="">
          <xdr:nvGraphicFramePr>
            <xdr:cNvPr id="17" name="OrderYear">
              <a:extLst>
                <a:ext uri="{FF2B5EF4-FFF2-40B4-BE49-F238E27FC236}">
                  <a16:creationId xmlns:a16="http://schemas.microsoft.com/office/drawing/2014/main" id="{C6DE367E-2AFA-9C39-3F45-D87437147FD0}"/>
                </a:ext>
              </a:extLst>
            </xdr:cNvPr>
            <xdr:cNvGraphicFramePr/>
          </xdr:nvGraphicFramePr>
          <xdr:xfrm>
            <a:off x="0" y="0"/>
            <a:ext cx="0" cy="0"/>
          </xdr:xfrm>
          <a:graphic>
            <a:graphicData uri="http://schemas.microsoft.com/office/drawing/2010/slicer">
              <sle:slicer xmlns:sle="http://schemas.microsoft.com/office/drawing/2010/slicer" name="OrderYear"/>
            </a:graphicData>
          </a:graphic>
        </xdr:graphicFrame>
      </mc:Choice>
      <mc:Fallback>
        <xdr:sp macro="" textlink="">
          <xdr:nvSpPr>
            <xdr:cNvPr id="0" name=""/>
            <xdr:cNvSpPr>
              <a:spLocks noTextEdit="1"/>
            </xdr:cNvSpPr>
          </xdr:nvSpPr>
          <xdr:spPr>
            <a:xfrm>
              <a:off x="5888566" y="574524"/>
              <a:ext cx="1818821" cy="545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349250</xdr:rowOff>
    </xdr:from>
    <xdr:to>
      <xdr:col>7</xdr:col>
      <xdr:colOff>196850</xdr:colOff>
      <xdr:row>12</xdr:row>
      <xdr:rowOff>184150</xdr:rowOff>
    </xdr:to>
    <xdr:graphicFrame macro="">
      <xdr:nvGraphicFramePr>
        <xdr:cNvPr id="18" name="Revenue &amp; Profit by Region">
          <a:extLst>
            <a:ext uri="{FF2B5EF4-FFF2-40B4-BE49-F238E27FC236}">
              <a16:creationId xmlns:a16="http://schemas.microsoft.com/office/drawing/2014/main" id="{CED1D7BD-8DB4-492B-A44B-9CE0D9C55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330200</xdr:colOff>
      <xdr:row>3</xdr:row>
      <xdr:rowOff>349251</xdr:rowOff>
    </xdr:from>
    <xdr:to>
      <xdr:col>15</xdr:col>
      <xdr:colOff>577850</xdr:colOff>
      <xdr:row>12</xdr:row>
      <xdr:rowOff>190501</xdr:rowOff>
    </xdr:to>
    <xdr:graphicFrame macro="">
      <xdr:nvGraphicFramePr>
        <xdr:cNvPr id="19" name="Chart 18">
          <a:extLst>
            <a:ext uri="{FF2B5EF4-FFF2-40B4-BE49-F238E27FC236}">
              <a16:creationId xmlns:a16="http://schemas.microsoft.com/office/drawing/2014/main" id="{36BE2BD8-1C6B-4F80-A9C6-0199A0523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6351</xdr:colOff>
      <xdr:row>13</xdr:row>
      <xdr:rowOff>127001</xdr:rowOff>
    </xdr:from>
    <xdr:to>
      <xdr:col>7</xdr:col>
      <xdr:colOff>196850</xdr:colOff>
      <xdr:row>27</xdr:row>
      <xdr:rowOff>95250</xdr:rowOff>
    </xdr:to>
    <xdr:graphicFrame macro="">
      <xdr:nvGraphicFramePr>
        <xdr:cNvPr id="20" name="Chart 19">
          <a:extLst>
            <a:ext uri="{FF2B5EF4-FFF2-40B4-BE49-F238E27FC236}">
              <a16:creationId xmlns:a16="http://schemas.microsoft.com/office/drawing/2014/main" id="{3A630773-199E-43D8-A942-A62E3B352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323850</xdr:colOff>
      <xdr:row>13</xdr:row>
      <xdr:rowOff>127000</xdr:rowOff>
    </xdr:from>
    <xdr:to>
      <xdr:col>15</xdr:col>
      <xdr:colOff>571500</xdr:colOff>
      <xdr:row>27</xdr:row>
      <xdr:rowOff>88900</xdr:rowOff>
    </xdr:to>
    <xdr:graphicFrame macro="">
      <xdr:nvGraphicFramePr>
        <xdr:cNvPr id="21" name="Chart 20">
          <a:extLst>
            <a:ext uri="{FF2B5EF4-FFF2-40B4-BE49-F238E27FC236}">
              <a16:creationId xmlns:a16="http://schemas.microsoft.com/office/drawing/2014/main" id="{67FF152D-5B06-46AE-8F67-1CC897228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8</xdr:col>
      <xdr:colOff>457200</xdr:colOff>
      <xdr:row>43</xdr:row>
      <xdr:rowOff>38100</xdr:rowOff>
    </xdr:to>
    <xdr:graphicFrame macro="">
      <xdr:nvGraphicFramePr>
        <xdr:cNvPr id="22" name="Chart 21">
          <a:extLst>
            <a:ext uri="{FF2B5EF4-FFF2-40B4-BE49-F238E27FC236}">
              <a16:creationId xmlns:a16="http://schemas.microsoft.com/office/drawing/2014/main" id="{8612D924-19B3-46EC-AE8C-931CCD743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8</xdr:col>
      <xdr:colOff>647700</xdr:colOff>
      <xdr:row>28</xdr:row>
      <xdr:rowOff>12700</xdr:rowOff>
    </xdr:from>
    <xdr:ext cx="5137150" cy="1125693"/>
    <xdr:sp macro="" textlink="">
      <xdr:nvSpPr>
        <xdr:cNvPr id="23" name="TextBox 22">
          <a:extLst>
            <a:ext uri="{FF2B5EF4-FFF2-40B4-BE49-F238E27FC236}">
              <a16:creationId xmlns:a16="http://schemas.microsoft.com/office/drawing/2014/main" id="{D71B2B36-EEA8-6863-3E54-DFF80E9ABE33}"/>
            </a:ext>
          </a:extLst>
        </xdr:cNvPr>
        <xdr:cNvSpPr txBox="1"/>
      </xdr:nvSpPr>
      <xdr:spPr>
        <a:xfrm>
          <a:off x="6591300" y="8439150"/>
          <a:ext cx="5137150" cy="1125693"/>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bg2"/>
              </a:solidFill>
            </a:rPr>
            <a:t>KEY INSIGHTS:</a:t>
          </a:r>
          <a:r>
            <a:rPr lang="en-US" sz="1100">
              <a:solidFill>
                <a:schemeClr val="bg2"/>
              </a:solidFill>
            </a:rPr>
            <a:t>  </a:t>
          </a:r>
          <a:br>
            <a:rPr lang="en-US" sz="1100">
              <a:solidFill>
                <a:schemeClr val="bg2"/>
              </a:solidFill>
            </a:rPr>
          </a:br>
          <a:r>
            <a:rPr lang="en-US" sz="1100">
              <a:solidFill>
                <a:schemeClr val="bg2"/>
              </a:solidFill>
            </a:rPr>
            <a:t>- </a:t>
          </a:r>
          <a:r>
            <a:rPr lang="en-US" sz="1100" b="1">
              <a:solidFill>
                <a:schemeClr val="bg2"/>
              </a:solidFill>
            </a:rPr>
            <a:t>North</a:t>
          </a:r>
          <a:r>
            <a:rPr lang="en-US" sz="1100">
              <a:solidFill>
                <a:schemeClr val="bg2"/>
              </a:solidFill>
            </a:rPr>
            <a:t> leads revenue at </a:t>
          </a:r>
          <a:r>
            <a:rPr lang="en-US" sz="1100" b="1">
              <a:solidFill>
                <a:schemeClr val="bg2"/>
              </a:solidFill>
            </a:rPr>
            <a:t>₹1.45 Cr</a:t>
          </a:r>
          <a:r>
            <a:rPr lang="en-US" sz="1100">
              <a:solidFill>
                <a:schemeClr val="bg2"/>
              </a:solidFill>
            </a:rPr>
            <a:t> (34% share) </a:t>
          </a:r>
        </a:p>
        <a:p>
          <a:r>
            <a:rPr lang="en-US" sz="1100">
              <a:solidFill>
                <a:schemeClr val="bg2"/>
              </a:solidFill>
            </a:rPr>
            <a:t>-</a:t>
          </a:r>
          <a:r>
            <a:rPr lang="en-US" sz="1100" baseline="0">
              <a:solidFill>
                <a:schemeClr val="bg2"/>
              </a:solidFill>
            </a:rPr>
            <a:t> </a:t>
          </a:r>
          <a:r>
            <a:rPr lang="en-US" sz="1100">
              <a:solidFill>
                <a:schemeClr val="bg2"/>
              </a:solidFill>
            </a:rPr>
            <a:t>Profit margin stable at </a:t>
          </a:r>
          <a:r>
            <a:rPr lang="en-US" sz="1100" b="1">
              <a:solidFill>
                <a:schemeClr val="bg2"/>
              </a:solidFill>
            </a:rPr>
            <a:t>26.9%</a:t>
          </a:r>
          <a:r>
            <a:rPr lang="en-US" sz="1100">
              <a:solidFill>
                <a:schemeClr val="bg2"/>
              </a:solidFill>
            </a:rPr>
            <a:t>  </a:t>
          </a:r>
        </a:p>
        <a:p>
          <a:r>
            <a:rPr lang="en-US" sz="1100">
              <a:solidFill>
                <a:schemeClr val="bg2"/>
              </a:solidFill>
            </a:rPr>
            <a:t>-</a:t>
          </a:r>
          <a:r>
            <a:rPr lang="en-US" sz="1100" baseline="0">
              <a:solidFill>
                <a:schemeClr val="bg2"/>
              </a:solidFill>
            </a:rPr>
            <a:t> </a:t>
          </a:r>
          <a:r>
            <a:rPr lang="en-US" sz="1100">
              <a:solidFill>
                <a:schemeClr val="bg2"/>
              </a:solidFill>
            </a:rPr>
            <a:t>Top rep: </a:t>
          </a:r>
          <a:r>
            <a:rPr lang="en-US" sz="1100" b="1">
              <a:solidFill>
                <a:schemeClr val="bg2"/>
              </a:solidFill>
            </a:rPr>
            <a:t>Anita Banerjee</a:t>
          </a:r>
          <a:r>
            <a:rPr lang="en-US" sz="1100">
              <a:solidFill>
                <a:schemeClr val="bg2"/>
              </a:solidFill>
            </a:rPr>
            <a:t> </a:t>
          </a:r>
          <a:r>
            <a:rPr lang="en-US" sz="1100" b="1">
              <a:solidFill>
                <a:schemeClr val="bg2"/>
              </a:solidFill>
            </a:rPr>
            <a:t>₹34.2L</a:t>
          </a:r>
          <a:r>
            <a:rPr lang="en-US" sz="1100">
              <a:solidFill>
                <a:schemeClr val="bg2"/>
              </a:solidFill>
            </a:rPr>
            <a:t> deal value</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bg2"/>
              </a:solidFill>
            </a:rPr>
            <a:t>-</a:t>
          </a:r>
          <a:r>
            <a:rPr lang="en-US" sz="1100" baseline="0">
              <a:solidFill>
                <a:schemeClr val="bg2"/>
              </a:solidFill>
            </a:rPr>
            <a:t> </a:t>
          </a:r>
          <a:r>
            <a:rPr lang="en-US" sz="1100" b="1" i="0">
              <a:solidFill>
                <a:schemeClr val="bg2"/>
              </a:solidFill>
              <a:effectLst/>
              <a:latin typeface="+mn-lt"/>
              <a:ea typeface="+mn-ea"/>
              <a:cs typeface="+mn-cs"/>
            </a:rPr>
            <a:t>Social Media </a:t>
          </a:r>
          <a:r>
            <a:rPr lang="en-US" sz="1100" b="0" i="0">
              <a:solidFill>
                <a:schemeClr val="bg2"/>
              </a:solidFill>
              <a:effectLst/>
              <a:latin typeface="+mn-lt"/>
              <a:ea typeface="+mn-ea"/>
              <a:cs typeface="+mn-cs"/>
            </a:rPr>
            <a:t>drives the highest revenue share at </a:t>
          </a:r>
          <a:r>
            <a:rPr lang="en-US" sz="1100" b="1" i="0">
              <a:solidFill>
                <a:schemeClr val="bg2"/>
              </a:solidFill>
              <a:effectLst/>
              <a:latin typeface="+mn-lt"/>
              <a:ea typeface="+mn-ea"/>
              <a:cs typeface="+mn-cs"/>
            </a:rPr>
            <a:t>23%</a:t>
          </a:r>
          <a:endParaRPr lang="en-US" sz="1100">
            <a:solidFill>
              <a:schemeClr val="bg2"/>
            </a:solidFill>
          </a:endParaRPr>
        </a:p>
        <a:p>
          <a:r>
            <a:rPr lang="en-US" sz="1100">
              <a:solidFill>
                <a:schemeClr val="bg2"/>
              </a:solidFill>
            </a:rPr>
            <a:t>-</a:t>
          </a:r>
          <a:r>
            <a:rPr lang="en-US" sz="1100" baseline="0">
              <a:solidFill>
                <a:schemeClr val="bg2"/>
              </a:solidFill>
            </a:rPr>
            <a:t> </a:t>
          </a:r>
          <a:r>
            <a:rPr lang="en-US" sz="1100">
              <a:solidFill>
                <a:schemeClr val="bg2"/>
              </a:solidFill>
            </a:rPr>
            <a:t>Win rate: </a:t>
          </a:r>
          <a:r>
            <a:rPr lang="en-US" sz="1100" b="1">
              <a:solidFill>
                <a:schemeClr val="bg2"/>
              </a:solidFill>
            </a:rPr>
            <a:t>45.8%</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d Atir" refreshedDate="46129.413767824073" createdVersion="8" refreshedVersion="8" minRefreshableVersion="3" recordCount="500" xr:uid="{A9F8C5F2-2BF2-4B28-9E44-FEB12CFC7EAE}">
  <cacheSource type="worksheet">
    <worksheetSource name="sales_reps"/>
  </cacheSource>
  <cacheFields count="27">
    <cacheField name="SalesRepID" numFmtId="0">
      <sharedItems/>
    </cacheField>
    <cacheField name="RepName" numFmtId="0">
      <sharedItems count="47">
        <s v="Meena Singh"/>
        <s v="Suresh Joshi"/>
        <s v="Harish Bose"/>
        <s v="Manoj Lal"/>
        <s v="Anita Banerjee"/>
        <s v="Manoj Rastogi"/>
        <s v="Manoj Saxena"/>
        <s v="Karan Agarwal"/>
        <s v="Sneha Tiwari"/>
        <s v="Kavita Patel"/>
        <s v="Anita Ghosh"/>
        <s v="Sanjay Reddy"/>
        <s v="Sanjay Rastogi"/>
        <s v="Anita Agarwal"/>
        <s v="Rohit Kumar"/>
        <s v="Deepak Roy"/>
        <s v="Deepak Iyer"/>
        <s v="Meena Agarwal"/>
        <s v="Preeti Chopra"/>
        <s v="Karan Malhotra"/>
        <s v="Swati Chopra"/>
        <s v="Amit Nair"/>
        <s v="Arun Sharma"/>
        <s v="Anita Joshi"/>
        <s v="Kavita Mehta"/>
        <s v="Pooja Kumar"/>
        <s v="Manish Kumar"/>
        <s v="Seema Chopra"/>
        <s v="Jyoti Chopra"/>
        <s v="Sunita Mehta"/>
        <s v="Karan Gupta"/>
        <s v="Manish Pillai"/>
        <s v="Preeti Mehta"/>
        <s v="Arjun Rao"/>
        <s v="Preeti Pandey"/>
        <s v="Kavita Kumar"/>
        <s v="Preeti Rao"/>
        <s v="Manish Banerjee"/>
        <s v="Amit Mehta"/>
        <s v="Gaurav Iyer"/>
        <s v="Sunita Sen"/>
        <s v="Jyoti Sharma"/>
        <s v="Suresh Verma"/>
        <s v="Usha Rao"/>
        <s v="Jyoti Dubey"/>
        <s v="Vikram Chopra"/>
        <s v="Neha Patel"/>
      </sharedItems>
    </cacheField>
    <cacheField name="FirstName" numFmtId="0">
      <sharedItems/>
    </cacheField>
    <cacheField name="LastName" numFmtId="0">
      <sharedItems/>
    </cacheField>
    <cacheField name="Email" numFmtId="0">
      <sharedItems/>
    </cacheField>
    <cacheField name="Phone" numFmtId="0">
      <sharedItems containsSemiMixedTypes="0" containsString="0" containsNumber="1" containsInteger="1" minValue="9616735966" maxValue="9994691433"/>
    </cacheField>
    <cacheField name="Region" numFmtId="0">
      <sharedItems/>
    </cacheField>
    <cacheField name="Department" numFmtId="0">
      <sharedItems/>
    </cacheField>
    <cacheField name="Experience" numFmtId="0">
      <sharedItems/>
    </cacheField>
    <cacheField name="Education" numFmtId="0">
      <sharedItems/>
    </cacheField>
    <cacheField name="JoinDate" numFmtId="14">
      <sharedItems containsSemiMixedTypes="0" containsNonDate="0" containsDate="1" containsString="0" minDate="2018-04-09T00:00:00" maxDate="2023-12-27T00:00:00"/>
    </cacheField>
    <cacheField name="BaseSalary" numFmtId="0">
      <sharedItems containsSemiMixedTypes="0" containsString="0" containsNumber="1" containsInteger="1" minValue="25999" maxValue="79359"/>
    </cacheField>
    <cacheField name="DealDate" numFmtId="14">
      <sharedItems containsSemiMixedTypes="0" containsNonDate="0" containsDate="1" containsString="0" minDate="2022-01-01T00:00:00" maxDate="2025-01-01T00:00:00"/>
    </cacheField>
    <cacheField name="DealStage" numFmtId="0">
      <sharedItems/>
    </cacheField>
    <cacheField name="DealValue" numFmtId="0">
      <sharedItems containsSemiMixedTypes="0" containsString="0" containsNumber="1" containsInteger="1" minValue="5400" maxValue="250000"/>
    </cacheField>
    <cacheField name="CommissionRate" numFmtId="0">
      <sharedItems containsSemiMixedTypes="0" containsString="0" containsNumber="1" minValue="0.03" maxValue="0.12"/>
    </cacheField>
    <cacheField name="CommissionEarned" numFmtId="0">
      <sharedItems containsSemiMixedTypes="0" containsString="0" containsNumber="1" minValue="0" maxValue="28329"/>
    </cacheField>
    <cacheField name="LeadSource" numFmtId="0">
      <sharedItems/>
    </cacheField>
    <cacheField name="ProductCategory" numFmtId="0">
      <sharedItems/>
    </cacheField>
    <cacheField name="DayToClose" numFmtId="0">
      <sharedItems containsSemiMixedTypes="0" containsString="0" containsNumber="1" containsInteger="1" minValue="1" maxValue="90"/>
    </cacheField>
    <cacheField name="CustomerSize" numFmtId="0">
      <sharedItems/>
    </cacheField>
    <cacheField name="MonthlyTarget" numFmtId="0">
      <sharedItems containsSemiMixedTypes="0" containsString="0" containsNumber="1" minValue="33333.33" maxValue="41666.67"/>
    </cacheField>
    <cacheField name="MonthlyAchieved" numFmtId="0">
      <sharedItems containsSemiMixedTypes="0" containsString="0" containsNumber="1" minValue="5002" maxValue="321022.96000000002"/>
    </cacheField>
    <cacheField name="AttainmentPct" numFmtId="0">
      <sharedItems containsSemiMixedTypes="0" containsString="0" containsNumber="1" minValue="0.12" maxValue="9.1720000000000006"/>
    </cacheField>
    <cacheField name="PerformanceRating" numFmtId="0">
      <sharedItems/>
    </cacheField>
    <cacheField name="DealYear" numFmtId="0">
      <sharedItems containsSemiMixedTypes="0" containsString="0" containsNumber="1" containsInteger="1" minValue="2022" maxValue="2024"/>
    </cacheField>
    <cacheField name="IsWon"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d Atir" refreshedDate="46142.463983333335" createdVersion="8" refreshedVersion="8" minRefreshableVersion="3" recordCount="500" xr:uid="{894ADBC6-4B65-41FA-B388-6063B7EA291E}">
  <cacheSource type="worksheet">
    <worksheetSource name="orders"/>
  </cacheSource>
  <cacheFields count="30">
    <cacheField name="OrderID" numFmtId="0">
      <sharedItems/>
    </cacheField>
    <cacheField name="CustomerID" numFmtId="0">
      <sharedItems/>
    </cacheField>
    <cacheField name="ProductID" numFmtId="0">
      <sharedItems count="50">
        <s v="P0020"/>
        <s v="P0013"/>
        <s v="P0024"/>
        <s v="P0014"/>
        <s v="P0009"/>
        <s v="P0001"/>
        <s v="P0018"/>
        <s v="P0011"/>
        <s v="P0008"/>
        <s v="P0022"/>
        <s v="P0004"/>
        <s v="P0021"/>
        <s v="P0025"/>
        <s v="P0010"/>
        <s v="P0016"/>
        <s v="P0019"/>
        <s v="P0006"/>
        <s v="P0012"/>
        <s v="P0007"/>
        <s v="P0015"/>
        <s v="P0003"/>
        <s v="P0017"/>
        <s v="P0023"/>
        <s v="P0005"/>
        <s v="P0002"/>
        <s v="P020" u="1"/>
        <s v="P013" u="1"/>
        <s v="P024" u="1"/>
        <s v="P014" u="1"/>
        <s v="P009" u="1"/>
        <s v="P001" u="1"/>
        <s v="P018" u="1"/>
        <s v="P011" u="1"/>
        <s v="P008" u="1"/>
        <s v="P022" u="1"/>
        <s v="P004" u="1"/>
        <s v="P021" u="1"/>
        <s v="P025" u="1"/>
        <s v="P010" u="1"/>
        <s v="P016" u="1"/>
        <s v="P019" u="1"/>
        <s v="P006" u="1"/>
        <s v="P012" u="1"/>
        <s v="P007" u="1"/>
        <s v="P015" u="1"/>
        <s v="P003" u="1"/>
        <s v="P017" u="1"/>
        <s v="P023" u="1"/>
        <s v="P005" u="1"/>
        <s v="P002" u="1"/>
      </sharedItems>
    </cacheField>
    <cacheField name="YearMonth" numFmtId="0">
      <sharedItems/>
    </cacheField>
    <cacheField name="SalesRepID" numFmtId="0">
      <sharedItems/>
    </cacheField>
    <cacheField name="OrderDate" numFmtId="14">
      <sharedItems containsSemiMixedTypes="0" containsNonDate="0" containsDate="1" containsString="0" minDate="2022-01-04T00:00:00" maxDate="2024-12-31T00:00:00" count="410">
        <d v="2022-03-15T00:00:00"/>
        <d v="2023-02-15T00:00:00"/>
        <d v="2023-12-13T00:00:00"/>
        <d v="2022-05-29T00:00:00"/>
        <d v="2024-06-25T00:00:00"/>
        <d v="2022-08-27T00:00:00"/>
        <d v="2023-06-24T00:00:00"/>
        <d v="2023-03-24T00:00:00"/>
        <d v="2023-04-26T00:00:00"/>
        <d v="2022-11-16T00:00:00"/>
        <d v="2024-10-05T00:00:00"/>
        <d v="2022-09-20T00:00:00"/>
        <d v="2024-07-25T00:00:00"/>
        <d v="2024-01-11T00:00:00"/>
        <d v="2023-12-04T00:00:00"/>
        <d v="2024-07-12T00:00:00"/>
        <d v="2023-02-06T00:00:00"/>
        <d v="2024-09-23T00:00:00"/>
        <d v="2022-07-17T00:00:00"/>
        <d v="2022-02-10T00:00:00"/>
        <d v="2023-12-29T00:00:00"/>
        <d v="2022-12-10T00:00:00"/>
        <d v="2022-06-12T00:00:00"/>
        <d v="2023-07-10T00:00:00"/>
        <d v="2022-05-11T00:00:00"/>
        <d v="2022-06-22T00:00:00"/>
        <d v="2022-09-16T00:00:00"/>
        <d v="2023-07-12T00:00:00"/>
        <d v="2024-06-09T00:00:00"/>
        <d v="2024-06-23T00:00:00"/>
        <d v="2023-12-06T00:00:00"/>
        <d v="2022-01-15T00:00:00"/>
        <d v="2022-12-01T00:00:00"/>
        <d v="2024-11-24T00:00:00"/>
        <d v="2023-01-21T00:00:00"/>
        <d v="2023-01-20T00:00:00"/>
        <d v="2024-06-16T00:00:00"/>
        <d v="2023-12-02T00:00:00"/>
        <d v="2022-04-25T00:00:00"/>
        <d v="2022-01-26T00:00:00"/>
        <d v="2024-12-03T00:00:00"/>
        <d v="2022-03-28T00:00:00"/>
        <d v="2023-02-11T00:00:00"/>
        <d v="2022-09-03T00:00:00"/>
        <d v="2023-05-25T00:00:00"/>
        <d v="2022-08-08T00:00:00"/>
        <d v="2024-02-13T00:00:00"/>
        <d v="2023-01-24T00:00:00"/>
        <d v="2022-11-25T00:00:00"/>
        <d v="2023-01-15T00:00:00"/>
        <d v="2024-12-09T00:00:00"/>
        <d v="2023-10-22T00:00:00"/>
        <d v="2022-07-22T00:00:00"/>
        <d v="2022-05-26T00:00:00"/>
        <d v="2024-01-26T00:00:00"/>
        <d v="2022-06-09T00:00:00"/>
        <d v="2023-01-02T00:00:00"/>
        <d v="2024-07-28T00:00:00"/>
        <d v="2022-11-20T00:00:00"/>
        <d v="2024-04-24T00:00:00"/>
        <d v="2024-02-08T00:00:00"/>
        <d v="2022-03-12T00:00:00"/>
        <d v="2022-02-14T00:00:00"/>
        <d v="2022-07-13T00:00:00"/>
        <d v="2023-09-08T00:00:00"/>
        <d v="2024-09-26T00:00:00"/>
        <d v="2022-06-10T00:00:00"/>
        <d v="2024-02-23T00:00:00"/>
        <d v="2022-11-10T00:00:00"/>
        <d v="2022-09-28T00:00:00"/>
        <d v="2022-09-25T00:00:00"/>
        <d v="2023-05-12T00:00:00"/>
        <d v="2023-10-19T00:00:00"/>
        <d v="2022-04-02T00:00:00"/>
        <d v="2023-08-13T00:00:00"/>
        <d v="2023-02-22T00:00:00"/>
        <d v="2022-02-07T00:00:00"/>
        <d v="2022-04-19T00:00:00"/>
        <d v="2023-08-23T00:00:00"/>
        <d v="2024-09-19T00:00:00"/>
        <d v="2022-03-23T00:00:00"/>
        <d v="2024-03-03T00:00:00"/>
        <d v="2024-12-02T00:00:00"/>
        <d v="2023-10-02T00:00:00"/>
        <d v="2023-02-19T00:00:00"/>
        <d v="2023-01-13T00:00:00"/>
        <d v="2022-11-08T00:00:00"/>
        <d v="2023-04-21T00:00:00"/>
        <d v="2024-02-05T00:00:00"/>
        <d v="2022-01-31T00:00:00"/>
        <d v="2023-10-28T00:00:00"/>
        <d v="2024-11-23T00:00:00"/>
        <d v="2024-08-02T00:00:00"/>
        <d v="2022-07-05T00:00:00"/>
        <d v="2024-03-16T00:00:00"/>
        <d v="2023-05-28T00:00:00"/>
        <d v="2024-11-13T00:00:00"/>
        <d v="2023-11-18T00:00:00"/>
        <d v="2024-05-09T00:00:00"/>
        <d v="2024-07-18T00:00:00"/>
        <d v="2022-04-11T00:00:00"/>
        <d v="2023-11-10T00:00:00"/>
        <d v="2024-07-21T00:00:00"/>
        <d v="2024-01-25T00:00:00"/>
        <d v="2023-11-06T00:00:00"/>
        <d v="2024-12-19T00:00:00"/>
        <d v="2024-10-13T00:00:00"/>
        <d v="2023-02-01T00:00:00"/>
        <d v="2023-11-15T00:00:00"/>
        <d v="2023-09-07T00:00:00"/>
        <d v="2024-03-22T00:00:00"/>
        <d v="2024-08-29T00:00:00"/>
        <d v="2024-04-27T00:00:00"/>
        <d v="2022-02-08T00:00:00"/>
        <d v="2024-03-08T00:00:00"/>
        <d v="2023-05-02T00:00:00"/>
        <d v="2022-07-09T00:00:00"/>
        <d v="2023-11-02T00:00:00"/>
        <d v="2022-01-09T00:00:00"/>
        <d v="2022-02-16T00:00:00"/>
        <d v="2024-12-26T00:00:00"/>
        <d v="2023-02-28T00:00:00"/>
        <d v="2023-05-17T00:00:00"/>
        <d v="2022-04-14T00:00:00"/>
        <d v="2023-12-30T00:00:00"/>
        <d v="2022-07-19T00:00:00"/>
        <d v="2023-01-11T00:00:00"/>
        <d v="2022-08-20T00:00:00"/>
        <d v="2024-04-10T00:00:00"/>
        <d v="2024-03-31T00:00:00"/>
        <d v="2024-02-26T00:00:00"/>
        <d v="2022-12-21T00:00:00"/>
        <d v="2024-10-09T00:00:00"/>
        <d v="2022-10-28T00:00:00"/>
        <d v="2023-02-05T00:00:00"/>
        <d v="2022-09-19T00:00:00"/>
        <d v="2023-04-27T00:00:00"/>
        <d v="2024-08-30T00:00:00"/>
        <d v="2022-02-02T00:00:00"/>
        <d v="2023-01-04T00:00:00"/>
        <d v="2024-10-17T00:00:00"/>
        <d v="2022-03-10T00:00:00"/>
        <d v="2024-08-10T00:00:00"/>
        <d v="2022-05-06T00:00:00"/>
        <d v="2023-08-11T00:00:00"/>
        <d v="2023-06-11T00:00:00"/>
        <d v="2023-04-29T00:00:00"/>
        <d v="2024-02-24T00:00:00"/>
        <d v="2022-04-18T00:00:00"/>
        <d v="2022-07-21T00:00:00"/>
        <d v="2023-10-04T00:00:00"/>
        <d v="2024-07-02T00:00:00"/>
        <d v="2022-09-07T00:00:00"/>
        <d v="2022-08-16T00:00:00"/>
        <d v="2023-07-21T00:00:00"/>
        <d v="2022-05-04T00:00:00"/>
        <d v="2024-10-04T00:00:00"/>
        <d v="2023-05-29T00:00:00"/>
        <d v="2024-03-12T00:00:00"/>
        <d v="2022-05-24T00:00:00"/>
        <d v="2023-11-14T00:00:00"/>
        <d v="2022-06-14T00:00:00"/>
        <d v="2024-03-09T00:00:00"/>
        <d v="2022-02-21T00:00:00"/>
        <d v="2024-10-20T00:00:00"/>
        <d v="2022-10-17T00:00:00"/>
        <d v="2023-09-22T00:00:00"/>
        <d v="2022-05-10T00:00:00"/>
        <d v="2022-04-04T00:00:00"/>
        <d v="2022-12-11T00:00:00"/>
        <d v="2022-10-01T00:00:00"/>
        <d v="2023-08-05T00:00:00"/>
        <d v="2022-12-24T00:00:00"/>
        <d v="2023-12-14T00:00:00"/>
        <d v="2024-08-08T00:00:00"/>
        <d v="2024-10-15T00:00:00"/>
        <d v="2022-03-30T00:00:00"/>
        <d v="2023-04-17T00:00:00"/>
        <d v="2024-08-22T00:00:00"/>
        <d v="2022-12-31T00:00:00"/>
        <d v="2022-03-07T00:00:00"/>
        <d v="2024-05-06T00:00:00"/>
        <d v="2022-06-27T00:00:00"/>
        <d v="2023-05-23T00:00:00"/>
        <d v="2024-10-29T00:00:00"/>
        <d v="2024-04-12T00:00:00"/>
        <d v="2022-11-28T00:00:00"/>
        <d v="2023-01-14T00:00:00"/>
        <d v="2023-07-07T00:00:00"/>
        <d v="2023-11-19T00:00:00"/>
        <d v="2022-10-11T00:00:00"/>
        <d v="2023-07-22T00:00:00"/>
        <d v="2024-12-25T00:00:00"/>
        <d v="2022-10-31T00:00:00"/>
        <d v="2023-12-12T00:00:00"/>
        <d v="2024-04-23T00:00:00"/>
        <d v="2024-07-26T00:00:00"/>
        <d v="2022-11-27T00:00:00"/>
        <d v="2023-10-12T00:00:00"/>
        <d v="2024-10-19T00:00:00"/>
        <d v="2024-08-28T00:00:00"/>
        <d v="2022-08-28T00:00:00"/>
        <d v="2024-12-14T00:00:00"/>
        <d v="2024-11-14T00:00:00"/>
        <d v="2024-01-28T00:00:00"/>
        <d v="2023-03-18T00:00:00"/>
        <d v="2024-04-28T00:00:00"/>
        <d v="2022-07-01T00:00:00"/>
        <d v="2023-01-16T00:00:00"/>
        <d v="2023-04-05T00:00:00"/>
        <d v="2024-05-04T00:00:00"/>
        <d v="2024-09-11T00:00:00"/>
        <d v="2024-02-04T00:00:00"/>
        <d v="2023-10-17T00:00:00"/>
        <d v="2022-04-10T00:00:00"/>
        <d v="2023-10-23T00:00:00"/>
        <d v="2022-10-08T00:00:00"/>
        <d v="2023-03-23T00:00:00"/>
        <d v="2024-06-24T00:00:00"/>
        <d v="2023-04-01T00:00:00"/>
        <d v="2024-08-18T00:00:00"/>
        <d v="2023-02-14T00:00:00"/>
        <d v="2024-10-22T00:00:00"/>
        <d v="2024-01-21T00:00:00"/>
        <d v="2024-05-18T00:00:00"/>
        <d v="2024-10-12T00:00:00"/>
        <d v="2024-07-24T00:00:00"/>
        <d v="2023-01-22T00:00:00"/>
        <d v="2022-09-02T00:00:00"/>
        <d v="2023-07-14T00:00:00"/>
        <d v="2022-03-02T00:00:00"/>
        <d v="2022-11-09T00:00:00"/>
        <d v="2024-10-01T00:00:00"/>
        <d v="2024-05-31T00:00:00"/>
        <d v="2022-12-03T00:00:00"/>
        <d v="2024-09-01T00:00:00"/>
        <d v="2023-12-24T00:00:00"/>
        <d v="2023-11-30T00:00:00"/>
        <d v="2023-11-23T00:00:00"/>
        <d v="2022-02-11T00:00:00"/>
        <d v="2022-07-20T00:00:00"/>
        <d v="2024-06-11T00:00:00"/>
        <d v="2023-04-08T00:00:00"/>
        <d v="2024-05-24T00:00:00"/>
        <d v="2024-04-03T00:00:00"/>
        <d v="2024-08-15T00:00:00"/>
        <d v="2022-11-05T00:00:00"/>
        <d v="2022-11-04T00:00:00"/>
        <d v="2023-02-18T00:00:00"/>
        <d v="2024-03-23T00:00:00"/>
        <d v="2024-12-04T00:00:00"/>
        <d v="2022-09-08T00:00:00"/>
        <d v="2024-06-19T00:00:00"/>
        <d v="2023-05-20T00:00:00"/>
        <d v="2022-04-22T00:00:00"/>
        <d v="2023-09-09T00:00:00"/>
        <d v="2022-03-11T00:00:00"/>
        <d v="2024-07-17T00:00:00"/>
        <d v="2022-01-07T00:00:00"/>
        <d v="2024-04-20T00:00:00"/>
        <d v="2022-07-02T00:00:00"/>
        <d v="2023-01-26T00:00:00"/>
        <d v="2024-07-27T00:00:00"/>
        <d v="2023-06-09T00:00:00"/>
        <d v="2022-01-11T00:00:00"/>
        <d v="2023-01-03T00:00:00"/>
        <d v="2022-10-18T00:00:00"/>
        <d v="2024-10-03T00:00:00"/>
        <d v="2023-06-17T00:00:00"/>
        <d v="2023-03-11T00:00:00"/>
        <d v="2024-03-18T00:00:00"/>
        <d v="2023-10-24T00:00:00"/>
        <d v="2024-06-04T00:00:00"/>
        <d v="2024-09-29T00:00:00"/>
        <d v="2024-05-22T00:00:00"/>
        <d v="2023-08-19T00:00:00"/>
        <d v="2023-08-29T00:00:00"/>
        <d v="2024-04-25T00:00:00"/>
        <d v="2024-07-10T00:00:00"/>
        <d v="2022-08-06T00:00:00"/>
        <d v="2024-04-09T00:00:00"/>
        <d v="2024-03-19T00:00:00"/>
        <d v="2023-03-05T00:00:00"/>
        <d v="2022-03-17T00:00:00"/>
        <d v="2022-02-12T00:00:00"/>
        <d v="2024-08-17T00:00:00"/>
        <d v="2024-09-15T00:00:00"/>
        <d v="2022-04-07T00:00:00"/>
        <d v="2023-07-02T00:00:00"/>
        <d v="2022-03-27T00:00:00"/>
        <d v="2022-11-18T00:00:00"/>
        <d v="2024-01-15T00:00:00"/>
        <d v="2024-01-09T00:00:00"/>
        <d v="2024-05-28T00:00:00"/>
        <d v="2022-06-23T00:00:00"/>
        <d v="2022-04-29T00:00:00"/>
        <d v="2023-10-05T00:00:00"/>
        <d v="2023-12-09T00:00:00"/>
        <d v="2024-05-15T00:00:00"/>
        <d v="2022-09-11T00:00:00"/>
        <d v="2023-12-19T00:00:00"/>
        <d v="2024-01-10T00:00:00"/>
        <d v="2023-03-16T00:00:00"/>
        <d v="2024-10-18T00:00:00"/>
        <d v="2022-10-23T00:00:00"/>
        <d v="2023-03-12T00:00:00"/>
        <d v="2022-09-05T00:00:00"/>
        <d v="2023-08-26T00:00:00"/>
        <d v="2022-01-05T00:00:00"/>
        <d v="2023-10-29T00:00:00"/>
        <d v="2023-07-23T00:00:00"/>
        <d v="2023-02-26T00:00:00"/>
        <d v="2022-02-17T00:00:00"/>
        <d v="2022-07-23T00:00:00"/>
        <d v="2022-11-12T00:00:00"/>
        <d v="2023-10-18T00:00:00"/>
        <d v="2024-10-06T00:00:00"/>
        <d v="2024-04-13T00:00:00"/>
        <d v="2022-10-19T00:00:00"/>
        <d v="2023-08-16T00:00:00"/>
        <d v="2024-02-18T00:00:00"/>
        <d v="2023-12-03T00:00:00"/>
        <d v="2023-03-08T00:00:00"/>
        <d v="2022-12-22T00:00:00"/>
        <d v="2022-09-10T00:00:00"/>
        <d v="2023-01-31T00:00:00"/>
        <d v="2023-03-29T00:00:00"/>
        <d v="2023-01-28T00:00:00"/>
        <d v="2024-10-11T00:00:00"/>
        <d v="2024-03-13T00:00:00"/>
        <d v="2023-02-08T00:00:00"/>
        <d v="2024-06-17T00:00:00"/>
        <d v="2022-04-17T00:00:00"/>
        <d v="2022-08-10T00:00:00"/>
        <d v="2024-09-12T00:00:00"/>
        <d v="2024-08-19T00:00:00"/>
        <d v="2022-04-28T00:00:00"/>
        <d v="2023-01-23T00:00:00"/>
        <d v="2023-09-06T00:00:00"/>
        <d v="2022-01-14T00:00:00"/>
        <d v="2024-01-08T00:00:00"/>
        <d v="2023-05-19T00:00:00"/>
        <d v="2023-11-25T00:00:00"/>
        <d v="2022-05-14T00:00:00"/>
        <d v="2023-05-16T00:00:00"/>
        <d v="2022-12-09T00:00:00"/>
        <d v="2023-07-04T00:00:00"/>
        <d v="2022-10-03T00:00:00"/>
        <d v="2023-08-01T00:00:00"/>
        <d v="2023-04-10T00:00:00"/>
        <d v="2024-02-07T00:00:00"/>
        <d v="2024-04-06T00:00:00"/>
        <d v="2022-10-12T00:00:00"/>
        <d v="2022-08-11T00:00:00"/>
        <d v="2022-02-24T00:00:00"/>
        <d v="2024-07-20T00:00:00"/>
        <d v="2024-09-06T00:00:00"/>
        <d v="2024-10-26T00:00:00"/>
        <d v="2024-03-28T00:00:00"/>
        <d v="2024-08-05T00:00:00"/>
        <d v="2024-03-11T00:00:00"/>
        <d v="2023-08-21T00:00:00"/>
        <d v="2024-08-04T00:00:00"/>
        <d v="2024-06-15T00:00:00"/>
        <d v="2024-12-30T00:00:00"/>
        <d v="2024-06-21T00:00:00"/>
        <d v="2024-03-10T00:00:00"/>
        <d v="2022-08-05T00:00:00"/>
        <d v="2023-03-27T00:00:00"/>
        <d v="2022-07-28T00:00:00"/>
        <d v="2022-09-30T00:00:00"/>
        <d v="2023-09-25T00:00:00"/>
        <d v="2022-11-07T00:00:00"/>
        <d v="2023-05-24T00:00:00"/>
        <d v="2022-05-13T00:00:00"/>
        <d v="2024-01-07T00:00:00"/>
        <d v="2024-09-14T00:00:00"/>
        <d v="2022-10-07T00:00:00"/>
        <d v="2022-09-12T00:00:00"/>
        <d v="2023-06-05T00:00:00"/>
        <d v="2024-11-27T00:00:00"/>
        <d v="2023-09-23T00:00:00"/>
        <d v="2023-07-05T00:00:00"/>
        <d v="2022-01-04T00:00:00"/>
        <d v="2023-01-17T00:00:00"/>
        <d v="2022-12-07T00:00:00"/>
        <d v="2024-09-05T00:00:00"/>
        <d v="2023-03-09T00:00:00"/>
        <d v="2024-09-22T00:00:00"/>
        <d v="2024-03-27T00:00:00"/>
        <d v="2024-11-20T00:00:00"/>
        <d v="2024-06-28T00:00:00"/>
        <d v="2024-02-28T00:00:00"/>
        <d v="2023-09-10T00:00:00"/>
        <d v="2023-05-09T00:00:00"/>
        <d v="2023-07-29T00:00:00"/>
        <d v="2024-02-12T00:00:00"/>
        <d v="2024-05-17T00:00:00"/>
        <d v="2022-01-19T00:00:00"/>
        <d v="2024-07-22T00:00:00"/>
        <d v="2023-07-15T00:00:00"/>
        <d v="2022-05-01T00:00:00"/>
        <d v="2022-04-21T00:00:00"/>
        <d v="2022-10-30T00:00:00"/>
        <d v="2024-11-21T00:00:00"/>
        <d v="2023-07-18T00:00:00"/>
        <d v="2024-09-28T00:00:00"/>
        <d v="2023-09-04T00:00:00"/>
        <d v="2022-08-29T00:00:00"/>
        <d v="2024-05-16T00:00:00"/>
      </sharedItems>
      <fieldGroup par="29"/>
    </cacheField>
    <cacheField name="ShipDate" numFmtId="14">
      <sharedItems containsNonDate="0" containsDate="1" containsString="0" containsBlank="1" minDate="2022-01-05T00:00:00" maxDate="2025-01-03T00:00:00"/>
    </cacheField>
    <cacheField name="DeliveryDate" numFmtId="14">
      <sharedItems containsNonDate="0" containsDate="1" containsString="0" containsBlank="1" minDate="2022-01-08T00:00:00" maxDate="2025-01-06T00:00:00"/>
    </cacheField>
    <cacheField name="Quantity" numFmtId="0">
      <sharedItems containsSemiMixedTypes="0" containsString="0" containsNumber="1" containsInteger="1" minValue="1" maxValue="5"/>
    </cacheField>
    <cacheField name="UnitPrice" numFmtId="0">
      <sharedItems containsSemiMixedTypes="0" containsString="0" containsNumber="1" containsInteger="1" minValue="1599" maxValue="114900"/>
    </cacheField>
    <cacheField name="Discount" numFmtId="0">
      <sharedItems containsSemiMixedTypes="0" containsString="0" containsNumber="1" containsInteger="1" minValue="0" maxValue="20"/>
    </cacheField>
    <cacheField name="DiscountAmount" numFmtId="0">
      <sharedItems containsSemiMixedTypes="0" containsString="0" containsNumber="1" minValue="0" maxValue="68940"/>
    </cacheField>
    <cacheField name="Revenue" numFmtId="0">
      <sharedItems containsSemiMixedTypes="0" containsString="0" containsNumber="1" minValue="1279.2" maxValue="545775"/>
    </cacheField>
    <cacheField name="Profit" numFmtId="0">
      <sharedItems containsSemiMixedTypes="0" containsString="0" containsNumber="1" minValue="479.2" maxValue="124995"/>
    </cacheField>
    <cacheField name="Status" numFmtId="0">
      <sharedItems count="3">
        <s v="Completed"/>
        <s v="Pending"/>
        <s v="Cancelled"/>
      </sharedItems>
    </cacheField>
    <cacheField name="PaymentMethod" numFmtId="0">
      <sharedItems count="6">
        <s v="UPI"/>
        <s v="Credit Card"/>
        <s v="Cash on Delivery"/>
        <s v="Net Banking"/>
        <s v="EMI"/>
        <s v="Debit Card"/>
      </sharedItems>
    </cacheField>
    <cacheField name="Channel" numFmtId="0">
      <sharedItems count="5">
        <s v="Affiliate"/>
        <s v="Social Media"/>
        <s v="Website"/>
        <s v="Mobile App"/>
        <s v="Retail Store"/>
      </sharedItems>
    </cacheField>
    <cacheField name="Region" numFmtId="0">
      <sharedItems count="5">
        <s v="South"/>
        <s v="North"/>
        <s v="West"/>
        <s v="East"/>
        <s v="Central"/>
      </sharedItems>
    </cacheField>
    <cacheField name="Rating" numFmtId="0">
      <sharedItems containsString="0" containsBlank="1" containsNumber="1" containsInteger="1" minValue="1" maxValue="5"/>
    </cacheField>
    <cacheField name="OrderYear" numFmtId="0">
      <sharedItems containsSemiMixedTypes="0" containsString="0" containsNumber="1" containsInteger="1" minValue="2022" maxValue="2024" count="3">
        <n v="2022"/>
        <n v="2023"/>
        <n v="2024"/>
      </sharedItems>
    </cacheField>
    <cacheField name="OrderMonth" numFmtId="0">
      <sharedItems/>
    </cacheField>
    <cacheField name="OrderQuarter" numFmtId="0">
      <sharedItems/>
    </cacheField>
    <cacheField name="DaysToShip" numFmtId="0">
      <sharedItems containsString="0" containsBlank="1" containsNumber="1" containsInteger="1" minValue="1" maxValue="7"/>
    </cacheField>
    <cacheField name="DataFlag" numFmtId="0">
      <sharedItems/>
    </cacheField>
    <cacheField name="IsOutlier" numFmtId="0">
      <sharedItems/>
    </cacheField>
    <cacheField name="RecordAge_Days" numFmtId="0">
      <sharedItems containsSemiMixedTypes="0" containsString="0" containsNumber="1" containsInteger="1" minValue="486" maxValue="1577"/>
    </cacheField>
    <cacheField name="Profit Margin %" numFmtId="0" formula="Profit/Revenue" databaseField="0"/>
    <cacheField name="Months (OrderDate)" numFmtId="0" databaseField="0">
      <fieldGroup base="5">
        <rangePr groupBy="months" startDate="2022-01-04T00:00:00" endDate="2024-12-31T00:00:00"/>
        <groupItems count="14">
          <s v="&lt;1/4/2022"/>
          <s v="Jan"/>
          <s v="Feb"/>
          <s v="Mar"/>
          <s v="Apr"/>
          <s v="May"/>
          <s v="Jun"/>
          <s v="Jul"/>
          <s v="Aug"/>
          <s v="Sep"/>
          <s v="Oct"/>
          <s v="Nov"/>
          <s v="Dec"/>
          <s v="&gt;12/31/2024"/>
        </groupItems>
      </fieldGroup>
    </cacheField>
    <cacheField name="Quarters (OrderDate)" numFmtId="0" databaseField="0">
      <fieldGroup base="5">
        <rangePr groupBy="quarters" startDate="2022-01-04T00:00:00" endDate="2024-12-31T00:00:00"/>
        <groupItems count="6">
          <s v="&lt;1/4/2022"/>
          <s v="Qtr1"/>
          <s v="Qtr2"/>
          <s v="Qtr3"/>
          <s v="Qtr4"/>
          <s v="&gt;12/31/2024"/>
        </groupItems>
      </fieldGroup>
    </cacheField>
    <cacheField name="Years (OrderDate)" numFmtId="0" databaseField="0">
      <fieldGroup base="5">
        <rangePr groupBy="years" startDate="2022-01-04T00:00:00" endDate="2024-12-31T00:00:00"/>
        <groupItems count="5">
          <s v="&lt;1/4/2022"/>
          <s v="2022"/>
          <s v="2023"/>
          <s v="2024"/>
          <s v="&gt;12/31/2024"/>
        </groupItems>
      </fieldGroup>
    </cacheField>
  </cacheFields>
  <extLst>
    <ext xmlns:x14="http://schemas.microsoft.com/office/spreadsheetml/2009/9/main" uri="{725AE2AE-9491-48be-B2B4-4EB974FC3084}">
      <x14:pivotCacheDefinition pivotCacheId="2112579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R001"/>
    <x v="0"/>
    <s v="Meena"/>
    <s v="Singh"/>
    <s v="meena.singh14@techmart.com"/>
    <n v="9925131445"/>
    <s v="South"/>
    <s v="Channel Sales"/>
    <s v="0-1 yr"/>
    <s v="PGDM"/>
    <d v="2020-12-29T00:00:00"/>
    <n v="62161"/>
    <d v="2022-01-01T00:00:00"/>
    <s v="Closed Won"/>
    <n v="178200"/>
    <n v="4.2999999999999997E-2"/>
    <n v="7662.6"/>
    <s v="LinkedIn"/>
    <s v="Tablets"/>
    <n v="50"/>
    <s v="Enterprise"/>
    <n v="40000"/>
    <n v="120481.01"/>
    <n v="3.012"/>
    <s v="Exceeded"/>
    <n v="2022"/>
    <n v="1"/>
  </r>
  <r>
    <s v="SR001"/>
    <x v="0"/>
    <s v="Meena"/>
    <s v="Singh"/>
    <s v="meena.singh14@techmart.com"/>
    <n v="9925131445"/>
    <s v="South"/>
    <s v="Channel Sales"/>
    <s v="0-1 yr"/>
    <s v="PGDM"/>
    <d v="2020-12-29T00:00:00"/>
    <n v="62161"/>
    <d v="2022-01-17T00:00:00"/>
    <s v="Negotiation"/>
    <n v="138800"/>
    <n v="6.6000000000000003E-2"/>
    <n v="0"/>
    <s v="Referral"/>
    <s v="Cameras"/>
    <n v="38"/>
    <s v="Individual"/>
    <n v="40000"/>
    <n v="115523.32"/>
    <n v="2.8879999999999999"/>
    <s v="Exceeded"/>
    <n v="2022"/>
    <n v="0"/>
  </r>
  <r>
    <s v="SR001"/>
    <x v="0"/>
    <s v="Meena"/>
    <s v="Singh"/>
    <s v="meena.singh14@techmart.com"/>
    <n v="9925131445"/>
    <s v="South"/>
    <s v="Channel Sales"/>
    <s v="0-1 yr"/>
    <s v="PGDM"/>
    <d v="2020-12-29T00:00:00"/>
    <n v="62161"/>
    <d v="2022-04-19T00:00:00"/>
    <s v="Closed Won"/>
    <n v="189400"/>
    <n v="0.08"/>
    <n v="15152"/>
    <s v="Inbound Lead"/>
    <s v="Smartphones"/>
    <n v="37"/>
    <s v="Individual"/>
    <n v="40000"/>
    <n v="134799.21"/>
    <n v="3.37"/>
    <s v="Exceeded"/>
    <n v="2022"/>
    <n v="1"/>
  </r>
  <r>
    <s v="SR001"/>
    <x v="0"/>
    <s v="Meena"/>
    <s v="Singh"/>
    <s v="meena.singh14@techmart.com"/>
    <n v="9925131445"/>
    <s v="South"/>
    <s v="Channel Sales"/>
    <s v="0-1 yr"/>
    <s v="PGDM"/>
    <d v="2020-12-29T00:00:00"/>
    <n v="62161"/>
    <d v="2022-07-19T00:00:00"/>
    <s v="Closed Lost"/>
    <n v="51200"/>
    <n v="5.8000000000000003E-2"/>
    <n v="0"/>
    <s v="Trade Show"/>
    <s v="Smartphones"/>
    <n v="77"/>
    <s v="Individual"/>
    <n v="40000"/>
    <n v="57188.24"/>
    <n v="1.43"/>
    <s v="Exceeded"/>
    <n v="2022"/>
    <n v="0"/>
  </r>
  <r>
    <s v="SR001"/>
    <x v="0"/>
    <s v="Meena"/>
    <s v="Singh"/>
    <s v="meena.singh14@techmart.com"/>
    <n v="9925131445"/>
    <s v="South"/>
    <s v="Channel Sales"/>
    <s v="0-1 yr"/>
    <s v="PGDM"/>
    <d v="2020-12-29T00:00:00"/>
    <n v="62161"/>
    <d v="2022-09-15T00:00:00"/>
    <s v="Closed Won"/>
    <n v="8000"/>
    <n v="3.5999999999999997E-2"/>
    <n v="288"/>
    <s v="Cold Call"/>
    <s v="Laptops"/>
    <n v="63"/>
    <s v="Enterprise"/>
    <n v="40000"/>
    <n v="11019.82"/>
    <n v="0.27500000000000002"/>
    <s v="Below Target"/>
    <n v="2022"/>
    <n v="1"/>
  </r>
  <r>
    <s v="SR001"/>
    <x v="0"/>
    <s v="Meena"/>
    <s v="Singh"/>
    <s v="meena.singh14@techmart.com"/>
    <n v="9925131445"/>
    <s v="South"/>
    <s v="Channel Sales"/>
    <s v="0-1 yr"/>
    <s v="PGDM"/>
    <d v="2020-12-29T00:00:00"/>
    <n v="62161"/>
    <d v="2022-10-06T00:00:00"/>
    <s v="Closed Won"/>
    <n v="41000"/>
    <n v="8.7999999999999995E-2"/>
    <n v="3608"/>
    <s v="Trade Show"/>
    <s v="Cameras"/>
    <n v="59"/>
    <s v="Enterprise"/>
    <n v="40000"/>
    <n v="43497.87"/>
    <n v="1.087"/>
    <s v="Met"/>
    <n v="2022"/>
    <n v="1"/>
  </r>
  <r>
    <s v="SR001"/>
    <x v="0"/>
    <s v="Meena"/>
    <s v="Singh"/>
    <s v="meena.singh14@techmart.com"/>
    <n v="9925131445"/>
    <s v="South"/>
    <s v="Channel Sales"/>
    <s v="0-1 yr"/>
    <s v="PGDM"/>
    <d v="2020-12-29T00:00:00"/>
    <n v="62161"/>
    <d v="2023-10-11T00:00:00"/>
    <s v="Closed Won"/>
    <n v="154500"/>
    <n v="0.10100000000000001"/>
    <n v="15604.5"/>
    <s v="Email Campaign"/>
    <s v="Tablets"/>
    <n v="56"/>
    <s v="Mid-Market"/>
    <n v="40000"/>
    <n v="214949.72"/>
    <n v="5.3739999999999997"/>
    <s v="Exceeded"/>
    <n v="2023"/>
    <n v="1"/>
  </r>
  <r>
    <s v="SR001"/>
    <x v="0"/>
    <s v="Meena"/>
    <s v="Singh"/>
    <s v="meena.singh14@techmart.com"/>
    <n v="9925131445"/>
    <s v="South"/>
    <s v="Channel Sales"/>
    <s v="0-1 yr"/>
    <s v="PGDM"/>
    <d v="2020-12-29T00:00:00"/>
    <n v="62161"/>
    <d v="2024-02-16T00:00:00"/>
    <s v="Closed Won"/>
    <n v="134600"/>
    <n v="8.7999999999999995E-2"/>
    <n v="11844.8"/>
    <s v="Cold Call"/>
    <s v="Smartphones"/>
    <n v="28"/>
    <s v="SMB"/>
    <n v="40000"/>
    <n v="174782.86"/>
    <n v="4.37"/>
    <s v="Exceeded"/>
    <n v="2024"/>
    <n v="1"/>
  </r>
  <r>
    <s v="SR001"/>
    <x v="0"/>
    <s v="Meena"/>
    <s v="Singh"/>
    <s v="meena.singh14@techmart.com"/>
    <n v="9925131445"/>
    <s v="South"/>
    <s v="Channel Sales"/>
    <s v="0-1 yr"/>
    <s v="PGDM"/>
    <d v="2020-12-29T00:00:00"/>
    <n v="62161"/>
    <d v="2024-03-18T00:00:00"/>
    <s v="Proposal Sent"/>
    <n v="88400"/>
    <n v="9.4E-2"/>
    <n v="0"/>
    <s v="Trade Show"/>
    <s v="Headphones"/>
    <n v="56"/>
    <s v="SMB"/>
    <n v="40000"/>
    <n v="96907.51"/>
    <n v="2.423"/>
    <s v="Exceeded"/>
    <n v="2024"/>
    <n v="0"/>
  </r>
  <r>
    <s v="SR001"/>
    <x v="0"/>
    <s v="Meena"/>
    <s v="Singh"/>
    <s v="meena.singh14@techmart.com"/>
    <n v="9925131445"/>
    <s v="South"/>
    <s v="Channel Sales"/>
    <s v="0-1 yr"/>
    <s v="PGDM"/>
    <d v="2020-12-29T00:00:00"/>
    <n v="62161"/>
    <d v="2024-08-30T00:00:00"/>
    <s v="Closed Won"/>
    <n v="54300"/>
    <n v="0.08"/>
    <n v="4344"/>
    <s v="Walk-in"/>
    <s v="Tablets"/>
    <n v="54"/>
    <s v="SMB"/>
    <n v="40000"/>
    <n v="41247.57"/>
    <n v="1.0309999999999999"/>
    <s v="Met"/>
    <n v="2024"/>
    <n v="1"/>
  </r>
  <r>
    <s v="SR002"/>
    <x v="1"/>
    <s v="Suresh"/>
    <s v="Joshi"/>
    <s v="suresh.joshi30@techmart.com"/>
    <n v="9671987208"/>
    <s v="North"/>
    <s v="Enterprise Sales"/>
    <s v="0-1 yr"/>
    <s v="M.Com"/>
    <d v="2023-05-07T00:00:00"/>
    <n v="57920"/>
    <d v="2023-05-14T00:00:00"/>
    <s v="Negotiation"/>
    <n v="135600"/>
    <n v="0.106"/>
    <n v="0"/>
    <s v="Referral"/>
    <s v="Monitors"/>
    <n v="65"/>
    <s v="Mid-Market"/>
    <n v="37500"/>
    <n v="117938.65"/>
    <n v="3.145"/>
    <s v="Exceeded"/>
    <n v="2023"/>
    <n v="0"/>
  </r>
  <r>
    <s v="SR002"/>
    <x v="1"/>
    <s v="Suresh"/>
    <s v="Joshi"/>
    <s v="suresh.joshi30@techmart.com"/>
    <n v="9671987208"/>
    <s v="North"/>
    <s v="Enterprise Sales"/>
    <s v="0-1 yr"/>
    <s v="M.Com"/>
    <d v="2023-05-07T00:00:00"/>
    <n v="57920"/>
    <d v="2024-02-15T00:00:00"/>
    <s v="Closed Won"/>
    <n v="39700"/>
    <n v="8.5000000000000006E-2"/>
    <n v="3374.5"/>
    <s v="Inbound Lead"/>
    <s v="Cameras"/>
    <n v="33"/>
    <s v="Individual"/>
    <n v="37500"/>
    <n v="46341.26"/>
    <n v="1.236"/>
    <s v="Exceeded"/>
    <n v="2024"/>
    <n v="1"/>
  </r>
  <r>
    <s v="SR002"/>
    <x v="1"/>
    <s v="Suresh"/>
    <s v="Joshi"/>
    <s v="suresh.joshi30@techmart.com"/>
    <n v="9671987208"/>
    <s v="North"/>
    <s v="Enterprise Sales"/>
    <s v="0-1 yr"/>
    <s v="M.Com"/>
    <d v="2023-05-07T00:00:00"/>
    <n v="57920"/>
    <d v="2024-02-29T00:00:00"/>
    <s v="Proposal Sent"/>
    <n v="168700"/>
    <n v="3.2000000000000001E-2"/>
    <n v="0"/>
    <s v="Trade Show"/>
    <s v="Smartphones"/>
    <n v="17"/>
    <s v="Individual"/>
    <n v="37500"/>
    <n v="213624.93"/>
    <n v="5.6970000000000001"/>
    <s v="Exceeded"/>
    <n v="2024"/>
    <n v="0"/>
  </r>
  <r>
    <s v="SR002"/>
    <x v="1"/>
    <s v="Suresh"/>
    <s v="Joshi"/>
    <s v="suresh.joshi30@techmart.com"/>
    <n v="9671987208"/>
    <s v="North"/>
    <s v="Enterprise Sales"/>
    <s v="0-1 yr"/>
    <s v="M.Com"/>
    <d v="2023-05-07T00:00:00"/>
    <n v="57920"/>
    <d v="2024-03-13T00:00:00"/>
    <s v="Proposal Sent"/>
    <n v="210800"/>
    <n v="8.1000000000000003E-2"/>
    <n v="0"/>
    <s v="Cold Call"/>
    <s v="Monitors"/>
    <n v="61"/>
    <s v="SMB"/>
    <n v="37500"/>
    <n v="214083"/>
    <n v="5.7089999999999996"/>
    <s v="Exceeded"/>
    <n v="2024"/>
    <n v="0"/>
  </r>
  <r>
    <s v="SR002"/>
    <x v="1"/>
    <s v="Suresh"/>
    <s v="Joshi"/>
    <s v="suresh.joshi30@techmart.com"/>
    <n v="9671987208"/>
    <s v="North"/>
    <s v="Enterprise Sales"/>
    <s v="0-1 yr"/>
    <s v="M.Com"/>
    <d v="2023-05-07T00:00:00"/>
    <n v="57920"/>
    <d v="2024-08-14T00:00:00"/>
    <s v="Negotiation"/>
    <n v="116200"/>
    <n v="0.08"/>
    <n v="0"/>
    <s v="Trade Show"/>
    <s v="Headphones"/>
    <n v="46"/>
    <s v="SMB"/>
    <n v="37500"/>
    <n v="77530.03"/>
    <n v="2.0670000000000002"/>
    <s v="Exceeded"/>
    <n v="2024"/>
    <n v="0"/>
  </r>
  <r>
    <s v="SR002"/>
    <x v="1"/>
    <s v="Suresh"/>
    <s v="Joshi"/>
    <s v="suresh.joshi30@techmart.com"/>
    <n v="9671987208"/>
    <s v="North"/>
    <s v="Enterprise Sales"/>
    <s v="0-1 yr"/>
    <s v="M.Com"/>
    <d v="2023-05-07T00:00:00"/>
    <n v="57920"/>
    <d v="2024-08-29T00:00:00"/>
    <s v="Negotiation"/>
    <n v="197400"/>
    <n v="0.06"/>
    <n v="0"/>
    <s v="Inbound Lead"/>
    <s v="Cameras"/>
    <n v="38"/>
    <s v="Mid-Market"/>
    <n v="37500"/>
    <n v="128459.5"/>
    <n v="3.4260000000000002"/>
    <s v="Exceeded"/>
    <n v="2024"/>
    <n v="0"/>
  </r>
  <r>
    <s v="SR002"/>
    <x v="1"/>
    <s v="Suresh"/>
    <s v="Joshi"/>
    <s v="suresh.joshi30@techmart.com"/>
    <n v="9671987208"/>
    <s v="North"/>
    <s v="Enterprise Sales"/>
    <s v="0-1 yr"/>
    <s v="M.Com"/>
    <d v="2023-05-07T00:00:00"/>
    <n v="57920"/>
    <d v="2024-09-11T00:00:00"/>
    <s v="Proposal Sent"/>
    <n v="26000"/>
    <n v="4.2999999999999997E-2"/>
    <n v="0"/>
    <s v="Email Campaign"/>
    <s v="Smart TVs"/>
    <n v="36"/>
    <s v="Enterprise"/>
    <n v="37500"/>
    <n v="25096.62"/>
    <n v="0.66900000000000004"/>
    <s v="Below Target"/>
    <n v="2024"/>
    <n v="0"/>
  </r>
  <r>
    <s v="SR002"/>
    <x v="1"/>
    <s v="Suresh"/>
    <s v="Joshi"/>
    <s v="suresh.joshi30@techmart.com"/>
    <n v="9671987208"/>
    <s v="North"/>
    <s v="Enterprise Sales"/>
    <s v="0-1 yr"/>
    <s v="M.Com"/>
    <d v="2023-05-07T00:00:00"/>
    <n v="57920"/>
    <d v="2024-10-23T00:00:00"/>
    <s v="Negotiation"/>
    <n v="28200"/>
    <n v="5.1999999999999998E-2"/>
    <n v="0"/>
    <s v="Email Campaign"/>
    <s v="Monitors"/>
    <n v="85"/>
    <s v="Individual"/>
    <n v="37500"/>
    <n v="31461.8"/>
    <n v="0.83899999999999997"/>
    <s v="Below Target"/>
    <n v="2024"/>
    <n v="0"/>
  </r>
  <r>
    <s v="SR002"/>
    <x v="1"/>
    <s v="Suresh"/>
    <s v="Joshi"/>
    <s v="suresh.joshi30@techmart.com"/>
    <n v="9671987208"/>
    <s v="North"/>
    <s v="Enterprise Sales"/>
    <s v="0-1 yr"/>
    <s v="M.Com"/>
    <d v="2023-05-07T00:00:00"/>
    <n v="57920"/>
    <d v="2024-11-09T00:00:00"/>
    <s v="Negotiation"/>
    <n v="86900"/>
    <n v="8.5000000000000006E-2"/>
    <n v="0"/>
    <s v="Inbound Lead"/>
    <s v="Smart TVs"/>
    <n v="2"/>
    <s v="Enterprise"/>
    <n v="37500"/>
    <n v="78960.06"/>
    <n v="2.1059999999999999"/>
    <s v="Exceeded"/>
    <n v="2024"/>
    <n v="0"/>
  </r>
  <r>
    <s v="SR002"/>
    <x v="1"/>
    <s v="Suresh"/>
    <s v="Joshi"/>
    <s v="suresh.joshi30@techmart.com"/>
    <n v="9671987208"/>
    <s v="North"/>
    <s v="Enterprise Sales"/>
    <s v="0-1 yr"/>
    <s v="M.Com"/>
    <d v="2023-05-07T00:00:00"/>
    <n v="57920"/>
    <d v="2024-11-16T00:00:00"/>
    <s v="Negotiation"/>
    <n v="101200"/>
    <n v="3.3000000000000002E-2"/>
    <n v="0"/>
    <s v="Cold Call"/>
    <s v="Smart TVs"/>
    <n v="62"/>
    <s v="Mid-Market"/>
    <n v="37500"/>
    <n v="60907.01"/>
    <n v="1.6240000000000001"/>
    <s v="Exceeded"/>
    <n v="2024"/>
    <n v="0"/>
  </r>
  <r>
    <s v="SR003"/>
    <x v="2"/>
    <s v="Harish"/>
    <s v="Bose"/>
    <s v="harish.bose24@techmart.com"/>
    <n v="9703755583"/>
    <s v="West"/>
    <s v="Online Sales"/>
    <s v="5-10 yrs"/>
    <s v="BBA"/>
    <d v="2019-11-02T00:00:00"/>
    <n v="39829"/>
    <d v="2022-07-21T00:00:00"/>
    <s v="Closed Won"/>
    <n v="176500"/>
    <n v="8.3000000000000004E-2"/>
    <n v="14649.5"/>
    <s v="Trade Show"/>
    <s v="Cameras"/>
    <n v="87"/>
    <s v="SMB"/>
    <n v="41666.67"/>
    <n v="204895.69"/>
    <n v="4.9169999999999998"/>
    <s v="Exceeded"/>
    <n v="2022"/>
    <n v="1"/>
  </r>
  <r>
    <s v="SR003"/>
    <x v="2"/>
    <s v="Harish"/>
    <s v="Bose"/>
    <s v="harish.bose24@techmart.com"/>
    <n v="9703755583"/>
    <s v="West"/>
    <s v="Online Sales"/>
    <s v="5-10 yrs"/>
    <s v="BBA"/>
    <d v="2019-11-02T00:00:00"/>
    <n v="39829"/>
    <d v="2022-08-26T00:00:00"/>
    <s v="Closed Won"/>
    <n v="48900"/>
    <n v="7.1999999999999995E-2"/>
    <n v="3520.8"/>
    <s v="Trade Show"/>
    <s v="Tablets"/>
    <n v="61"/>
    <s v="SMB"/>
    <n v="41666.67"/>
    <n v="41165.03"/>
    <n v="0.98799999999999999"/>
    <s v="Met"/>
    <n v="2022"/>
    <n v="1"/>
  </r>
  <r>
    <s v="SR003"/>
    <x v="2"/>
    <s v="Harish"/>
    <s v="Bose"/>
    <s v="harish.bose24@techmart.com"/>
    <n v="9703755583"/>
    <s v="West"/>
    <s v="Online Sales"/>
    <s v="5-10 yrs"/>
    <s v="BBA"/>
    <d v="2019-11-02T00:00:00"/>
    <n v="39829"/>
    <d v="2022-11-12T00:00:00"/>
    <s v="Closed Lost"/>
    <n v="202300"/>
    <n v="0.11899999999999999"/>
    <n v="0"/>
    <s v="Walk-in"/>
    <s v="Headphones"/>
    <n v="31"/>
    <s v="Enterprise"/>
    <n v="41666.67"/>
    <n v="233332.65"/>
    <n v="5.6"/>
    <s v="Exceeded"/>
    <n v="2022"/>
    <n v="0"/>
  </r>
  <r>
    <s v="SR003"/>
    <x v="2"/>
    <s v="Harish"/>
    <s v="Bose"/>
    <s v="harish.bose24@techmart.com"/>
    <n v="9703755583"/>
    <s v="West"/>
    <s v="Online Sales"/>
    <s v="5-10 yrs"/>
    <s v="BBA"/>
    <d v="2019-11-02T00:00:00"/>
    <n v="39829"/>
    <d v="2022-12-09T00:00:00"/>
    <s v="Closed Won"/>
    <n v="156500"/>
    <n v="9.6000000000000002E-2"/>
    <n v="15024"/>
    <s v="Inbound Lead"/>
    <s v="Smartphones"/>
    <n v="83"/>
    <s v="Mid-Market"/>
    <n v="41666.67"/>
    <n v="184659.91"/>
    <n v="4.4320000000000004"/>
    <s v="Exceeded"/>
    <n v="2022"/>
    <n v="1"/>
  </r>
  <r>
    <s v="SR003"/>
    <x v="2"/>
    <s v="Harish"/>
    <s v="Bose"/>
    <s v="harish.bose24@techmart.com"/>
    <n v="9703755583"/>
    <s v="West"/>
    <s v="Online Sales"/>
    <s v="5-10 yrs"/>
    <s v="BBA"/>
    <d v="2019-11-02T00:00:00"/>
    <n v="39829"/>
    <d v="2022-12-24T00:00:00"/>
    <s v="Negotiation"/>
    <n v="198700"/>
    <n v="4.3999999999999997E-2"/>
    <n v="0"/>
    <s v="Trade Show"/>
    <s v="Tablets"/>
    <n v="23"/>
    <s v="Mid-Market"/>
    <n v="41666.67"/>
    <n v="239289.43"/>
    <n v="5.7430000000000003"/>
    <s v="Exceeded"/>
    <n v="2022"/>
    <n v="0"/>
  </r>
  <r>
    <s v="SR003"/>
    <x v="2"/>
    <s v="Harish"/>
    <s v="Bose"/>
    <s v="harish.bose24@techmart.com"/>
    <n v="9703755583"/>
    <s v="West"/>
    <s v="Online Sales"/>
    <s v="5-10 yrs"/>
    <s v="BBA"/>
    <d v="2019-11-02T00:00:00"/>
    <n v="39829"/>
    <d v="2023-02-04T00:00:00"/>
    <s v="Negotiation"/>
    <n v="93400"/>
    <n v="9.0999999999999998E-2"/>
    <n v="0"/>
    <s v="Referral"/>
    <s v="Tablets"/>
    <n v="71"/>
    <s v="Individual"/>
    <n v="41666.67"/>
    <n v="103255.72"/>
    <n v="2.4780000000000002"/>
    <s v="Exceeded"/>
    <n v="2023"/>
    <n v="0"/>
  </r>
  <r>
    <s v="SR003"/>
    <x v="2"/>
    <s v="Harish"/>
    <s v="Bose"/>
    <s v="harish.bose24@techmart.com"/>
    <n v="9703755583"/>
    <s v="West"/>
    <s v="Online Sales"/>
    <s v="5-10 yrs"/>
    <s v="BBA"/>
    <d v="2019-11-02T00:00:00"/>
    <n v="39829"/>
    <d v="2023-04-29T00:00:00"/>
    <s v="Closed Lost"/>
    <n v="52400"/>
    <n v="0.10199999999999999"/>
    <n v="0"/>
    <s v="Walk-in"/>
    <s v="Smartphones"/>
    <n v="44"/>
    <s v="Individual"/>
    <n v="41666.67"/>
    <n v="71820.02"/>
    <n v="1.724"/>
    <s v="Exceeded"/>
    <n v="2023"/>
    <n v="0"/>
  </r>
  <r>
    <s v="SR003"/>
    <x v="2"/>
    <s v="Harish"/>
    <s v="Bose"/>
    <s v="harish.bose24@techmart.com"/>
    <n v="9703755583"/>
    <s v="West"/>
    <s v="Online Sales"/>
    <s v="5-10 yrs"/>
    <s v="BBA"/>
    <d v="2019-11-02T00:00:00"/>
    <n v="39829"/>
    <d v="2023-12-26T00:00:00"/>
    <s v="Closed Lost"/>
    <n v="165000"/>
    <n v="0.113"/>
    <n v="0"/>
    <s v="Walk-in"/>
    <s v="Tablets"/>
    <n v="43"/>
    <s v="Mid-Market"/>
    <n v="41666.67"/>
    <n v="122162.54"/>
    <n v="2.9319999999999999"/>
    <s v="Exceeded"/>
    <n v="2023"/>
    <n v="0"/>
  </r>
  <r>
    <s v="SR003"/>
    <x v="2"/>
    <s v="Harish"/>
    <s v="Bose"/>
    <s v="harish.bose24@techmart.com"/>
    <n v="9703755583"/>
    <s v="West"/>
    <s v="Online Sales"/>
    <s v="5-10 yrs"/>
    <s v="BBA"/>
    <d v="2019-11-02T00:00:00"/>
    <n v="39829"/>
    <d v="2024-03-09T00:00:00"/>
    <s v="Closed Lost"/>
    <n v="73800"/>
    <n v="4.2999999999999997E-2"/>
    <n v="0"/>
    <s v="Walk-in"/>
    <s v="Headphones"/>
    <n v="2"/>
    <s v="Mid-Market"/>
    <n v="41666.67"/>
    <n v="98486.12"/>
    <n v="2.3639999999999999"/>
    <s v="Exceeded"/>
    <n v="2024"/>
    <n v="0"/>
  </r>
  <r>
    <s v="SR003"/>
    <x v="2"/>
    <s v="Harish"/>
    <s v="Bose"/>
    <s v="harish.bose24@techmart.com"/>
    <n v="9703755583"/>
    <s v="West"/>
    <s v="Online Sales"/>
    <s v="5-10 yrs"/>
    <s v="BBA"/>
    <d v="2019-11-02T00:00:00"/>
    <n v="39829"/>
    <d v="2024-07-08T00:00:00"/>
    <s v="Closed Lost"/>
    <n v="182900"/>
    <n v="5.8000000000000003E-2"/>
    <n v="0"/>
    <s v="LinkedIn"/>
    <s v="Monitors"/>
    <n v="6"/>
    <s v="Individual"/>
    <n v="41666.67"/>
    <n v="242514.6"/>
    <n v="5.82"/>
    <s v="Exceeded"/>
    <n v="2024"/>
    <n v="0"/>
  </r>
  <r>
    <s v="SR004"/>
    <x v="3"/>
    <s v="Manoj"/>
    <s v="Lal"/>
    <s v="manoj.lal98@techmart.com"/>
    <n v="9709823445"/>
    <s v="North"/>
    <s v="Enterprise Sales"/>
    <s v="5-10 yrs"/>
    <s v="BBA"/>
    <d v="2020-04-10T00:00:00"/>
    <n v="29334"/>
    <d v="2022-02-08T00:00:00"/>
    <s v="Closed Lost"/>
    <n v="44000"/>
    <n v="8.8999999999999996E-2"/>
    <n v="0"/>
    <s v="Cold Call"/>
    <s v="Smartphones"/>
    <n v="86"/>
    <s v="Enterprise"/>
    <n v="37500"/>
    <n v="32550.880000000001"/>
    <n v="0.86799999999999999"/>
    <s v="Below Target"/>
    <n v="2022"/>
    <n v="0"/>
  </r>
  <r>
    <s v="SR004"/>
    <x v="3"/>
    <s v="Manoj"/>
    <s v="Lal"/>
    <s v="manoj.lal98@techmart.com"/>
    <n v="9709823445"/>
    <s v="North"/>
    <s v="Enterprise Sales"/>
    <s v="5-10 yrs"/>
    <s v="BBA"/>
    <d v="2020-04-10T00:00:00"/>
    <n v="29334"/>
    <d v="2022-05-04T00:00:00"/>
    <s v="Closed Won"/>
    <n v="218100"/>
    <n v="5.3999999999999999E-2"/>
    <n v="11777.4"/>
    <s v="Trade Show"/>
    <s v="Smartphones"/>
    <n v="63"/>
    <s v="SMB"/>
    <n v="37500"/>
    <n v="228846.16"/>
    <n v="6.1029999999999998"/>
    <s v="Exceeded"/>
    <n v="2022"/>
    <n v="1"/>
  </r>
  <r>
    <s v="SR004"/>
    <x v="3"/>
    <s v="Manoj"/>
    <s v="Lal"/>
    <s v="manoj.lal98@techmart.com"/>
    <n v="9709823445"/>
    <s v="North"/>
    <s v="Enterprise Sales"/>
    <s v="5-10 yrs"/>
    <s v="BBA"/>
    <d v="2020-04-10T00:00:00"/>
    <n v="29334"/>
    <d v="2022-05-20T00:00:00"/>
    <s v="Closed Won"/>
    <n v="112800"/>
    <n v="3.9E-2"/>
    <n v="4399.2"/>
    <s v="Cold Call"/>
    <s v="Monitors"/>
    <n v="58"/>
    <s v="Mid-Market"/>
    <n v="37500"/>
    <n v="78675.149999999994"/>
    <n v="2.0979999999999999"/>
    <s v="Exceeded"/>
    <n v="2022"/>
    <n v="1"/>
  </r>
  <r>
    <s v="SR004"/>
    <x v="3"/>
    <s v="Manoj"/>
    <s v="Lal"/>
    <s v="manoj.lal98@techmart.com"/>
    <n v="9709823445"/>
    <s v="North"/>
    <s v="Enterprise Sales"/>
    <s v="5-10 yrs"/>
    <s v="BBA"/>
    <d v="2020-04-10T00:00:00"/>
    <n v="29334"/>
    <d v="2022-08-06T00:00:00"/>
    <s v="Closed Lost"/>
    <n v="192500"/>
    <n v="5.2999999999999999E-2"/>
    <n v="0"/>
    <s v="Cold Call"/>
    <s v="Smartphones"/>
    <n v="10"/>
    <s v="Mid-Market"/>
    <n v="37500"/>
    <n v="230906.34"/>
    <n v="6.1580000000000004"/>
    <s v="Exceeded"/>
    <n v="2022"/>
    <n v="0"/>
  </r>
  <r>
    <s v="SR004"/>
    <x v="3"/>
    <s v="Manoj"/>
    <s v="Lal"/>
    <s v="manoj.lal98@techmart.com"/>
    <n v="9709823445"/>
    <s v="North"/>
    <s v="Enterprise Sales"/>
    <s v="5-10 yrs"/>
    <s v="BBA"/>
    <d v="2020-04-10T00:00:00"/>
    <n v="29334"/>
    <d v="2022-09-07T00:00:00"/>
    <s v="Proposal Sent"/>
    <n v="36500"/>
    <n v="3.7999999999999999E-2"/>
    <n v="0"/>
    <s v="LinkedIn"/>
    <s v="Laptops"/>
    <n v="49"/>
    <s v="SMB"/>
    <n v="37500"/>
    <n v="47683.65"/>
    <n v="1.272"/>
    <s v="Exceeded"/>
    <n v="2022"/>
    <n v="0"/>
  </r>
  <r>
    <s v="SR004"/>
    <x v="3"/>
    <s v="Manoj"/>
    <s v="Lal"/>
    <s v="manoj.lal98@techmart.com"/>
    <n v="9709823445"/>
    <s v="North"/>
    <s v="Enterprise Sales"/>
    <s v="5-10 yrs"/>
    <s v="BBA"/>
    <d v="2020-04-10T00:00:00"/>
    <n v="29334"/>
    <d v="2023-01-01T00:00:00"/>
    <s v="Proposal Sent"/>
    <n v="134000"/>
    <n v="0.04"/>
    <n v="0"/>
    <s v="LinkedIn"/>
    <s v="Cameras"/>
    <n v="56"/>
    <s v="SMB"/>
    <n v="37500"/>
    <n v="141044.32999999999"/>
    <n v="3.7610000000000001"/>
    <s v="Exceeded"/>
    <n v="2023"/>
    <n v="0"/>
  </r>
  <r>
    <s v="SR004"/>
    <x v="3"/>
    <s v="Manoj"/>
    <s v="Lal"/>
    <s v="manoj.lal98@techmart.com"/>
    <n v="9709823445"/>
    <s v="North"/>
    <s v="Enterprise Sales"/>
    <s v="5-10 yrs"/>
    <s v="BBA"/>
    <d v="2020-04-10T00:00:00"/>
    <n v="29334"/>
    <d v="2023-01-13T00:00:00"/>
    <s v="Closed Won"/>
    <n v="82200"/>
    <n v="7.1999999999999995E-2"/>
    <n v="5918.4"/>
    <s v="Cold Call"/>
    <s v="Monitors"/>
    <n v="59"/>
    <s v="Mid-Market"/>
    <n v="37500"/>
    <n v="98017.19"/>
    <n v="2.6139999999999999"/>
    <s v="Exceeded"/>
    <n v="2023"/>
    <n v="1"/>
  </r>
  <r>
    <s v="SR004"/>
    <x v="3"/>
    <s v="Manoj"/>
    <s v="Lal"/>
    <s v="manoj.lal98@techmart.com"/>
    <n v="9709823445"/>
    <s v="North"/>
    <s v="Enterprise Sales"/>
    <s v="5-10 yrs"/>
    <s v="BBA"/>
    <d v="2020-04-10T00:00:00"/>
    <n v="29334"/>
    <d v="2023-08-04T00:00:00"/>
    <s v="Closed Won"/>
    <n v="55600"/>
    <n v="3.3000000000000002E-2"/>
    <n v="1834.8"/>
    <s v="LinkedIn"/>
    <s v="Smartphones"/>
    <n v="8"/>
    <s v="SMB"/>
    <n v="37500"/>
    <n v="75362.47"/>
    <n v="2.0099999999999998"/>
    <s v="Exceeded"/>
    <n v="2023"/>
    <n v="1"/>
  </r>
  <r>
    <s v="SR004"/>
    <x v="3"/>
    <s v="Manoj"/>
    <s v="Lal"/>
    <s v="manoj.lal98@techmart.com"/>
    <n v="9709823445"/>
    <s v="North"/>
    <s v="Enterprise Sales"/>
    <s v="5-10 yrs"/>
    <s v="BBA"/>
    <d v="2020-04-10T00:00:00"/>
    <n v="29334"/>
    <d v="2023-10-25T00:00:00"/>
    <s v="Closed Won"/>
    <n v="47500"/>
    <n v="0.1"/>
    <n v="4750"/>
    <s v="Inbound Lead"/>
    <s v="Cameras"/>
    <n v="8"/>
    <s v="Enterprise"/>
    <n v="37500"/>
    <n v="40362.239999999998"/>
    <n v="1.0760000000000001"/>
    <s v="Met"/>
    <n v="2023"/>
    <n v="1"/>
  </r>
  <r>
    <s v="SR004"/>
    <x v="3"/>
    <s v="Manoj"/>
    <s v="Lal"/>
    <s v="manoj.lal98@techmart.com"/>
    <n v="9709823445"/>
    <s v="North"/>
    <s v="Enterprise Sales"/>
    <s v="5-10 yrs"/>
    <s v="BBA"/>
    <d v="2020-04-10T00:00:00"/>
    <n v="29334"/>
    <d v="2023-11-07T00:00:00"/>
    <s v="Closed Lost"/>
    <n v="155600"/>
    <n v="0.03"/>
    <n v="0"/>
    <s v="Email Campaign"/>
    <s v="Cameras"/>
    <n v="63"/>
    <s v="Enterprise"/>
    <n v="37500"/>
    <n v="138865.51999999999"/>
    <n v="3.7029999999999998"/>
    <s v="Exceeded"/>
    <n v="2023"/>
    <n v="0"/>
  </r>
  <r>
    <s v="SR005"/>
    <x v="4"/>
    <s v="Anita"/>
    <s v="Banerjee"/>
    <s v="anita.banerjee79@techmart.com"/>
    <n v="9817361190"/>
    <s v="West"/>
    <s v="Enterprise Sales"/>
    <s v="5-10 yrs"/>
    <s v="BBA"/>
    <d v="2022-10-18T00:00:00"/>
    <n v="75870"/>
    <d v="2022-11-27T00:00:00"/>
    <s v="Closed Lost"/>
    <n v="178200"/>
    <n v="4.7E-2"/>
    <n v="0"/>
    <s v="Email Campaign"/>
    <s v="Headphones"/>
    <n v="14"/>
    <s v="Mid-Market"/>
    <n v="41666.67"/>
    <n v="167125.44"/>
    <n v="4.0110000000000001"/>
    <s v="Exceeded"/>
    <n v="2022"/>
    <n v="0"/>
  </r>
  <r>
    <s v="SR005"/>
    <x v="4"/>
    <s v="Anita"/>
    <s v="Banerjee"/>
    <s v="anita.banerjee79@techmart.com"/>
    <n v="9817361190"/>
    <s v="West"/>
    <s v="Enterprise Sales"/>
    <s v="5-10 yrs"/>
    <s v="BBA"/>
    <d v="2022-10-18T00:00:00"/>
    <n v="75870"/>
    <d v="2022-12-14T00:00:00"/>
    <s v="Closed Won"/>
    <n v="211500"/>
    <n v="9.5000000000000001E-2"/>
    <n v="20092.5"/>
    <s v="Trade Show"/>
    <s v="Smartphones"/>
    <n v="28"/>
    <s v="Enterprise"/>
    <n v="41666.67"/>
    <n v="284696.09000000003"/>
    <n v="6.8330000000000002"/>
    <s v="Exceeded"/>
    <n v="2022"/>
    <n v="1"/>
  </r>
  <r>
    <s v="SR005"/>
    <x v="4"/>
    <s v="Anita"/>
    <s v="Banerjee"/>
    <s v="anita.banerjee79@techmart.com"/>
    <n v="9817361190"/>
    <s v="West"/>
    <s v="Enterprise Sales"/>
    <s v="5-10 yrs"/>
    <s v="BBA"/>
    <d v="2022-10-18T00:00:00"/>
    <n v="75870"/>
    <d v="2022-12-21T00:00:00"/>
    <s v="Negotiation"/>
    <n v="173700"/>
    <n v="5.8000000000000003E-2"/>
    <n v="0"/>
    <s v="LinkedIn"/>
    <s v="Cameras"/>
    <n v="58"/>
    <s v="Individual"/>
    <n v="41666.67"/>
    <n v="92640.88"/>
    <n v="2.2229999999999999"/>
    <s v="Exceeded"/>
    <n v="2022"/>
    <n v="0"/>
  </r>
  <r>
    <s v="SR005"/>
    <x v="4"/>
    <s v="Anita"/>
    <s v="Banerjee"/>
    <s v="anita.banerjee79@techmart.com"/>
    <n v="9817361190"/>
    <s v="West"/>
    <s v="Enterprise Sales"/>
    <s v="5-10 yrs"/>
    <s v="BBA"/>
    <d v="2022-10-18T00:00:00"/>
    <n v="75870"/>
    <d v="2023-08-28T00:00:00"/>
    <s v="Closed Won"/>
    <n v="124600"/>
    <n v="8.5000000000000006E-2"/>
    <n v="10591"/>
    <s v="Walk-in"/>
    <s v="Smart TVs"/>
    <n v="9"/>
    <s v="Individual"/>
    <n v="41666.67"/>
    <n v="75104.11"/>
    <n v="1.802"/>
    <s v="Exceeded"/>
    <n v="2023"/>
    <n v="1"/>
  </r>
  <r>
    <s v="SR005"/>
    <x v="4"/>
    <s v="Anita"/>
    <s v="Banerjee"/>
    <s v="anita.banerjee79@techmart.com"/>
    <n v="9817361190"/>
    <s v="West"/>
    <s v="Enterprise Sales"/>
    <s v="5-10 yrs"/>
    <s v="BBA"/>
    <d v="2022-10-18T00:00:00"/>
    <n v="75870"/>
    <d v="2023-10-01T00:00:00"/>
    <s v="Closed Won"/>
    <n v="225500"/>
    <n v="7.0999999999999994E-2"/>
    <n v="16010.5"/>
    <s v="Walk-in"/>
    <s v="Tablets"/>
    <n v="83"/>
    <s v="SMB"/>
    <n v="41666.67"/>
    <n v="148594.68"/>
    <n v="3.5659999999999998"/>
    <s v="Exceeded"/>
    <n v="2023"/>
    <n v="1"/>
  </r>
  <r>
    <s v="SR005"/>
    <x v="4"/>
    <s v="Anita"/>
    <s v="Banerjee"/>
    <s v="anita.banerjee79@techmart.com"/>
    <n v="9817361190"/>
    <s v="West"/>
    <s v="Enterprise Sales"/>
    <s v="5-10 yrs"/>
    <s v="BBA"/>
    <d v="2022-10-18T00:00:00"/>
    <n v="75870"/>
    <d v="2023-10-20T00:00:00"/>
    <s v="Closed Won"/>
    <n v="183700"/>
    <n v="5.7000000000000002E-2"/>
    <n v="10470.9"/>
    <s v="Cold Call"/>
    <s v="Monitors"/>
    <n v="83"/>
    <s v="Individual"/>
    <n v="41666.67"/>
    <n v="152254.20000000001"/>
    <n v="3.6539999999999999"/>
    <s v="Exceeded"/>
    <n v="2023"/>
    <n v="1"/>
  </r>
  <r>
    <s v="SR005"/>
    <x v="4"/>
    <s v="Anita"/>
    <s v="Banerjee"/>
    <s v="anita.banerjee79@techmart.com"/>
    <n v="9817361190"/>
    <s v="West"/>
    <s v="Enterprise Sales"/>
    <s v="5-10 yrs"/>
    <s v="BBA"/>
    <d v="2022-10-18T00:00:00"/>
    <n v="75870"/>
    <d v="2024-02-12T00:00:00"/>
    <s v="Negotiation"/>
    <n v="17000"/>
    <n v="5.1999999999999998E-2"/>
    <n v="0"/>
    <s v="Email Campaign"/>
    <s v="Laptops"/>
    <n v="2"/>
    <s v="SMB"/>
    <n v="41666.67"/>
    <n v="18179.72"/>
    <n v="0.436"/>
    <s v="Below Target"/>
    <n v="2024"/>
    <n v="0"/>
  </r>
  <r>
    <s v="SR005"/>
    <x v="4"/>
    <s v="Anita"/>
    <s v="Banerjee"/>
    <s v="anita.banerjee79@techmart.com"/>
    <n v="9817361190"/>
    <s v="West"/>
    <s v="Enterprise Sales"/>
    <s v="5-10 yrs"/>
    <s v="BBA"/>
    <d v="2022-10-18T00:00:00"/>
    <n v="75870"/>
    <d v="2024-04-19T00:00:00"/>
    <s v="Closed Won"/>
    <n v="199300"/>
    <n v="8.2000000000000003E-2"/>
    <n v="16342.6"/>
    <s v="Cold Call"/>
    <s v="Smartphones"/>
    <n v="19"/>
    <s v="Enterprise"/>
    <n v="41666.67"/>
    <n v="216927.76"/>
    <n v="5.2060000000000004"/>
    <s v="Exceeded"/>
    <n v="2024"/>
    <n v="1"/>
  </r>
  <r>
    <s v="SR005"/>
    <x v="4"/>
    <s v="Anita"/>
    <s v="Banerjee"/>
    <s v="anita.banerjee79@techmart.com"/>
    <n v="9817361190"/>
    <s v="West"/>
    <s v="Enterprise Sales"/>
    <s v="5-10 yrs"/>
    <s v="BBA"/>
    <d v="2022-10-18T00:00:00"/>
    <n v="75870"/>
    <d v="2024-07-26T00:00:00"/>
    <s v="Closed Lost"/>
    <n v="197800"/>
    <n v="4.7E-2"/>
    <n v="0"/>
    <s v="Cold Call"/>
    <s v="Laptops"/>
    <n v="4"/>
    <s v="SMB"/>
    <n v="41666.67"/>
    <n v="185993.18"/>
    <n v="4.4640000000000004"/>
    <s v="Exceeded"/>
    <n v="2024"/>
    <n v="0"/>
  </r>
  <r>
    <s v="SR005"/>
    <x v="4"/>
    <s v="Anita"/>
    <s v="Banerjee"/>
    <s v="anita.banerjee79@techmart.com"/>
    <n v="9817361190"/>
    <s v="West"/>
    <s v="Enterprise Sales"/>
    <s v="5-10 yrs"/>
    <s v="BBA"/>
    <d v="2022-10-18T00:00:00"/>
    <n v="75870"/>
    <d v="2024-11-01T00:00:00"/>
    <s v="Closed Won"/>
    <n v="146600"/>
    <n v="0.05"/>
    <n v="7330"/>
    <s v="Trade Show"/>
    <s v="Monitors"/>
    <n v="62"/>
    <s v="Individual"/>
    <n v="41666.67"/>
    <n v="148142.16"/>
    <n v="3.5550000000000002"/>
    <s v="Exceeded"/>
    <n v="2024"/>
    <n v="1"/>
  </r>
  <r>
    <s v="SR006"/>
    <x v="5"/>
    <s v="Manoj"/>
    <s v="Rastogi"/>
    <s v="manoj.rastogi93@techmart.com"/>
    <n v="9944345686"/>
    <s v="East"/>
    <s v="Online Sales"/>
    <s v="10+ yrs"/>
    <s v="M.Com"/>
    <d v="2023-11-22T00:00:00"/>
    <n v="71144"/>
    <d v="2023-11-30T00:00:00"/>
    <s v="Closed Lost"/>
    <n v="26200"/>
    <n v="3.1E-2"/>
    <n v="0"/>
    <s v="Referral"/>
    <s v="Smartphones"/>
    <n v="84"/>
    <s v="Mid-Market"/>
    <n v="35000"/>
    <n v="22914.52"/>
    <n v="0.65500000000000003"/>
    <s v="Below Target"/>
    <n v="2023"/>
    <n v="0"/>
  </r>
  <r>
    <s v="SR006"/>
    <x v="5"/>
    <s v="Manoj"/>
    <s v="Rastogi"/>
    <s v="manoj.rastogi93@techmart.com"/>
    <n v="9944345686"/>
    <s v="East"/>
    <s v="Online Sales"/>
    <s v="10+ yrs"/>
    <s v="M.Com"/>
    <d v="2023-11-22T00:00:00"/>
    <n v="71144"/>
    <d v="2024-01-09T00:00:00"/>
    <s v="Negotiation"/>
    <n v="99900"/>
    <n v="0.108"/>
    <n v="0"/>
    <s v="LinkedIn"/>
    <s v="Smart TVs"/>
    <n v="29"/>
    <s v="Enterprise"/>
    <n v="35000"/>
    <n v="119210.49"/>
    <n v="3.4060000000000001"/>
    <s v="Exceeded"/>
    <n v="2024"/>
    <n v="0"/>
  </r>
  <r>
    <s v="SR006"/>
    <x v="5"/>
    <s v="Manoj"/>
    <s v="Rastogi"/>
    <s v="manoj.rastogi93@techmart.com"/>
    <n v="9944345686"/>
    <s v="East"/>
    <s v="Online Sales"/>
    <s v="10+ yrs"/>
    <s v="M.Com"/>
    <d v="2023-11-22T00:00:00"/>
    <n v="71144"/>
    <d v="2024-02-19T00:00:00"/>
    <s v="Negotiation"/>
    <n v="186300"/>
    <n v="3.3000000000000002E-2"/>
    <n v="0"/>
    <s v="Referral"/>
    <s v="Monitors"/>
    <n v="64"/>
    <s v="Individual"/>
    <n v="35000"/>
    <n v="198311.22"/>
    <n v="5.6660000000000004"/>
    <s v="Exceeded"/>
    <n v="2024"/>
    <n v="0"/>
  </r>
  <r>
    <s v="SR006"/>
    <x v="5"/>
    <s v="Manoj"/>
    <s v="Rastogi"/>
    <s v="manoj.rastogi93@techmart.com"/>
    <n v="9944345686"/>
    <s v="East"/>
    <s v="Online Sales"/>
    <s v="10+ yrs"/>
    <s v="M.Com"/>
    <d v="2023-11-22T00:00:00"/>
    <n v="71144"/>
    <d v="2024-05-11T00:00:00"/>
    <s v="Closed Won"/>
    <n v="36700"/>
    <n v="5.5E-2"/>
    <n v="2018.5"/>
    <s v="Walk-in"/>
    <s v="Headphones"/>
    <n v="22"/>
    <s v="Mid-Market"/>
    <n v="35000"/>
    <n v="36629.06"/>
    <n v="1.0469999999999999"/>
    <s v="Met"/>
    <n v="2024"/>
    <n v="1"/>
  </r>
  <r>
    <s v="SR006"/>
    <x v="5"/>
    <s v="Manoj"/>
    <s v="Rastogi"/>
    <s v="manoj.rastogi93@techmart.com"/>
    <n v="9944345686"/>
    <s v="East"/>
    <s v="Online Sales"/>
    <s v="10+ yrs"/>
    <s v="M.Com"/>
    <d v="2023-11-22T00:00:00"/>
    <n v="71144"/>
    <d v="2024-07-03T00:00:00"/>
    <s v="Closed Won"/>
    <n v="247700"/>
    <n v="8.2000000000000003E-2"/>
    <n v="20311.400000000001"/>
    <s v="Referral"/>
    <s v="Smartphones"/>
    <n v="81"/>
    <s v="Enterprise"/>
    <n v="35000"/>
    <n v="297214.11"/>
    <n v="8.4920000000000009"/>
    <s v="Exceeded"/>
    <n v="2024"/>
    <n v="1"/>
  </r>
  <r>
    <s v="SR006"/>
    <x v="5"/>
    <s v="Manoj"/>
    <s v="Rastogi"/>
    <s v="manoj.rastogi93@techmart.com"/>
    <n v="9944345686"/>
    <s v="East"/>
    <s v="Online Sales"/>
    <s v="10+ yrs"/>
    <s v="M.Com"/>
    <d v="2023-11-22T00:00:00"/>
    <n v="71144"/>
    <d v="2024-09-21T00:00:00"/>
    <s v="Negotiation"/>
    <n v="62800"/>
    <n v="3.5999999999999997E-2"/>
    <n v="0"/>
    <s v="Referral"/>
    <s v="Headphones"/>
    <n v="44"/>
    <s v="Enterprise"/>
    <n v="35000"/>
    <n v="49725.760000000002"/>
    <n v="1.421"/>
    <s v="Exceeded"/>
    <n v="2024"/>
    <n v="0"/>
  </r>
  <r>
    <s v="SR006"/>
    <x v="5"/>
    <s v="Manoj"/>
    <s v="Rastogi"/>
    <s v="manoj.rastogi93@techmart.com"/>
    <n v="9944345686"/>
    <s v="East"/>
    <s v="Online Sales"/>
    <s v="10+ yrs"/>
    <s v="M.Com"/>
    <d v="2023-11-22T00:00:00"/>
    <n v="71144"/>
    <d v="2024-10-24T00:00:00"/>
    <s v="Closed Won"/>
    <n v="77500"/>
    <n v="3.5000000000000003E-2"/>
    <n v="2712.5"/>
    <s v="Cold Call"/>
    <s v="Cameras"/>
    <n v="20"/>
    <s v="Enterprise"/>
    <n v="35000"/>
    <n v="73451.66"/>
    <n v="2.0990000000000002"/>
    <s v="Exceeded"/>
    <n v="2024"/>
    <n v="1"/>
  </r>
  <r>
    <s v="SR006"/>
    <x v="5"/>
    <s v="Manoj"/>
    <s v="Rastogi"/>
    <s v="manoj.rastogi93@techmart.com"/>
    <n v="9944345686"/>
    <s v="East"/>
    <s v="Online Sales"/>
    <s v="10+ yrs"/>
    <s v="M.Com"/>
    <d v="2023-11-22T00:00:00"/>
    <n v="71144"/>
    <d v="2024-11-06T00:00:00"/>
    <s v="Negotiation"/>
    <n v="148100"/>
    <n v="4.2000000000000003E-2"/>
    <n v="0"/>
    <s v="Walk-in"/>
    <s v="Cameras"/>
    <n v="28"/>
    <s v="Individual"/>
    <n v="35000"/>
    <n v="153102.32999999999"/>
    <n v="4.3739999999999997"/>
    <s v="Exceeded"/>
    <n v="2024"/>
    <n v="0"/>
  </r>
  <r>
    <s v="SR006"/>
    <x v="5"/>
    <s v="Manoj"/>
    <s v="Rastogi"/>
    <s v="manoj.rastogi93@techmart.com"/>
    <n v="9944345686"/>
    <s v="East"/>
    <s v="Online Sales"/>
    <s v="10+ yrs"/>
    <s v="M.Com"/>
    <d v="2023-11-22T00:00:00"/>
    <n v="71144"/>
    <d v="2024-12-26T00:00:00"/>
    <s v="Closed Won"/>
    <n v="96200"/>
    <n v="6.8000000000000005E-2"/>
    <n v="6541.6"/>
    <s v="LinkedIn"/>
    <s v="Laptops"/>
    <n v="25"/>
    <s v="Individual"/>
    <n v="35000"/>
    <n v="133520.13"/>
    <n v="3.8149999999999999"/>
    <s v="Exceeded"/>
    <n v="2024"/>
    <n v="1"/>
  </r>
  <r>
    <s v="SR006"/>
    <x v="5"/>
    <s v="Manoj"/>
    <s v="Rastogi"/>
    <s v="manoj.rastogi93@techmart.com"/>
    <n v="9944345686"/>
    <s v="East"/>
    <s v="Online Sales"/>
    <s v="10+ yrs"/>
    <s v="M.Com"/>
    <d v="2023-11-22T00:00:00"/>
    <n v="71144"/>
    <d v="2024-12-31T00:00:00"/>
    <s v="Closed Lost"/>
    <n v="186500"/>
    <n v="4.1000000000000002E-2"/>
    <n v="0"/>
    <s v="Referral"/>
    <s v="Monitors"/>
    <n v="35"/>
    <s v="Enterprise"/>
    <n v="35000"/>
    <n v="162409.46"/>
    <n v="4.6399999999999997"/>
    <s v="Exceeded"/>
    <n v="2024"/>
    <n v="0"/>
  </r>
  <r>
    <s v="SR007"/>
    <x v="6"/>
    <s v="Manoj"/>
    <s v="Saxena"/>
    <s v="manoj.saxena58@techmart.com"/>
    <n v="9994691433"/>
    <s v="West"/>
    <s v="Direct Sales"/>
    <s v="1-3 yrs"/>
    <s v="B.Sc"/>
    <d v="2022-06-09T00:00:00"/>
    <n v="27572"/>
    <d v="2022-07-11T00:00:00"/>
    <s v="Proposal Sent"/>
    <n v="154100"/>
    <n v="3.5000000000000003E-2"/>
    <n v="0"/>
    <s v="Referral"/>
    <s v="Smartphones"/>
    <n v="60"/>
    <s v="Enterprise"/>
    <n v="41666.67"/>
    <n v="135053.46"/>
    <n v="3.2410000000000001"/>
    <s v="Exceeded"/>
    <n v="2022"/>
    <n v="0"/>
  </r>
  <r>
    <s v="SR007"/>
    <x v="6"/>
    <s v="Manoj"/>
    <s v="Saxena"/>
    <s v="manoj.saxena58@techmart.com"/>
    <n v="9994691433"/>
    <s v="West"/>
    <s v="Direct Sales"/>
    <s v="1-3 yrs"/>
    <s v="B.Sc"/>
    <d v="2022-06-09T00:00:00"/>
    <n v="27572"/>
    <d v="2022-08-23T00:00:00"/>
    <s v="Closed Lost"/>
    <n v="158400"/>
    <n v="7.3999999999999996E-2"/>
    <n v="0"/>
    <s v="Trade Show"/>
    <s v="Laptops"/>
    <n v="28"/>
    <s v="Enterprise"/>
    <n v="41666.67"/>
    <n v="104584.34"/>
    <n v="2.5099999999999998"/>
    <s v="Exceeded"/>
    <n v="2022"/>
    <n v="0"/>
  </r>
  <r>
    <s v="SR007"/>
    <x v="6"/>
    <s v="Manoj"/>
    <s v="Saxena"/>
    <s v="manoj.saxena58@techmart.com"/>
    <n v="9994691433"/>
    <s v="West"/>
    <s v="Direct Sales"/>
    <s v="1-3 yrs"/>
    <s v="B.Sc"/>
    <d v="2022-06-09T00:00:00"/>
    <n v="27572"/>
    <d v="2022-11-19T00:00:00"/>
    <s v="Proposal Sent"/>
    <n v="246900"/>
    <n v="3.4000000000000002E-2"/>
    <n v="0"/>
    <s v="Email Campaign"/>
    <s v="Tablets"/>
    <n v="37"/>
    <s v="SMB"/>
    <n v="41666.67"/>
    <n v="220038.39"/>
    <n v="5.2809999999999997"/>
    <s v="Exceeded"/>
    <n v="2022"/>
    <n v="0"/>
  </r>
  <r>
    <s v="SR007"/>
    <x v="6"/>
    <s v="Manoj"/>
    <s v="Saxena"/>
    <s v="manoj.saxena58@techmart.com"/>
    <n v="9994691433"/>
    <s v="West"/>
    <s v="Direct Sales"/>
    <s v="1-3 yrs"/>
    <s v="B.Sc"/>
    <d v="2022-06-09T00:00:00"/>
    <n v="27572"/>
    <d v="2022-12-06T00:00:00"/>
    <s v="Closed Won"/>
    <n v="210900"/>
    <n v="3.3000000000000002E-2"/>
    <n v="6959.7"/>
    <s v="LinkedIn"/>
    <s v="Smartphones"/>
    <n v="10"/>
    <s v="SMB"/>
    <n v="41666.67"/>
    <n v="242379.51999999999"/>
    <n v="5.8170000000000002"/>
    <s v="Exceeded"/>
    <n v="2022"/>
    <n v="1"/>
  </r>
  <r>
    <s v="SR007"/>
    <x v="6"/>
    <s v="Manoj"/>
    <s v="Saxena"/>
    <s v="manoj.saxena58@techmart.com"/>
    <n v="9994691433"/>
    <s v="West"/>
    <s v="Direct Sales"/>
    <s v="1-3 yrs"/>
    <s v="B.Sc"/>
    <d v="2022-06-09T00:00:00"/>
    <n v="27572"/>
    <d v="2023-05-08T00:00:00"/>
    <s v="Closed Won"/>
    <n v="30700"/>
    <n v="5.0999999999999997E-2"/>
    <n v="1565.7"/>
    <s v="Trade Show"/>
    <s v="Cameras"/>
    <n v="26"/>
    <s v="Enterprise"/>
    <n v="41666.67"/>
    <n v="39978.42"/>
    <n v="0.95899999999999996"/>
    <s v="Met"/>
    <n v="2023"/>
    <n v="1"/>
  </r>
  <r>
    <s v="SR007"/>
    <x v="6"/>
    <s v="Manoj"/>
    <s v="Saxena"/>
    <s v="manoj.saxena58@techmart.com"/>
    <n v="9994691433"/>
    <s v="West"/>
    <s v="Direct Sales"/>
    <s v="1-3 yrs"/>
    <s v="B.Sc"/>
    <d v="2022-06-09T00:00:00"/>
    <n v="27572"/>
    <d v="2023-05-17T00:00:00"/>
    <s v="Negotiation"/>
    <n v="216100"/>
    <n v="0.11"/>
    <n v="0"/>
    <s v="Trade Show"/>
    <s v="Smartphones"/>
    <n v="14"/>
    <s v="Individual"/>
    <n v="41666.67"/>
    <n v="287926.28000000003"/>
    <n v="6.91"/>
    <s v="Exceeded"/>
    <n v="2023"/>
    <n v="0"/>
  </r>
  <r>
    <s v="SR007"/>
    <x v="6"/>
    <s v="Manoj"/>
    <s v="Saxena"/>
    <s v="manoj.saxena58@techmart.com"/>
    <n v="9994691433"/>
    <s v="West"/>
    <s v="Direct Sales"/>
    <s v="1-3 yrs"/>
    <s v="B.Sc"/>
    <d v="2022-06-09T00:00:00"/>
    <n v="27572"/>
    <d v="2023-06-26T00:00:00"/>
    <s v="Closed Won"/>
    <n v="125000"/>
    <n v="9.5000000000000001E-2"/>
    <n v="11875"/>
    <s v="Email Campaign"/>
    <s v="Tablets"/>
    <n v="35"/>
    <s v="SMB"/>
    <n v="41666.67"/>
    <n v="100287.78"/>
    <n v="2.407"/>
    <s v="Exceeded"/>
    <n v="2023"/>
    <n v="1"/>
  </r>
  <r>
    <s v="SR007"/>
    <x v="6"/>
    <s v="Manoj"/>
    <s v="Saxena"/>
    <s v="manoj.saxena58@techmart.com"/>
    <n v="9994691433"/>
    <s v="West"/>
    <s v="Direct Sales"/>
    <s v="1-3 yrs"/>
    <s v="B.Sc"/>
    <d v="2022-06-09T00:00:00"/>
    <n v="27572"/>
    <d v="2023-12-27T00:00:00"/>
    <s v="Closed Won"/>
    <n v="27700"/>
    <n v="6.7000000000000004E-2"/>
    <n v="1855.9"/>
    <s v="LinkedIn"/>
    <s v="Headphones"/>
    <n v="28"/>
    <s v="Enterprise"/>
    <n v="41666.67"/>
    <n v="34716.14"/>
    <n v="0.83299999999999996"/>
    <s v="Below Target"/>
    <n v="2023"/>
    <n v="1"/>
  </r>
  <r>
    <s v="SR007"/>
    <x v="6"/>
    <s v="Manoj"/>
    <s v="Saxena"/>
    <s v="manoj.saxena58@techmart.com"/>
    <n v="9994691433"/>
    <s v="West"/>
    <s v="Direct Sales"/>
    <s v="1-3 yrs"/>
    <s v="B.Sc"/>
    <d v="2022-06-09T00:00:00"/>
    <n v="27572"/>
    <d v="2024-02-05T00:00:00"/>
    <s v="Negotiation"/>
    <n v="90500"/>
    <n v="6.8000000000000005E-2"/>
    <n v="0"/>
    <s v="Email Campaign"/>
    <s v="Monitors"/>
    <n v="42"/>
    <s v="SMB"/>
    <n v="41666.67"/>
    <n v="108697.54"/>
    <n v="2.609"/>
    <s v="Exceeded"/>
    <n v="2024"/>
    <n v="0"/>
  </r>
  <r>
    <s v="SR007"/>
    <x v="6"/>
    <s v="Manoj"/>
    <s v="Saxena"/>
    <s v="manoj.saxena58@techmart.com"/>
    <n v="9994691433"/>
    <s v="West"/>
    <s v="Direct Sales"/>
    <s v="1-3 yrs"/>
    <s v="B.Sc"/>
    <d v="2022-06-09T00:00:00"/>
    <n v="27572"/>
    <d v="2024-07-26T00:00:00"/>
    <s v="Closed Won"/>
    <n v="62600"/>
    <n v="0.11"/>
    <n v="6886"/>
    <s v="LinkedIn"/>
    <s v="Laptops"/>
    <n v="82"/>
    <s v="SMB"/>
    <n v="41666.67"/>
    <n v="63871.360000000001"/>
    <n v="1.5329999999999999"/>
    <s v="Exceeded"/>
    <n v="2024"/>
    <n v="1"/>
  </r>
  <r>
    <s v="SR008"/>
    <x v="7"/>
    <s v="Karan"/>
    <s v="Agarwal"/>
    <s v="karan.agarwal25@techmart.com"/>
    <n v="9847683874"/>
    <s v="East"/>
    <s v="Online Sales"/>
    <s v="5-10 yrs"/>
    <s v="MBA"/>
    <d v="2021-03-17T00:00:00"/>
    <n v="35910"/>
    <d v="2022-06-15T00:00:00"/>
    <s v="Negotiation"/>
    <n v="235900"/>
    <n v="0.06"/>
    <n v="0"/>
    <s v="Cold Call"/>
    <s v="Smart TVs"/>
    <n v="87"/>
    <s v="Mid-Market"/>
    <n v="35000"/>
    <n v="306476.59000000003"/>
    <n v="8.7560000000000002"/>
    <s v="Exceeded"/>
    <n v="2022"/>
    <n v="0"/>
  </r>
  <r>
    <s v="SR008"/>
    <x v="7"/>
    <s v="Karan"/>
    <s v="Agarwal"/>
    <s v="karan.agarwal25@techmart.com"/>
    <n v="9847683874"/>
    <s v="East"/>
    <s v="Online Sales"/>
    <s v="5-10 yrs"/>
    <s v="MBA"/>
    <d v="2021-03-17T00:00:00"/>
    <n v="35910"/>
    <d v="2022-08-16T00:00:00"/>
    <s v="Closed Lost"/>
    <n v="100800"/>
    <n v="7.1999999999999995E-2"/>
    <n v="0"/>
    <s v="Cold Call"/>
    <s v="Tablets"/>
    <n v="47"/>
    <s v="SMB"/>
    <n v="35000"/>
    <n v="109202.22"/>
    <n v="3.12"/>
    <s v="Exceeded"/>
    <n v="2022"/>
    <n v="0"/>
  </r>
  <r>
    <s v="SR008"/>
    <x v="7"/>
    <s v="Karan"/>
    <s v="Agarwal"/>
    <s v="karan.agarwal25@techmart.com"/>
    <n v="9847683874"/>
    <s v="East"/>
    <s v="Online Sales"/>
    <s v="5-10 yrs"/>
    <s v="MBA"/>
    <d v="2021-03-17T00:00:00"/>
    <n v="35910"/>
    <d v="2023-04-01T00:00:00"/>
    <s v="Negotiation"/>
    <n v="44100"/>
    <n v="0.112"/>
    <n v="0"/>
    <s v="Cold Call"/>
    <s v="Headphones"/>
    <n v="6"/>
    <s v="Individual"/>
    <n v="35000"/>
    <n v="61393.65"/>
    <n v="1.754"/>
    <s v="Exceeded"/>
    <n v="2023"/>
    <n v="0"/>
  </r>
  <r>
    <s v="SR008"/>
    <x v="7"/>
    <s v="Karan"/>
    <s v="Agarwal"/>
    <s v="karan.agarwal25@techmart.com"/>
    <n v="9847683874"/>
    <s v="East"/>
    <s v="Online Sales"/>
    <s v="5-10 yrs"/>
    <s v="MBA"/>
    <d v="2021-03-17T00:00:00"/>
    <n v="35910"/>
    <d v="2023-05-08T00:00:00"/>
    <s v="Closed Won"/>
    <n v="151400"/>
    <n v="9.8000000000000004E-2"/>
    <n v="14837.2"/>
    <s v="Email Campaign"/>
    <s v="Monitors"/>
    <n v="53"/>
    <s v="SMB"/>
    <n v="35000"/>
    <n v="93783.34"/>
    <n v="2.68"/>
    <s v="Exceeded"/>
    <n v="2023"/>
    <n v="1"/>
  </r>
  <r>
    <s v="SR008"/>
    <x v="7"/>
    <s v="Karan"/>
    <s v="Agarwal"/>
    <s v="karan.agarwal25@techmart.com"/>
    <n v="9847683874"/>
    <s v="East"/>
    <s v="Online Sales"/>
    <s v="5-10 yrs"/>
    <s v="MBA"/>
    <d v="2021-03-17T00:00:00"/>
    <n v="35910"/>
    <d v="2023-07-26T00:00:00"/>
    <s v="Closed Won"/>
    <n v="196400"/>
    <n v="6.9000000000000006E-2"/>
    <n v="13551.6"/>
    <s v="Walk-in"/>
    <s v="Laptops"/>
    <n v="32"/>
    <s v="Mid-Market"/>
    <n v="35000"/>
    <n v="174957.8"/>
    <n v="4.9989999999999997"/>
    <s v="Exceeded"/>
    <n v="2023"/>
    <n v="1"/>
  </r>
  <r>
    <s v="SR008"/>
    <x v="7"/>
    <s v="Karan"/>
    <s v="Agarwal"/>
    <s v="karan.agarwal25@techmart.com"/>
    <n v="9847683874"/>
    <s v="East"/>
    <s v="Online Sales"/>
    <s v="5-10 yrs"/>
    <s v="MBA"/>
    <d v="2021-03-17T00:00:00"/>
    <n v="35910"/>
    <d v="2023-08-29T00:00:00"/>
    <s v="Closed Won"/>
    <n v="174800"/>
    <n v="0.12"/>
    <n v="20976"/>
    <s v="Cold Call"/>
    <s v="Headphones"/>
    <n v="86"/>
    <s v="Mid-Market"/>
    <n v="35000"/>
    <n v="112854.82"/>
    <n v="3.2240000000000002"/>
    <s v="Exceeded"/>
    <n v="2023"/>
    <n v="1"/>
  </r>
  <r>
    <s v="SR008"/>
    <x v="7"/>
    <s v="Karan"/>
    <s v="Agarwal"/>
    <s v="karan.agarwal25@techmart.com"/>
    <n v="9847683874"/>
    <s v="East"/>
    <s v="Online Sales"/>
    <s v="5-10 yrs"/>
    <s v="MBA"/>
    <d v="2021-03-17T00:00:00"/>
    <n v="35910"/>
    <d v="2023-11-13T00:00:00"/>
    <s v="Negotiation"/>
    <n v="13600"/>
    <n v="5.7000000000000002E-2"/>
    <n v="0"/>
    <s v="Walk-in"/>
    <s v="Tablets"/>
    <n v="90"/>
    <s v="SMB"/>
    <n v="35000"/>
    <n v="16441.349999999999"/>
    <n v="0.47"/>
    <s v="Below Target"/>
    <n v="2023"/>
    <n v="0"/>
  </r>
  <r>
    <s v="SR008"/>
    <x v="7"/>
    <s v="Karan"/>
    <s v="Agarwal"/>
    <s v="karan.agarwal25@techmart.com"/>
    <n v="9847683874"/>
    <s v="East"/>
    <s v="Online Sales"/>
    <s v="5-10 yrs"/>
    <s v="MBA"/>
    <d v="2021-03-17T00:00:00"/>
    <n v="35910"/>
    <d v="2024-01-29T00:00:00"/>
    <s v="Proposal Sent"/>
    <n v="126700"/>
    <n v="9.2999999999999999E-2"/>
    <n v="0"/>
    <s v="Cold Call"/>
    <s v="Cameras"/>
    <n v="81"/>
    <s v="Individual"/>
    <n v="35000"/>
    <n v="107237.78"/>
    <n v="3.0640000000000001"/>
    <s v="Exceeded"/>
    <n v="2024"/>
    <n v="0"/>
  </r>
  <r>
    <s v="SR008"/>
    <x v="7"/>
    <s v="Karan"/>
    <s v="Agarwal"/>
    <s v="karan.agarwal25@techmart.com"/>
    <n v="9847683874"/>
    <s v="East"/>
    <s v="Online Sales"/>
    <s v="5-10 yrs"/>
    <s v="MBA"/>
    <d v="2021-03-17T00:00:00"/>
    <n v="35910"/>
    <d v="2024-07-29T00:00:00"/>
    <s v="Negotiation"/>
    <n v="200900"/>
    <n v="8.3000000000000004E-2"/>
    <n v="0"/>
    <s v="Trade Show"/>
    <s v="Headphones"/>
    <n v="18"/>
    <s v="Enterprise"/>
    <n v="35000"/>
    <n v="133890.04"/>
    <n v="3.8250000000000002"/>
    <s v="Exceeded"/>
    <n v="2024"/>
    <n v="0"/>
  </r>
  <r>
    <s v="SR008"/>
    <x v="7"/>
    <s v="Karan"/>
    <s v="Agarwal"/>
    <s v="karan.agarwal25@techmart.com"/>
    <n v="9847683874"/>
    <s v="East"/>
    <s v="Online Sales"/>
    <s v="5-10 yrs"/>
    <s v="MBA"/>
    <d v="2021-03-17T00:00:00"/>
    <n v="35910"/>
    <d v="2024-10-29T00:00:00"/>
    <s v="Closed Won"/>
    <n v="116600"/>
    <n v="7.8E-2"/>
    <n v="9094.7999999999993"/>
    <s v="Trade Show"/>
    <s v="Cameras"/>
    <n v="90"/>
    <s v="Individual"/>
    <n v="35000"/>
    <n v="105779.2"/>
    <n v="3.0219999999999998"/>
    <s v="Exceeded"/>
    <n v="2024"/>
    <n v="1"/>
  </r>
  <r>
    <s v="SR009"/>
    <x v="8"/>
    <s v="Sneha"/>
    <s v="Tiwari"/>
    <s v="sneha.tiwari79@techmart.com"/>
    <n v="9648555039"/>
    <s v="North"/>
    <s v="Retail Sales"/>
    <s v="1-3 yrs"/>
    <s v="B.Tech"/>
    <d v="2023-01-25T00:00:00"/>
    <n v="72359"/>
    <d v="2023-04-03T00:00:00"/>
    <s v="Negotiation"/>
    <n v="190900"/>
    <n v="0.1"/>
    <n v="0"/>
    <s v="Referral"/>
    <s v="Tablets"/>
    <n v="31"/>
    <s v="Individual"/>
    <n v="37500"/>
    <n v="206961.29"/>
    <n v="5.5190000000000001"/>
    <s v="Exceeded"/>
    <n v="2023"/>
    <n v="0"/>
  </r>
  <r>
    <s v="SR009"/>
    <x v="8"/>
    <s v="Sneha"/>
    <s v="Tiwari"/>
    <s v="sneha.tiwari79@techmart.com"/>
    <n v="9648555039"/>
    <s v="North"/>
    <s v="Retail Sales"/>
    <s v="1-3 yrs"/>
    <s v="B.Tech"/>
    <d v="2023-01-25T00:00:00"/>
    <n v="72359"/>
    <d v="2023-07-27T00:00:00"/>
    <s v="Closed Won"/>
    <n v="25200"/>
    <n v="0.04"/>
    <n v="1008"/>
    <s v="Inbound Lead"/>
    <s v="Smartphones"/>
    <n v="90"/>
    <s v="SMB"/>
    <n v="37500"/>
    <n v="23856.74"/>
    <n v="0.63600000000000001"/>
    <s v="Below Target"/>
    <n v="2023"/>
    <n v="1"/>
  </r>
  <r>
    <s v="SR009"/>
    <x v="8"/>
    <s v="Sneha"/>
    <s v="Tiwari"/>
    <s v="sneha.tiwari79@techmart.com"/>
    <n v="9648555039"/>
    <s v="North"/>
    <s v="Retail Sales"/>
    <s v="1-3 yrs"/>
    <s v="B.Tech"/>
    <d v="2023-01-25T00:00:00"/>
    <n v="72359"/>
    <d v="2023-08-22T00:00:00"/>
    <s v="Negotiation"/>
    <n v="169400"/>
    <n v="3.2000000000000001E-2"/>
    <n v="0"/>
    <s v="Trade Show"/>
    <s v="Monitors"/>
    <n v="70"/>
    <s v="SMB"/>
    <n v="37500"/>
    <n v="156951.54"/>
    <n v="4.1849999999999996"/>
    <s v="Exceeded"/>
    <n v="2023"/>
    <n v="0"/>
  </r>
  <r>
    <s v="SR009"/>
    <x v="8"/>
    <s v="Sneha"/>
    <s v="Tiwari"/>
    <s v="sneha.tiwari79@techmart.com"/>
    <n v="9648555039"/>
    <s v="North"/>
    <s v="Retail Sales"/>
    <s v="1-3 yrs"/>
    <s v="B.Tech"/>
    <d v="2023-01-25T00:00:00"/>
    <n v="72359"/>
    <d v="2023-09-19T00:00:00"/>
    <s v="Negotiation"/>
    <n v="174000"/>
    <n v="0.06"/>
    <n v="0"/>
    <s v="LinkedIn"/>
    <s v="Tablets"/>
    <n v="84"/>
    <s v="Mid-Market"/>
    <n v="37500"/>
    <n v="163130.84"/>
    <n v="4.3499999999999996"/>
    <s v="Exceeded"/>
    <n v="2023"/>
    <n v="0"/>
  </r>
  <r>
    <s v="SR009"/>
    <x v="8"/>
    <s v="Sneha"/>
    <s v="Tiwari"/>
    <s v="sneha.tiwari79@techmart.com"/>
    <n v="9648555039"/>
    <s v="North"/>
    <s v="Retail Sales"/>
    <s v="1-3 yrs"/>
    <s v="B.Tech"/>
    <d v="2023-01-25T00:00:00"/>
    <n v="72359"/>
    <d v="2024-02-05T00:00:00"/>
    <s v="Proposal Sent"/>
    <n v="186700"/>
    <n v="0.10299999999999999"/>
    <n v="0"/>
    <s v="Cold Call"/>
    <s v="Laptops"/>
    <n v="59"/>
    <s v="Individual"/>
    <n v="37500"/>
    <n v="106821.03"/>
    <n v="2.8490000000000002"/>
    <s v="Exceeded"/>
    <n v="2024"/>
    <n v="0"/>
  </r>
  <r>
    <s v="SR009"/>
    <x v="8"/>
    <s v="Sneha"/>
    <s v="Tiwari"/>
    <s v="sneha.tiwari79@techmart.com"/>
    <n v="9648555039"/>
    <s v="North"/>
    <s v="Retail Sales"/>
    <s v="1-3 yrs"/>
    <s v="B.Tech"/>
    <d v="2023-01-25T00:00:00"/>
    <n v="72359"/>
    <d v="2024-03-30T00:00:00"/>
    <s v="Closed Lost"/>
    <n v="198400"/>
    <n v="8.7999999999999995E-2"/>
    <n v="0"/>
    <s v="Inbound Lead"/>
    <s v="Laptops"/>
    <n v="9"/>
    <s v="Individual"/>
    <n v="37500"/>
    <n v="254867.48"/>
    <n v="6.7960000000000003"/>
    <s v="Exceeded"/>
    <n v="2024"/>
    <n v="0"/>
  </r>
  <r>
    <s v="SR009"/>
    <x v="8"/>
    <s v="Sneha"/>
    <s v="Tiwari"/>
    <s v="sneha.tiwari79@techmart.com"/>
    <n v="9648555039"/>
    <s v="North"/>
    <s v="Retail Sales"/>
    <s v="1-3 yrs"/>
    <s v="B.Tech"/>
    <d v="2023-01-25T00:00:00"/>
    <n v="72359"/>
    <d v="2024-06-23T00:00:00"/>
    <s v="Proposal Sent"/>
    <n v="115900"/>
    <n v="5.5E-2"/>
    <n v="0"/>
    <s v="Cold Call"/>
    <s v="Tablets"/>
    <n v="45"/>
    <s v="Enterprise"/>
    <n v="37500"/>
    <n v="108668.33"/>
    <n v="2.8980000000000001"/>
    <s v="Exceeded"/>
    <n v="2024"/>
    <n v="0"/>
  </r>
  <r>
    <s v="SR009"/>
    <x v="8"/>
    <s v="Sneha"/>
    <s v="Tiwari"/>
    <s v="sneha.tiwari79@techmart.com"/>
    <n v="9648555039"/>
    <s v="North"/>
    <s v="Retail Sales"/>
    <s v="1-3 yrs"/>
    <s v="B.Tech"/>
    <d v="2023-01-25T00:00:00"/>
    <n v="72359"/>
    <d v="2024-07-17T00:00:00"/>
    <s v="Closed Won"/>
    <n v="128200"/>
    <n v="9.4E-2"/>
    <n v="12050.8"/>
    <s v="Email Campaign"/>
    <s v="Cameras"/>
    <n v="69"/>
    <s v="Mid-Market"/>
    <n v="37500"/>
    <n v="116249.27"/>
    <n v="3.1"/>
    <s v="Exceeded"/>
    <n v="2024"/>
    <n v="1"/>
  </r>
  <r>
    <s v="SR009"/>
    <x v="8"/>
    <s v="Sneha"/>
    <s v="Tiwari"/>
    <s v="sneha.tiwari79@techmart.com"/>
    <n v="9648555039"/>
    <s v="North"/>
    <s v="Retail Sales"/>
    <s v="1-3 yrs"/>
    <s v="B.Tech"/>
    <d v="2023-01-25T00:00:00"/>
    <n v="72359"/>
    <d v="2024-09-10T00:00:00"/>
    <s v="Proposal Sent"/>
    <n v="60000"/>
    <n v="9.8000000000000004E-2"/>
    <n v="0"/>
    <s v="Walk-in"/>
    <s v="Laptops"/>
    <n v="42"/>
    <s v="Mid-Market"/>
    <n v="37500"/>
    <n v="78488.38"/>
    <n v="2.093"/>
    <s v="Exceeded"/>
    <n v="2024"/>
    <n v="0"/>
  </r>
  <r>
    <s v="SR009"/>
    <x v="8"/>
    <s v="Sneha"/>
    <s v="Tiwari"/>
    <s v="sneha.tiwari79@techmart.com"/>
    <n v="9648555039"/>
    <s v="North"/>
    <s v="Retail Sales"/>
    <s v="1-3 yrs"/>
    <s v="B.Tech"/>
    <d v="2023-01-25T00:00:00"/>
    <n v="72359"/>
    <d v="2024-12-06T00:00:00"/>
    <s v="Proposal Sent"/>
    <n v="144000"/>
    <n v="0.106"/>
    <n v="0"/>
    <s v="Trade Show"/>
    <s v="Headphones"/>
    <n v="39"/>
    <s v="SMB"/>
    <n v="37500"/>
    <n v="188417.34"/>
    <n v="5.024"/>
    <s v="Exceeded"/>
    <n v="2024"/>
    <n v="0"/>
  </r>
  <r>
    <s v="SR010"/>
    <x v="9"/>
    <s v="Kavita"/>
    <s v="Patel"/>
    <s v="kavita.patel75@techmart.com"/>
    <n v="9842067503"/>
    <s v="Central"/>
    <s v="Channel Sales"/>
    <s v="5-10 yrs"/>
    <s v="B.Tech"/>
    <d v="2021-08-17T00:00:00"/>
    <n v="26632"/>
    <d v="2022-12-26T00:00:00"/>
    <s v="Proposal Sent"/>
    <n v="186600"/>
    <n v="0.111"/>
    <n v="0"/>
    <s v="Walk-in"/>
    <s v="Laptops"/>
    <n v="21"/>
    <s v="SMB"/>
    <n v="33333.33"/>
    <n v="112935.1"/>
    <n v="3.3879999999999999"/>
    <s v="Exceeded"/>
    <n v="2022"/>
    <n v="0"/>
  </r>
  <r>
    <s v="SR010"/>
    <x v="9"/>
    <s v="Kavita"/>
    <s v="Patel"/>
    <s v="kavita.patel75@techmart.com"/>
    <n v="9842067503"/>
    <s v="Central"/>
    <s v="Channel Sales"/>
    <s v="5-10 yrs"/>
    <s v="B.Tech"/>
    <d v="2021-08-17T00:00:00"/>
    <n v="26632"/>
    <d v="2023-02-04T00:00:00"/>
    <s v="Negotiation"/>
    <n v="143000"/>
    <n v="0.05"/>
    <n v="0"/>
    <s v="Walk-in"/>
    <s v="Tablets"/>
    <n v="26"/>
    <s v="Individual"/>
    <n v="33333.33"/>
    <n v="82257.98"/>
    <n v="2.468"/>
    <s v="Exceeded"/>
    <n v="2023"/>
    <n v="0"/>
  </r>
  <r>
    <s v="SR010"/>
    <x v="9"/>
    <s v="Kavita"/>
    <s v="Patel"/>
    <s v="kavita.patel75@techmart.com"/>
    <n v="9842067503"/>
    <s v="Central"/>
    <s v="Channel Sales"/>
    <s v="5-10 yrs"/>
    <s v="B.Tech"/>
    <d v="2021-08-17T00:00:00"/>
    <n v="26632"/>
    <d v="2023-08-06T00:00:00"/>
    <s v="Closed Lost"/>
    <n v="48600"/>
    <n v="8.5999999999999993E-2"/>
    <n v="0"/>
    <s v="Referral"/>
    <s v="Monitors"/>
    <n v="69"/>
    <s v="Mid-Market"/>
    <n v="33333.33"/>
    <n v="32272.95"/>
    <n v="0.96799999999999997"/>
    <s v="Met"/>
    <n v="2023"/>
    <n v="0"/>
  </r>
  <r>
    <s v="SR010"/>
    <x v="9"/>
    <s v="Kavita"/>
    <s v="Patel"/>
    <s v="kavita.patel75@techmart.com"/>
    <n v="9842067503"/>
    <s v="Central"/>
    <s v="Channel Sales"/>
    <s v="5-10 yrs"/>
    <s v="B.Tech"/>
    <d v="2021-08-17T00:00:00"/>
    <n v="26632"/>
    <d v="2023-09-20T00:00:00"/>
    <s v="Closed Won"/>
    <n v="211900"/>
    <n v="5.2999999999999999E-2"/>
    <n v="11230.7"/>
    <s v="Trade Show"/>
    <s v="Tablets"/>
    <n v="37"/>
    <s v="Individual"/>
    <n v="33333.33"/>
    <n v="134239.6"/>
    <n v="4.0270000000000001"/>
    <s v="Exceeded"/>
    <n v="2023"/>
    <n v="1"/>
  </r>
  <r>
    <s v="SR010"/>
    <x v="9"/>
    <s v="Kavita"/>
    <s v="Patel"/>
    <s v="kavita.patel75@techmart.com"/>
    <n v="9842067503"/>
    <s v="Central"/>
    <s v="Channel Sales"/>
    <s v="5-10 yrs"/>
    <s v="B.Tech"/>
    <d v="2021-08-17T00:00:00"/>
    <n v="26632"/>
    <d v="2023-10-11T00:00:00"/>
    <s v="Negotiation"/>
    <n v="38200"/>
    <n v="7.0000000000000007E-2"/>
    <n v="0"/>
    <s v="Inbound Lead"/>
    <s v="Laptops"/>
    <n v="27"/>
    <s v="Individual"/>
    <n v="33333.33"/>
    <n v="41981.72"/>
    <n v="1.2589999999999999"/>
    <s v="Exceeded"/>
    <n v="2023"/>
    <n v="0"/>
  </r>
  <r>
    <s v="SR010"/>
    <x v="9"/>
    <s v="Kavita"/>
    <s v="Patel"/>
    <s v="kavita.patel75@techmart.com"/>
    <n v="9842067503"/>
    <s v="Central"/>
    <s v="Channel Sales"/>
    <s v="5-10 yrs"/>
    <s v="B.Tech"/>
    <d v="2021-08-17T00:00:00"/>
    <n v="26632"/>
    <d v="2023-12-06T00:00:00"/>
    <s v="Closed Won"/>
    <n v="102800"/>
    <n v="7.0000000000000007E-2"/>
    <n v="7196"/>
    <s v="Referral"/>
    <s v="Smart TVs"/>
    <n v="39"/>
    <s v="Individual"/>
    <n v="33333.33"/>
    <n v="136558.54999999999"/>
    <n v="4.0970000000000004"/>
    <s v="Exceeded"/>
    <n v="2023"/>
    <n v="1"/>
  </r>
  <r>
    <s v="SR010"/>
    <x v="9"/>
    <s v="Kavita"/>
    <s v="Patel"/>
    <s v="kavita.patel75@techmart.com"/>
    <n v="9842067503"/>
    <s v="Central"/>
    <s v="Channel Sales"/>
    <s v="5-10 yrs"/>
    <s v="B.Tech"/>
    <d v="2021-08-17T00:00:00"/>
    <n v="26632"/>
    <d v="2024-04-02T00:00:00"/>
    <s v="Negotiation"/>
    <n v="225400"/>
    <n v="0.05"/>
    <n v="0"/>
    <s v="Inbound Lead"/>
    <s v="Smartphones"/>
    <n v="42"/>
    <s v="Individual"/>
    <n v="33333.33"/>
    <n v="236069.55"/>
    <n v="7.0819999999999999"/>
    <s v="Exceeded"/>
    <n v="2024"/>
    <n v="0"/>
  </r>
  <r>
    <s v="SR010"/>
    <x v="9"/>
    <s v="Kavita"/>
    <s v="Patel"/>
    <s v="kavita.patel75@techmart.com"/>
    <n v="9842067503"/>
    <s v="Central"/>
    <s v="Channel Sales"/>
    <s v="5-10 yrs"/>
    <s v="B.Tech"/>
    <d v="2021-08-17T00:00:00"/>
    <n v="26632"/>
    <d v="2024-04-08T00:00:00"/>
    <s v="Closed Lost"/>
    <n v="206500"/>
    <n v="4.2999999999999997E-2"/>
    <n v="0"/>
    <s v="Trade Show"/>
    <s v="Tablets"/>
    <n v="20"/>
    <s v="Individual"/>
    <n v="33333.33"/>
    <n v="283552.40999999997"/>
    <n v="8.5069999999999997"/>
    <s v="Exceeded"/>
    <n v="2024"/>
    <n v="0"/>
  </r>
  <r>
    <s v="SR010"/>
    <x v="9"/>
    <s v="Kavita"/>
    <s v="Patel"/>
    <s v="kavita.patel75@techmart.com"/>
    <n v="9842067503"/>
    <s v="Central"/>
    <s v="Channel Sales"/>
    <s v="5-10 yrs"/>
    <s v="B.Tech"/>
    <d v="2021-08-17T00:00:00"/>
    <n v="26632"/>
    <d v="2024-06-24T00:00:00"/>
    <s v="Closed Won"/>
    <n v="185700"/>
    <n v="0.04"/>
    <n v="7428"/>
    <s v="Trade Show"/>
    <s v="Smartphones"/>
    <n v="18"/>
    <s v="Individual"/>
    <n v="33333.33"/>
    <n v="144339.78"/>
    <n v="4.33"/>
    <s v="Exceeded"/>
    <n v="2024"/>
    <n v="1"/>
  </r>
  <r>
    <s v="SR010"/>
    <x v="9"/>
    <s v="Kavita"/>
    <s v="Patel"/>
    <s v="kavita.patel75@techmart.com"/>
    <n v="9842067503"/>
    <s v="Central"/>
    <s v="Channel Sales"/>
    <s v="5-10 yrs"/>
    <s v="B.Tech"/>
    <d v="2021-08-17T00:00:00"/>
    <n v="26632"/>
    <d v="2024-11-05T00:00:00"/>
    <s v="Closed Won"/>
    <n v="174700"/>
    <n v="9.2999999999999999E-2"/>
    <n v="16247.1"/>
    <s v="Trade Show"/>
    <s v="Tablets"/>
    <n v="74"/>
    <s v="SMB"/>
    <n v="33333.33"/>
    <n v="213067.36"/>
    <n v="6.3920000000000003"/>
    <s v="Exceeded"/>
    <n v="2024"/>
    <n v="1"/>
  </r>
  <r>
    <s v="SR011"/>
    <x v="10"/>
    <s v="Anita"/>
    <s v="Ghosh"/>
    <s v="anita.ghosh76@techmart.com"/>
    <n v="9971362965"/>
    <s v="South"/>
    <s v="Online Sales"/>
    <s v="0-1 yr"/>
    <s v="MBA"/>
    <d v="2021-08-20T00:00:00"/>
    <n v="67505"/>
    <d v="2022-01-25T00:00:00"/>
    <s v="Closed Won"/>
    <n v="95400"/>
    <n v="6.2E-2"/>
    <n v="5914.8"/>
    <s v="Trade Show"/>
    <s v="Cameras"/>
    <n v="72"/>
    <s v="Individual"/>
    <n v="40000"/>
    <n v="66219.59"/>
    <n v="1.655"/>
    <s v="Exceeded"/>
    <n v="2022"/>
    <n v="1"/>
  </r>
  <r>
    <s v="SR011"/>
    <x v="10"/>
    <s v="Anita"/>
    <s v="Ghosh"/>
    <s v="anita.ghosh76@techmart.com"/>
    <n v="9971362965"/>
    <s v="South"/>
    <s v="Online Sales"/>
    <s v="0-1 yr"/>
    <s v="MBA"/>
    <d v="2021-08-20T00:00:00"/>
    <n v="67505"/>
    <d v="2022-06-26T00:00:00"/>
    <s v="Closed Won"/>
    <n v="59500"/>
    <n v="5.7000000000000002E-2"/>
    <n v="3391.5"/>
    <s v="Walk-in"/>
    <s v="Smart TVs"/>
    <n v="43"/>
    <s v="Individual"/>
    <n v="40000"/>
    <n v="79720.34"/>
    <n v="1.9930000000000001"/>
    <s v="Exceeded"/>
    <n v="2022"/>
    <n v="1"/>
  </r>
  <r>
    <s v="SR011"/>
    <x v="10"/>
    <s v="Anita"/>
    <s v="Ghosh"/>
    <s v="anita.ghosh76@techmart.com"/>
    <n v="9971362965"/>
    <s v="South"/>
    <s v="Online Sales"/>
    <s v="0-1 yr"/>
    <s v="MBA"/>
    <d v="2021-08-20T00:00:00"/>
    <n v="67505"/>
    <d v="2022-10-08T00:00:00"/>
    <s v="Closed Won"/>
    <n v="53800"/>
    <n v="0.105"/>
    <n v="5649"/>
    <s v="Inbound Lead"/>
    <s v="Smart TVs"/>
    <n v="63"/>
    <s v="Individual"/>
    <n v="40000"/>
    <n v="66739.94"/>
    <n v="1.6679999999999999"/>
    <s v="Exceeded"/>
    <n v="2022"/>
    <n v="1"/>
  </r>
  <r>
    <s v="SR011"/>
    <x v="10"/>
    <s v="Anita"/>
    <s v="Ghosh"/>
    <s v="anita.ghosh76@techmart.com"/>
    <n v="9971362965"/>
    <s v="South"/>
    <s v="Online Sales"/>
    <s v="0-1 yr"/>
    <s v="MBA"/>
    <d v="2021-08-20T00:00:00"/>
    <n v="67505"/>
    <d v="2022-11-12T00:00:00"/>
    <s v="Closed Won"/>
    <n v="83700"/>
    <n v="0.11600000000000001"/>
    <n v="9709.2000000000007"/>
    <s v="Walk-in"/>
    <s v="Monitors"/>
    <n v="61"/>
    <s v="Individual"/>
    <n v="40000"/>
    <n v="91101.73"/>
    <n v="2.278"/>
    <s v="Exceeded"/>
    <n v="2022"/>
    <n v="1"/>
  </r>
  <r>
    <s v="SR011"/>
    <x v="10"/>
    <s v="Anita"/>
    <s v="Ghosh"/>
    <s v="anita.ghosh76@techmart.com"/>
    <n v="9971362965"/>
    <s v="South"/>
    <s v="Online Sales"/>
    <s v="0-1 yr"/>
    <s v="MBA"/>
    <d v="2021-08-20T00:00:00"/>
    <n v="67505"/>
    <d v="2023-08-13T00:00:00"/>
    <s v="Closed Lost"/>
    <n v="52000"/>
    <n v="7.3999999999999996E-2"/>
    <n v="0"/>
    <s v="Email Campaign"/>
    <s v="Monitors"/>
    <n v="32"/>
    <s v="Individual"/>
    <n v="40000"/>
    <n v="31585.8"/>
    <n v="0.79"/>
    <s v="Below Target"/>
    <n v="2023"/>
    <n v="0"/>
  </r>
  <r>
    <s v="SR011"/>
    <x v="10"/>
    <s v="Anita"/>
    <s v="Ghosh"/>
    <s v="anita.ghosh76@techmart.com"/>
    <n v="9971362965"/>
    <s v="South"/>
    <s v="Online Sales"/>
    <s v="0-1 yr"/>
    <s v="MBA"/>
    <d v="2021-08-20T00:00:00"/>
    <n v="67505"/>
    <d v="2023-09-11T00:00:00"/>
    <s v="Negotiation"/>
    <n v="84700"/>
    <n v="7.3999999999999996E-2"/>
    <n v="0"/>
    <s v="Email Campaign"/>
    <s v="Headphones"/>
    <n v="29"/>
    <s v="Individual"/>
    <n v="40000"/>
    <n v="102664.67"/>
    <n v="2.5670000000000002"/>
    <s v="Exceeded"/>
    <n v="2023"/>
    <n v="0"/>
  </r>
  <r>
    <s v="SR011"/>
    <x v="10"/>
    <s v="Anita"/>
    <s v="Ghosh"/>
    <s v="anita.ghosh76@techmart.com"/>
    <n v="9971362965"/>
    <s v="South"/>
    <s v="Online Sales"/>
    <s v="0-1 yr"/>
    <s v="MBA"/>
    <d v="2021-08-20T00:00:00"/>
    <n v="67505"/>
    <d v="2024-02-09T00:00:00"/>
    <s v="Closed Won"/>
    <n v="6700"/>
    <n v="6.7000000000000004E-2"/>
    <n v="448.9"/>
    <s v="Inbound Lead"/>
    <s v="Headphones"/>
    <n v="23"/>
    <s v="Enterprise"/>
    <n v="40000"/>
    <n v="7632.79"/>
    <n v="0.191"/>
    <s v="Below Target"/>
    <n v="2024"/>
    <n v="1"/>
  </r>
  <r>
    <s v="SR011"/>
    <x v="10"/>
    <s v="Anita"/>
    <s v="Ghosh"/>
    <s v="anita.ghosh76@techmart.com"/>
    <n v="9971362965"/>
    <s v="South"/>
    <s v="Online Sales"/>
    <s v="0-1 yr"/>
    <s v="MBA"/>
    <d v="2021-08-20T00:00:00"/>
    <n v="67505"/>
    <d v="2024-06-28T00:00:00"/>
    <s v="Proposal Sent"/>
    <n v="113900"/>
    <n v="0.10199999999999999"/>
    <n v="0"/>
    <s v="Inbound Lead"/>
    <s v="Laptops"/>
    <n v="55"/>
    <s v="Enterprise"/>
    <n v="40000"/>
    <n v="71257.08"/>
    <n v="1.7809999999999999"/>
    <s v="Exceeded"/>
    <n v="2024"/>
    <n v="0"/>
  </r>
  <r>
    <s v="SR011"/>
    <x v="10"/>
    <s v="Anita"/>
    <s v="Ghosh"/>
    <s v="anita.ghosh76@techmart.com"/>
    <n v="9971362965"/>
    <s v="South"/>
    <s v="Online Sales"/>
    <s v="0-1 yr"/>
    <s v="MBA"/>
    <d v="2021-08-20T00:00:00"/>
    <n v="67505"/>
    <d v="2024-07-01T00:00:00"/>
    <s v="Proposal Sent"/>
    <n v="181000"/>
    <n v="0.11600000000000001"/>
    <n v="0"/>
    <s v="LinkedIn"/>
    <s v="Headphones"/>
    <n v="25"/>
    <s v="Enterprise"/>
    <n v="40000"/>
    <n v="142262.75"/>
    <n v="3.5569999999999999"/>
    <s v="Exceeded"/>
    <n v="2024"/>
    <n v="0"/>
  </r>
  <r>
    <s v="SR011"/>
    <x v="10"/>
    <s v="Anita"/>
    <s v="Ghosh"/>
    <s v="anita.ghosh76@techmart.com"/>
    <n v="9971362965"/>
    <s v="South"/>
    <s v="Online Sales"/>
    <s v="0-1 yr"/>
    <s v="MBA"/>
    <d v="2021-08-20T00:00:00"/>
    <n v="67505"/>
    <d v="2024-11-13T00:00:00"/>
    <s v="Closed Won"/>
    <n v="243100"/>
    <n v="0.09"/>
    <n v="21879"/>
    <s v="Trade Show"/>
    <s v="Laptops"/>
    <n v="55"/>
    <s v="Mid-Market"/>
    <n v="40000"/>
    <n v="206027.58"/>
    <n v="5.1509999999999998"/>
    <s v="Exceeded"/>
    <n v="2024"/>
    <n v="1"/>
  </r>
  <r>
    <s v="SR012"/>
    <x v="11"/>
    <s v="Sanjay"/>
    <s v="Reddy"/>
    <s v="sanjay.reddy12@techmart.com"/>
    <n v="9979717587"/>
    <s v="North"/>
    <s v="Online Sales"/>
    <s v="3-5 yrs"/>
    <s v="B.Com"/>
    <d v="2023-11-16T00:00:00"/>
    <n v="50171"/>
    <d v="2023-12-25T00:00:00"/>
    <s v="Negotiation"/>
    <n v="55800"/>
    <n v="9.9000000000000005E-2"/>
    <n v="0"/>
    <s v="Referral"/>
    <s v="Cameras"/>
    <n v="13"/>
    <s v="SMB"/>
    <n v="37500"/>
    <n v="55205.23"/>
    <n v="1.472"/>
    <s v="Exceeded"/>
    <n v="2023"/>
    <n v="0"/>
  </r>
  <r>
    <s v="SR012"/>
    <x v="11"/>
    <s v="Sanjay"/>
    <s v="Reddy"/>
    <s v="sanjay.reddy12@techmart.com"/>
    <n v="9979717587"/>
    <s v="North"/>
    <s v="Online Sales"/>
    <s v="3-5 yrs"/>
    <s v="B.Com"/>
    <d v="2023-11-16T00:00:00"/>
    <n v="50171"/>
    <d v="2023-12-25T00:00:00"/>
    <s v="Closed Won"/>
    <n v="219700"/>
    <n v="4.2000000000000003E-2"/>
    <n v="9227.4"/>
    <s v="Cold Call"/>
    <s v="Headphones"/>
    <n v="45"/>
    <s v="Mid-Market"/>
    <n v="37500"/>
    <n v="246491.46"/>
    <n v="6.5730000000000004"/>
    <s v="Exceeded"/>
    <n v="2023"/>
    <n v="1"/>
  </r>
  <r>
    <s v="SR012"/>
    <x v="11"/>
    <s v="Sanjay"/>
    <s v="Reddy"/>
    <s v="sanjay.reddy12@techmart.com"/>
    <n v="9979717587"/>
    <s v="North"/>
    <s v="Online Sales"/>
    <s v="3-5 yrs"/>
    <s v="B.Com"/>
    <d v="2023-11-16T00:00:00"/>
    <n v="50171"/>
    <d v="2024-02-07T00:00:00"/>
    <s v="Negotiation"/>
    <n v="20300"/>
    <n v="4.2999999999999997E-2"/>
    <n v="0"/>
    <s v="Trade Show"/>
    <s v="Monitors"/>
    <n v="18"/>
    <s v="Mid-Market"/>
    <n v="37500"/>
    <n v="13133.65"/>
    <n v="0.35"/>
    <s v="Below Target"/>
    <n v="2024"/>
    <n v="0"/>
  </r>
  <r>
    <s v="SR012"/>
    <x v="11"/>
    <s v="Sanjay"/>
    <s v="Reddy"/>
    <s v="sanjay.reddy12@techmart.com"/>
    <n v="9979717587"/>
    <s v="North"/>
    <s v="Online Sales"/>
    <s v="3-5 yrs"/>
    <s v="B.Com"/>
    <d v="2023-11-16T00:00:00"/>
    <n v="50171"/>
    <d v="2024-04-03T00:00:00"/>
    <s v="Closed Won"/>
    <n v="115000"/>
    <n v="8.6999999999999994E-2"/>
    <n v="10005"/>
    <s v="Inbound Lead"/>
    <s v="Smartphones"/>
    <n v="38"/>
    <s v="Mid-Market"/>
    <n v="37500"/>
    <n v="112314.88"/>
    <n v="2.9950000000000001"/>
    <s v="Exceeded"/>
    <n v="2024"/>
    <n v="1"/>
  </r>
  <r>
    <s v="SR012"/>
    <x v="11"/>
    <s v="Sanjay"/>
    <s v="Reddy"/>
    <s v="sanjay.reddy12@techmart.com"/>
    <n v="9979717587"/>
    <s v="North"/>
    <s v="Online Sales"/>
    <s v="3-5 yrs"/>
    <s v="B.Com"/>
    <d v="2023-11-16T00:00:00"/>
    <n v="50171"/>
    <d v="2024-04-05T00:00:00"/>
    <s v="Closed Lost"/>
    <n v="22500"/>
    <n v="8.4000000000000005E-2"/>
    <n v="0"/>
    <s v="Inbound Lead"/>
    <s v="Smart TVs"/>
    <n v="62"/>
    <s v="Enterprise"/>
    <n v="37500"/>
    <n v="28834"/>
    <n v="0.76900000000000002"/>
    <s v="Below Target"/>
    <n v="2024"/>
    <n v="0"/>
  </r>
  <r>
    <s v="SR012"/>
    <x v="11"/>
    <s v="Sanjay"/>
    <s v="Reddy"/>
    <s v="sanjay.reddy12@techmart.com"/>
    <n v="9979717587"/>
    <s v="North"/>
    <s v="Online Sales"/>
    <s v="3-5 yrs"/>
    <s v="B.Com"/>
    <d v="2023-11-16T00:00:00"/>
    <n v="50171"/>
    <d v="2024-04-25T00:00:00"/>
    <s v="Proposal Sent"/>
    <n v="214700"/>
    <n v="5.7000000000000002E-2"/>
    <n v="0"/>
    <s v="Email Campaign"/>
    <s v="Monitors"/>
    <n v="89"/>
    <s v="Mid-Market"/>
    <n v="37500"/>
    <n v="125867.89"/>
    <n v="3.3559999999999999"/>
    <s v="Exceeded"/>
    <n v="2024"/>
    <n v="0"/>
  </r>
  <r>
    <s v="SR012"/>
    <x v="11"/>
    <s v="Sanjay"/>
    <s v="Reddy"/>
    <s v="sanjay.reddy12@techmart.com"/>
    <n v="9979717587"/>
    <s v="North"/>
    <s v="Online Sales"/>
    <s v="3-5 yrs"/>
    <s v="B.Com"/>
    <d v="2023-11-16T00:00:00"/>
    <n v="50171"/>
    <d v="2024-06-13T00:00:00"/>
    <s v="Closed Won"/>
    <n v="246400"/>
    <n v="0.112"/>
    <n v="27596.799999999999"/>
    <s v="Cold Call"/>
    <s v="Laptops"/>
    <n v="20"/>
    <s v="SMB"/>
    <n v="37500"/>
    <n v="307609.75"/>
    <n v="8.2029999999999994"/>
    <s v="Exceeded"/>
    <n v="2024"/>
    <n v="1"/>
  </r>
  <r>
    <s v="SR012"/>
    <x v="11"/>
    <s v="Sanjay"/>
    <s v="Reddy"/>
    <s v="sanjay.reddy12@techmart.com"/>
    <n v="9979717587"/>
    <s v="North"/>
    <s v="Online Sales"/>
    <s v="3-5 yrs"/>
    <s v="B.Com"/>
    <d v="2023-11-16T00:00:00"/>
    <n v="50171"/>
    <d v="2024-09-07T00:00:00"/>
    <s v="Closed Won"/>
    <n v="220800"/>
    <n v="4.2999999999999997E-2"/>
    <n v="9494.4"/>
    <s v="Referral"/>
    <s v="Smart TVs"/>
    <n v="37"/>
    <s v="Mid-Market"/>
    <n v="37500"/>
    <n v="265164.69"/>
    <n v="7.0709999999999997"/>
    <s v="Exceeded"/>
    <n v="2024"/>
    <n v="1"/>
  </r>
  <r>
    <s v="SR012"/>
    <x v="11"/>
    <s v="Sanjay"/>
    <s v="Reddy"/>
    <s v="sanjay.reddy12@techmart.com"/>
    <n v="9979717587"/>
    <s v="North"/>
    <s v="Online Sales"/>
    <s v="3-5 yrs"/>
    <s v="B.Com"/>
    <d v="2023-11-16T00:00:00"/>
    <n v="50171"/>
    <d v="2024-10-02T00:00:00"/>
    <s v="Proposal Sent"/>
    <n v="129800"/>
    <n v="0.11799999999999999"/>
    <n v="0"/>
    <s v="Walk-in"/>
    <s v="Smartphones"/>
    <n v="48"/>
    <s v="Individual"/>
    <n v="37500"/>
    <n v="163645.62"/>
    <n v="4.3639999999999999"/>
    <s v="Exceeded"/>
    <n v="2024"/>
    <n v="0"/>
  </r>
  <r>
    <s v="SR012"/>
    <x v="11"/>
    <s v="Sanjay"/>
    <s v="Reddy"/>
    <s v="sanjay.reddy12@techmart.com"/>
    <n v="9979717587"/>
    <s v="North"/>
    <s v="Online Sales"/>
    <s v="3-5 yrs"/>
    <s v="B.Com"/>
    <d v="2023-11-16T00:00:00"/>
    <n v="50171"/>
    <d v="2024-12-27T00:00:00"/>
    <s v="Negotiation"/>
    <n v="165800"/>
    <n v="9.1999999999999998E-2"/>
    <n v="0"/>
    <s v="LinkedIn"/>
    <s v="Cameras"/>
    <n v="69"/>
    <s v="Individual"/>
    <n v="37500"/>
    <n v="145176.41"/>
    <n v="3.871"/>
    <s v="Exceeded"/>
    <n v="2024"/>
    <n v="0"/>
  </r>
  <r>
    <s v="SR013"/>
    <x v="12"/>
    <s v="Sanjay"/>
    <s v="Rastogi"/>
    <s v="sanjay.rastogi71@techmart.com"/>
    <n v="9687039711"/>
    <s v="West"/>
    <s v="Direct Sales"/>
    <s v="1-3 yrs"/>
    <s v="MBA"/>
    <d v="2019-09-07T00:00:00"/>
    <n v="34476"/>
    <d v="2022-02-28T00:00:00"/>
    <s v="Proposal Sent"/>
    <n v="218500"/>
    <n v="4.1000000000000002E-2"/>
    <n v="0"/>
    <s v="Referral"/>
    <s v="Cameras"/>
    <n v="89"/>
    <s v="SMB"/>
    <n v="41666.67"/>
    <n v="244554.47"/>
    <n v="5.8689999999999998"/>
    <s v="Exceeded"/>
    <n v="2022"/>
    <n v="0"/>
  </r>
  <r>
    <s v="SR013"/>
    <x v="12"/>
    <s v="Sanjay"/>
    <s v="Rastogi"/>
    <s v="sanjay.rastogi71@techmart.com"/>
    <n v="9687039711"/>
    <s v="West"/>
    <s v="Direct Sales"/>
    <s v="1-3 yrs"/>
    <s v="MBA"/>
    <d v="2019-09-07T00:00:00"/>
    <n v="34476"/>
    <d v="2022-05-20T00:00:00"/>
    <s v="Closed Won"/>
    <n v="219800"/>
    <n v="8.2000000000000003E-2"/>
    <n v="18023.599999999999"/>
    <s v="Cold Call"/>
    <s v="Smart TVs"/>
    <n v="28"/>
    <s v="SMB"/>
    <n v="41666.67"/>
    <n v="300650.65999999997"/>
    <n v="7.2160000000000002"/>
    <s v="Exceeded"/>
    <n v="2022"/>
    <n v="1"/>
  </r>
  <r>
    <s v="SR013"/>
    <x v="12"/>
    <s v="Sanjay"/>
    <s v="Rastogi"/>
    <s v="sanjay.rastogi71@techmart.com"/>
    <n v="9687039711"/>
    <s v="West"/>
    <s v="Direct Sales"/>
    <s v="1-3 yrs"/>
    <s v="MBA"/>
    <d v="2019-09-07T00:00:00"/>
    <n v="34476"/>
    <d v="2022-10-12T00:00:00"/>
    <s v="Closed Lost"/>
    <n v="238200"/>
    <n v="0.11899999999999999"/>
    <n v="0"/>
    <s v="LinkedIn"/>
    <s v="Cameras"/>
    <n v="44"/>
    <s v="SMB"/>
    <n v="41666.67"/>
    <n v="271287.27"/>
    <n v="6.5110000000000001"/>
    <s v="Exceeded"/>
    <n v="2022"/>
    <n v="0"/>
  </r>
  <r>
    <s v="SR013"/>
    <x v="12"/>
    <s v="Sanjay"/>
    <s v="Rastogi"/>
    <s v="sanjay.rastogi71@techmart.com"/>
    <n v="9687039711"/>
    <s v="West"/>
    <s v="Direct Sales"/>
    <s v="1-3 yrs"/>
    <s v="MBA"/>
    <d v="2019-09-07T00:00:00"/>
    <n v="34476"/>
    <d v="2022-12-18T00:00:00"/>
    <s v="Negotiation"/>
    <n v="6100"/>
    <n v="0.11799999999999999"/>
    <n v="0"/>
    <s v="Cold Call"/>
    <s v="Laptops"/>
    <n v="65"/>
    <s v="Enterprise"/>
    <n v="41666.67"/>
    <n v="5061.88"/>
    <n v="0.121"/>
    <s v="Below Target"/>
    <n v="2022"/>
    <n v="0"/>
  </r>
  <r>
    <s v="SR013"/>
    <x v="12"/>
    <s v="Sanjay"/>
    <s v="Rastogi"/>
    <s v="sanjay.rastogi71@techmart.com"/>
    <n v="9687039711"/>
    <s v="West"/>
    <s v="Direct Sales"/>
    <s v="1-3 yrs"/>
    <s v="MBA"/>
    <d v="2019-09-07T00:00:00"/>
    <n v="34476"/>
    <d v="2023-01-15T00:00:00"/>
    <s v="Closed Lost"/>
    <n v="181600"/>
    <n v="0.11600000000000001"/>
    <n v="0"/>
    <s v="Referral"/>
    <s v="Cameras"/>
    <n v="46"/>
    <s v="Enterprise"/>
    <n v="41666.67"/>
    <n v="160113.57"/>
    <n v="3.843"/>
    <s v="Exceeded"/>
    <n v="2023"/>
    <n v="0"/>
  </r>
  <r>
    <s v="SR013"/>
    <x v="12"/>
    <s v="Sanjay"/>
    <s v="Rastogi"/>
    <s v="sanjay.rastogi71@techmart.com"/>
    <n v="9687039711"/>
    <s v="West"/>
    <s v="Direct Sales"/>
    <s v="1-3 yrs"/>
    <s v="MBA"/>
    <d v="2019-09-07T00:00:00"/>
    <n v="34476"/>
    <d v="2023-02-25T00:00:00"/>
    <s v="Negotiation"/>
    <n v="241200"/>
    <n v="4.8000000000000001E-2"/>
    <n v="0"/>
    <s v="Email Campaign"/>
    <s v="Tablets"/>
    <n v="4"/>
    <s v="Individual"/>
    <n v="41666.67"/>
    <n v="152197.51"/>
    <n v="3.653"/>
    <s v="Exceeded"/>
    <n v="2023"/>
    <n v="0"/>
  </r>
  <r>
    <s v="SR013"/>
    <x v="12"/>
    <s v="Sanjay"/>
    <s v="Rastogi"/>
    <s v="sanjay.rastogi71@techmart.com"/>
    <n v="9687039711"/>
    <s v="West"/>
    <s v="Direct Sales"/>
    <s v="1-3 yrs"/>
    <s v="MBA"/>
    <d v="2019-09-07T00:00:00"/>
    <n v="34476"/>
    <d v="2023-06-03T00:00:00"/>
    <s v="Closed Won"/>
    <n v="22400"/>
    <n v="5.7000000000000002E-2"/>
    <n v="1276.8"/>
    <s v="Cold Call"/>
    <s v="Cameras"/>
    <n v="13"/>
    <s v="Individual"/>
    <n v="41666.67"/>
    <n v="29749.18"/>
    <n v="0.71399999999999997"/>
    <s v="Below Target"/>
    <n v="2023"/>
    <n v="1"/>
  </r>
  <r>
    <s v="SR013"/>
    <x v="12"/>
    <s v="Sanjay"/>
    <s v="Rastogi"/>
    <s v="sanjay.rastogi71@techmart.com"/>
    <n v="9687039711"/>
    <s v="West"/>
    <s v="Direct Sales"/>
    <s v="1-3 yrs"/>
    <s v="MBA"/>
    <d v="2019-09-07T00:00:00"/>
    <n v="34476"/>
    <d v="2023-07-23T00:00:00"/>
    <s v="Negotiation"/>
    <n v="96200"/>
    <n v="6.2E-2"/>
    <n v="0"/>
    <s v="Walk-in"/>
    <s v="Smart TVs"/>
    <n v="79"/>
    <s v="SMB"/>
    <n v="41666.67"/>
    <n v="91815.039999999994"/>
    <n v="2.2040000000000002"/>
    <s v="Exceeded"/>
    <n v="2023"/>
    <n v="0"/>
  </r>
  <r>
    <s v="SR013"/>
    <x v="12"/>
    <s v="Sanjay"/>
    <s v="Rastogi"/>
    <s v="sanjay.rastogi71@techmart.com"/>
    <n v="9687039711"/>
    <s v="West"/>
    <s v="Direct Sales"/>
    <s v="1-3 yrs"/>
    <s v="MBA"/>
    <d v="2019-09-07T00:00:00"/>
    <n v="34476"/>
    <d v="2023-09-22T00:00:00"/>
    <s v="Closed Won"/>
    <n v="60000"/>
    <n v="4.2000000000000003E-2"/>
    <n v="2520"/>
    <s v="Cold Call"/>
    <s v="Headphones"/>
    <n v="89"/>
    <s v="Individual"/>
    <n v="41666.67"/>
    <n v="34197.71"/>
    <n v="0.82099999999999995"/>
    <s v="Below Target"/>
    <n v="2023"/>
    <n v="1"/>
  </r>
  <r>
    <s v="SR013"/>
    <x v="12"/>
    <s v="Sanjay"/>
    <s v="Rastogi"/>
    <s v="sanjay.rastogi71@techmart.com"/>
    <n v="9687039711"/>
    <s v="West"/>
    <s v="Direct Sales"/>
    <s v="1-3 yrs"/>
    <s v="MBA"/>
    <d v="2019-09-07T00:00:00"/>
    <n v="34476"/>
    <d v="2024-09-18T00:00:00"/>
    <s v="Closed Lost"/>
    <n v="16100"/>
    <n v="4.8000000000000001E-2"/>
    <n v="0"/>
    <s v="Cold Call"/>
    <s v="Cameras"/>
    <n v="85"/>
    <s v="Individual"/>
    <n v="41666.67"/>
    <n v="14847"/>
    <n v="0.35599999999999998"/>
    <s v="Below Target"/>
    <n v="2024"/>
    <n v="0"/>
  </r>
  <r>
    <s v="SR014"/>
    <x v="13"/>
    <s v="Anita"/>
    <s v="Agarwal"/>
    <s v="anita.agarwal54@techmart.com"/>
    <n v="9663111309"/>
    <s v="East"/>
    <s v="Enterprise Sales"/>
    <s v="5-10 yrs"/>
    <s v="MBA"/>
    <d v="2020-01-11T00:00:00"/>
    <n v="33622"/>
    <d v="2023-02-12T00:00:00"/>
    <s v="Closed Won"/>
    <n v="57500"/>
    <n v="8.4000000000000005E-2"/>
    <n v="4830"/>
    <s v="Trade Show"/>
    <s v="Smartphones"/>
    <n v="30"/>
    <s v="Enterprise"/>
    <n v="35000"/>
    <n v="66279.13"/>
    <n v="1.8939999999999999"/>
    <s v="Exceeded"/>
    <n v="2023"/>
    <n v="1"/>
  </r>
  <r>
    <s v="SR014"/>
    <x v="13"/>
    <s v="Anita"/>
    <s v="Agarwal"/>
    <s v="anita.agarwal54@techmart.com"/>
    <n v="9663111309"/>
    <s v="East"/>
    <s v="Enterprise Sales"/>
    <s v="5-10 yrs"/>
    <s v="MBA"/>
    <d v="2020-01-11T00:00:00"/>
    <n v="33622"/>
    <d v="2023-07-25T00:00:00"/>
    <s v="Proposal Sent"/>
    <n v="205800"/>
    <n v="8.2000000000000003E-2"/>
    <n v="0"/>
    <s v="Inbound Lead"/>
    <s v="Cameras"/>
    <n v="83"/>
    <s v="Enterprise"/>
    <n v="35000"/>
    <n v="168856.34"/>
    <n v="4.8239999999999998"/>
    <s v="Exceeded"/>
    <n v="2023"/>
    <n v="0"/>
  </r>
  <r>
    <s v="SR014"/>
    <x v="13"/>
    <s v="Anita"/>
    <s v="Agarwal"/>
    <s v="anita.agarwal54@techmart.com"/>
    <n v="9663111309"/>
    <s v="East"/>
    <s v="Enterprise Sales"/>
    <s v="5-10 yrs"/>
    <s v="MBA"/>
    <d v="2020-01-11T00:00:00"/>
    <n v="33622"/>
    <d v="2023-08-19T00:00:00"/>
    <s v="Closed Lost"/>
    <n v="54500"/>
    <n v="0.107"/>
    <n v="0"/>
    <s v="Walk-in"/>
    <s v="Cameras"/>
    <n v="61"/>
    <s v="Mid-Market"/>
    <n v="35000"/>
    <n v="36044.53"/>
    <n v="1.03"/>
    <s v="Met"/>
    <n v="2023"/>
    <n v="0"/>
  </r>
  <r>
    <s v="SR014"/>
    <x v="13"/>
    <s v="Anita"/>
    <s v="Agarwal"/>
    <s v="anita.agarwal54@techmart.com"/>
    <n v="9663111309"/>
    <s v="East"/>
    <s v="Enterprise Sales"/>
    <s v="5-10 yrs"/>
    <s v="MBA"/>
    <d v="2020-01-11T00:00:00"/>
    <n v="33622"/>
    <d v="2024-02-28T00:00:00"/>
    <s v="Closed Won"/>
    <n v="124800"/>
    <n v="8.4000000000000005E-2"/>
    <n v="10483.200000000001"/>
    <s v="Inbound Lead"/>
    <s v="Monitors"/>
    <n v="57"/>
    <s v="SMB"/>
    <n v="35000"/>
    <n v="124615.83"/>
    <n v="3.56"/>
    <s v="Exceeded"/>
    <n v="2024"/>
    <n v="1"/>
  </r>
  <r>
    <s v="SR014"/>
    <x v="13"/>
    <s v="Anita"/>
    <s v="Agarwal"/>
    <s v="anita.agarwal54@techmart.com"/>
    <n v="9663111309"/>
    <s v="East"/>
    <s v="Enterprise Sales"/>
    <s v="5-10 yrs"/>
    <s v="MBA"/>
    <d v="2020-01-11T00:00:00"/>
    <n v="33622"/>
    <d v="2024-03-19T00:00:00"/>
    <s v="Closed Lost"/>
    <n v="187200"/>
    <n v="8.3000000000000004E-2"/>
    <n v="0"/>
    <s v="Cold Call"/>
    <s v="Monitors"/>
    <n v="22"/>
    <s v="Individual"/>
    <n v="35000"/>
    <n v="154877.85999999999"/>
    <n v="4.4249999999999998"/>
    <s v="Exceeded"/>
    <n v="2024"/>
    <n v="0"/>
  </r>
  <r>
    <s v="SR014"/>
    <x v="13"/>
    <s v="Anita"/>
    <s v="Agarwal"/>
    <s v="anita.agarwal54@techmart.com"/>
    <n v="9663111309"/>
    <s v="East"/>
    <s v="Enterprise Sales"/>
    <s v="5-10 yrs"/>
    <s v="MBA"/>
    <d v="2020-01-11T00:00:00"/>
    <n v="33622"/>
    <d v="2024-04-08T00:00:00"/>
    <s v="Closed Lost"/>
    <n v="139100"/>
    <n v="5.5E-2"/>
    <n v="0"/>
    <s v="Walk-in"/>
    <s v="Headphones"/>
    <n v="14"/>
    <s v="Individual"/>
    <n v="35000"/>
    <n v="100933.86"/>
    <n v="2.8839999999999999"/>
    <s v="Exceeded"/>
    <n v="2024"/>
    <n v="0"/>
  </r>
  <r>
    <s v="SR014"/>
    <x v="13"/>
    <s v="Anita"/>
    <s v="Agarwal"/>
    <s v="anita.agarwal54@techmart.com"/>
    <n v="9663111309"/>
    <s v="East"/>
    <s v="Enterprise Sales"/>
    <s v="5-10 yrs"/>
    <s v="MBA"/>
    <d v="2020-01-11T00:00:00"/>
    <n v="33622"/>
    <d v="2024-10-03T00:00:00"/>
    <s v="Proposal Sent"/>
    <n v="32600"/>
    <n v="6.6000000000000003E-2"/>
    <n v="0"/>
    <s v="LinkedIn"/>
    <s v="Monitors"/>
    <n v="87"/>
    <s v="Individual"/>
    <n v="35000"/>
    <n v="19797.849999999999"/>
    <n v="0.56599999999999995"/>
    <s v="Below Target"/>
    <n v="2024"/>
    <n v="0"/>
  </r>
  <r>
    <s v="SR014"/>
    <x v="13"/>
    <s v="Anita"/>
    <s v="Agarwal"/>
    <s v="anita.agarwal54@techmart.com"/>
    <n v="9663111309"/>
    <s v="East"/>
    <s v="Enterprise Sales"/>
    <s v="5-10 yrs"/>
    <s v="MBA"/>
    <d v="2020-01-11T00:00:00"/>
    <n v="33622"/>
    <d v="2024-10-12T00:00:00"/>
    <s v="Closed Won"/>
    <n v="189700"/>
    <n v="5.6000000000000001E-2"/>
    <n v="10623.2"/>
    <s v="Email Campaign"/>
    <s v="Smartphones"/>
    <n v="11"/>
    <s v="Mid-Market"/>
    <n v="35000"/>
    <n v="179141.59"/>
    <n v="5.1180000000000003"/>
    <s v="Exceeded"/>
    <n v="2024"/>
    <n v="1"/>
  </r>
  <r>
    <s v="SR014"/>
    <x v="13"/>
    <s v="Anita"/>
    <s v="Agarwal"/>
    <s v="anita.agarwal54@techmart.com"/>
    <n v="9663111309"/>
    <s v="East"/>
    <s v="Enterprise Sales"/>
    <s v="5-10 yrs"/>
    <s v="MBA"/>
    <d v="2020-01-11T00:00:00"/>
    <n v="33622"/>
    <d v="2024-10-15T00:00:00"/>
    <s v="Closed Won"/>
    <n v="169700"/>
    <n v="0.115"/>
    <n v="19515.5"/>
    <s v="Cold Call"/>
    <s v="Smartphones"/>
    <n v="7"/>
    <s v="Individual"/>
    <n v="35000"/>
    <n v="160930.14000000001"/>
    <n v="4.5979999999999999"/>
    <s v="Exceeded"/>
    <n v="2024"/>
    <n v="1"/>
  </r>
  <r>
    <s v="SR014"/>
    <x v="13"/>
    <s v="Anita"/>
    <s v="Agarwal"/>
    <s v="anita.agarwal54@techmart.com"/>
    <n v="9663111309"/>
    <s v="East"/>
    <s v="Enterprise Sales"/>
    <s v="5-10 yrs"/>
    <s v="MBA"/>
    <d v="2020-01-11T00:00:00"/>
    <n v="33622"/>
    <d v="2024-11-19T00:00:00"/>
    <s v="Closed Won"/>
    <n v="111800"/>
    <n v="0.04"/>
    <n v="4472"/>
    <s v="Inbound Lead"/>
    <s v="Smartphones"/>
    <n v="60"/>
    <s v="Individual"/>
    <n v="35000"/>
    <n v="108194.99"/>
    <n v="3.0910000000000002"/>
    <s v="Exceeded"/>
    <n v="2024"/>
    <n v="1"/>
  </r>
  <r>
    <s v="SR015"/>
    <x v="14"/>
    <s v="Rohit"/>
    <s v="Kumar"/>
    <s v="rohit.kumar80@techmart.com"/>
    <n v="9891789960"/>
    <s v="East"/>
    <s v="Direct Sales"/>
    <s v="5-10 yrs"/>
    <s v="B.Tech"/>
    <d v="2023-08-05T00:00:00"/>
    <n v="77917"/>
    <d v="2023-08-23T00:00:00"/>
    <s v="Closed Won"/>
    <n v="117800"/>
    <n v="0.109"/>
    <n v="12840.2"/>
    <s v="Cold Call"/>
    <s v="Headphones"/>
    <n v="58"/>
    <s v="Mid-Market"/>
    <n v="35000"/>
    <n v="149321.73000000001"/>
    <n v="4.266"/>
    <s v="Exceeded"/>
    <n v="2023"/>
    <n v="1"/>
  </r>
  <r>
    <s v="SR015"/>
    <x v="14"/>
    <s v="Rohit"/>
    <s v="Kumar"/>
    <s v="rohit.kumar80@techmart.com"/>
    <n v="9891789960"/>
    <s v="East"/>
    <s v="Direct Sales"/>
    <s v="5-10 yrs"/>
    <s v="B.Tech"/>
    <d v="2023-08-05T00:00:00"/>
    <n v="77917"/>
    <d v="2023-09-01T00:00:00"/>
    <s v="Closed Won"/>
    <n v="105300"/>
    <n v="8.4000000000000005E-2"/>
    <n v="8845.2000000000007"/>
    <s v="Inbound Lead"/>
    <s v="Laptops"/>
    <n v="39"/>
    <s v="Individual"/>
    <n v="35000"/>
    <n v="124691.45"/>
    <n v="3.5630000000000002"/>
    <s v="Exceeded"/>
    <n v="2023"/>
    <n v="1"/>
  </r>
  <r>
    <s v="SR015"/>
    <x v="14"/>
    <s v="Rohit"/>
    <s v="Kumar"/>
    <s v="rohit.kumar80@techmart.com"/>
    <n v="9891789960"/>
    <s v="East"/>
    <s v="Direct Sales"/>
    <s v="5-10 yrs"/>
    <s v="B.Tech"/>
    <d v="2023-08-05T00:00:00"/>
    <n v="77917"/>
    <d v="2023-12-14T00:00:00"/>
    <s v="Closed Won"/>
    <n v="96500"/>
    <n v="0.10299999999999999"/>
    <n v="9939.5"/>
    <s v="LinkedIn"/>
    <s v="Smartphones"/>
    <n v="81"/>
    <s v="Mid-Market"/>
    <n v="35000"/>
    <n v="81302.8"/>
    <n v="2.323"/>
    <s v="Exceeded"/>
    <n v="2023"/>
    <n v="1"/>
  </r>
  <r>
    <s v="SR015"/>
    <x v="14"/>
    <s v="Rohit"/>
    <s v="Kumar"/>
    <s v="rohit.kumar80@techmart.com"/>
    <n v="9891789960"/>
    <s v="East"/>
    <s v="Direct Sales"/>
    <s v="5-10 yrs"/>
    <s v="B.Tech"/>
    <d v="2023-08-05T00:00:00"/>
    <n v="77917"/>
    <d v="2023-12-20T00:00:00"/>
    <s v="Closed Won"/>
    <n v="192600"/>
    <n v="6.5000000000000002E-2"/>
    <n v="12519"/>
    <s v="Walk-in"/>
    <s v="Smartphones"/>
    <n v="73"/>
    <s v="Enterprise"/>
    <n v="35000"/>
    <n v="210718.02"/>
    <n v="6.0209999999999999"/>
    <s v="Exceeded"/>
    <n v="2023"/>
    <n v="1"/>
  </r>
  <r>
    <s v="SR015"/>
    <x v="14"/>
    <s v="Rohit"/>
    <s v="Kumar"/>
    <s v="rohit.kumar80@techmart.com"/>
    <n v="9891789960"/>
    <s v="East"/>
    <s v="Direct Sales"/>
    <s v="5-10 yrs"/>
    <s v="B.Tech"/>
    <d v="2023-08-05T00:00:00"/>
    <n v="77917"/>
    <d v="2024-06-19T00:00:00"/>
    <s v="Negotiation"/>
    <n v="27300"/>
    <n v="0.112"/>
    <n v="0"/>
    <s v="Cold Call"/>
    <s v="Cameras"/>
    <n v="40"/>
    <s v="Individual"/>
    <n v="35000"/>
    <n v="21944.69"/>
    <n v="0.627"/>
    <s v="Below Target"/>
    <n v="2024"/>
    <n v="0"/>
  </r>
  <r>
    <s v="SR015"/>
    <x v="14"/>
    <s v="Rohit"/>
    <s v="Kumar"/>
    <s v="rohit.kumar80@techmart.com"/>
    <n v="9891789960"/>
    <s v="East"/>
    <s v="Direct Sales"/>
    <s v="5-10 yrs"/>
    <s v="B.Tech"/>
    <d v="2023-08-05T00:00:00"/>
    <n v="77917"/>
    <d v="2024-08-25T00:00:00"/>
    <s v="Negotiation"/>
    <n v="182300"/>
    <n v="6.2E-2"/>
    <n v="0"/>
    <s v="Inbound Lead"/>
    <s v="Tablets"/>
    <n v="8"/>
    <s v="Individual"/>
    <n v="35000"/>
    <n v="188027.33"/>
    <n v="5.3719999999999999"/>
    <s v="Exceeded"/>
    <n v="2024"/>
    <n v="0"/>
  </r>
  <r>
    <s v="SR015"/>
    <x v="14"/>
    <s v="Rohit"/>
    <s v="Kumar"/>
    <s v="rohit.kumar80@techmart.com"/>
    <n v="9891789960"/>
    <s v="East"/>
    <s v="Direct Sales"/>
    <s v="5-10 yrs"/>
    <s v="B.Tech"/>
    <d v="2023-08-05T00:00:00"/>
    <n v="77917"/>
    <d v="2024-10-16T00:00:00"/>
    <s v="Closed Won"/>
    <n v="98700"/>
    <n v="6.7000000000000004E-2"/>
    <n v="6612.9"/>
    <s v="Cold Call"/>
    <s v="Monitors"/>
    <n v="32"/>
    <s v="SMB"/>
    <n v="35000"/>
    <n v="70191.48"/>
    <n v="2.0049999999999999"/>
    <s v="Exceeded"/>
    <n v="2024"/>
    <n v="1"/>
  </r>
  <r>
    <s v="SR015"/>
    <x v="14"/>
    <s v="Rohit"/>
    <s v="Kumar"/>
    <s v="rohit.kumar80@techmart.com"/>
    <n v="9891789960"/>
    <s v="East"/>
    <s v="Direct Sales"/>
    <s v="5-10 yrs"/>
    <s v="B.Tech"/>
    <d v="2023-08-05T00:00:00"/>
    <n v="77917"/>
    <d v="2024-10-31T00:00:00"/>
    <s v="Closed Lost"/>
    <n v="14400"/>
    <n v="3.3000000000000002E-2"/>
    <n v="0"/>
    <s v="LinkedIn"/>
    <s v="Monitors"/>
    <n v="39"/>
    <s v="SMB"/>
    <n v="35000"/>
    <n v="13569.58"/>
    <n v="0.38800000000000001"/>
    <s v="Below Target"/>
    <n v="2024"/>
    <n v="0"/>
  </r>
  <r>
    <s v="SR015"/>
    <x v="14"/>
    <s v="Rohit"/>
    <s v="Kumar"/>
    <s v="rohit.kumar80@techmart.com"/>
    <n v="9891789960"/>
    <s v="East"/>
    <s v="Direct Sales"/>
    <s v="5-10 yrs"/>
    <s v="B.Tech"/>
    <d v="2023-08-05T00:00:00"/>
    <n v="77917"/>
    <d v="2024-11-28T00:00:00"/>
    <s v="Closed Lost"/>
    <n v="152400"/>
    <n v="0.107"/>
    <n v="0"/>
    <s v="LinkedIn"/>
    <s v="Smartphones"/>
    <n v="51"/>
    <s v="Mid-Market"/>
    <n v="35000"/>
    <n v="144051.84"/>
    <n v="4.1159999999999997"/>
    <s v="Exceeded"/>
    <n v="2024"/>
    <n v="0"/>
  </r>
  <r>
    <s v="SR015"/>
    <x v="14"/>
    <s v="Rohit"/>
    <s v="Kumar"/>
    <s v="rohit.kumar80@techmart.com"/>
    <n v="9891789960"/>
    <s v="East"/>
    <s v="Direct Sales"/>
    <s v="5-10 yrs"/>
    <s v="B.Tech"/>
    <d v="2023-08-05T00:00:00"/>
    <n v="77917"/>
    <d v="2024-12-21T00:00:00"/>
    <s v="Closed Lost"/>
    <n v="57900"/>
    <n v="5.6000000000000001E-2"/>
    <n v="0"/>
    <s v="Trade Show"/>
    <s v="Headphones"/>
    <n v="65"/>
    <s v="Mid-Market"/>
    <n v="35000"/>
    <n v="57216.45"/>
    <n v="1.635"/>
    <s v="Exceeded"/>
    <n v="2024"/>
    <n v="0"/>
  </r>
  <r>
    <s v="SR016"/>
    <x v="15"/>
    <s v="Deepak"/>
    <s v="Roy"/>
    <s v="deepak.roy31@techmart.com"/>
    <n v="9837230029"/>
    <s v="South"/>
    <s v="Retail Sales"/>
    <s v="5-10 yrs"/>
    <s v="B.Tech"/>
    <d v="2022-08-07T00:00:00"/>
    <n v="30203"/>
    <d v="2022-08-27T00:00:00"/>
    <s v="Negotiation"/>
    <n v="90500"/>
    <n v="3.3000000000000002E-2"/>
    <n v="0"/>
    <s v="Email Campaign"/>
    <s v="Cameras"/>
    <n v="55"/>
    <s v="Enterprise"/>
    <n v="40000"/>
    <n v="66966.11"/>
    <n v="1.6739999999999999"/>
    <s v="Exceeded"/>
    <n v="2022"/>
    <n v="0"/>
  </r>
  <r>
    <s v="SR016"/>
    <x v="15"/>
    <s v="Deepak"/>
    <s v="Roy"/>
    <s v="deepak.roy31@techmart.com"/>
    <n v="9837230029"/>
    <s v="South"/>
    <s v="Retail Sales"/>
    <s v="5-10 yrs"/>
    <s v="B.Tech"/>
    <d v="2022-08-07T00:00:00"/>
    <n v="30203"/>
    <d v="2022-09-24T00:00:00"/>
    <s v="Closed Won"/>
    <n v="155300"/>
    <n v="6.6000000000000003E-2"/>
    <n v="10249.799999999999"/>
    <s v="Referral"/>
    <s v="Smart TVs"/>
    <n v="12"/>
    <s v="Individual"/>
    <n v="40000"/>
    <n v="160374.92000000001"/>
    <n v="4.0090000000000003"/>
    <s v="Exceeded"/>
    <n v="2022"/>
    <n v="1"/>
  </r>
  <r>
    <s v="SR016"/>
    <x v="15"/>
    <s v="Deepak"/>
    <s v="Roy"/>
    <s v="deepak.roy31@techmart.com"/>
    <n v="9837230029"/>
    <s v="South"/>
    <s v="Retail Sales"/>
    <s v="5-10 yrs"/>
    <s v="B.Tech"/>
    <d v="2022-08-07T00:00:00"/>
    <n v="30203"/>
    <d v="2022-11-15T00:00:00"/>
    <s v="Closed Lost"/>
    <n v="31200"/>
    <n v="9.1999999999999998E-2"/>
    <n v="0"/>
    <s v="Referral"/>
    <s v="Tablets"/>
    <n v="64"/>
    <s v="Mid-Market"/>
    <n v="40000"/>
    <n v="20278.89"/>
    <n v="0.50700000000000001"/>
    <s v="Below Target"/>
    <n v="2022"/>
    <n v="0"/>
  </r>
  <r>
    <s v="SR016"/>
    <x v="15"/>
    <s v="Deepak"/>
    <s v="Roy"/>
    <s v="deepak.roy31@techmart.com"/>
    <n v="9837230029"/>
    <s v="South"/>
    <s v="Retail Sales"/>
    <s v="5-10 yrs"/>
    <s v="B.Tech"/>
    <d v="2022-08-07T00:00:00"/>
    <n v="30203"/>
    <d v="2023-05-13T00:00:00"/>
    <s v="Closed Won"/>
    <n v="153500"/>
    <n v="0.10199999999999999"/>
    <n v="15657"/>
    <s v="Trade Show"/>
    <s v="Headphones"/>
    <n v="27"/>
    <s v="Mid-Market"/>
    <n v="40000"/>
    <n v="186669.29"/>
    <n v="4.6669999999999998"/>
    <s v="Exceeded"/>
    <n v="2023"/>
    <n v="1"/>
  </r>
  <r>
    <s v="SR016"/>
    <x v="15"/>
    <s v="Deepak"/>
    <s v="Roy"/>
    <s v="deepak.roy31@techmart.com"/>
    <n v="9837230029"/>
    <s v="South"/>
    <s v="Retail Sales"/>
    <s v="5-10 yrs"/>
    <s v="B.Tech"/>
    <d v="2022-08-07T00:00:00"/>
    <n v="30203"/>
    <d v="2023-06-09T00:00:00"/>
    <s v="Closed Won"/>
    <n v="119300"/>
    <n v="4.8000000000000001E-2"/>
    <n v="5726.4"/>
    <s v="Email Campaign"/>
    <s v="Cameras"/>
    <n v="10"/>
    <s v="SMB"/>
    <n v="40000"/>
    <n v="90503.37"/>
    <n v="2.2629999999999999"/>
    <s v="Exceeded"/>
    <n v="2023"/>
    <n v="1"/>
  </r>
  <r>
    <s v="SR016"/>
    <x v="15"/>
    <s v="Deepak"/>
    <s v="Roy"/>
    <s v="deepak.roy31@techmart.com"/>
    <n v="9837230029"/>
    <s v="South"/>
    <s v="Retail Sales"/>
    <s v="5-10 yrs"/>
    <s v="B.Tech"/>
    <d v="2022-08-07T00:00:00"/>
    <n v="30203"/>
    <d v="2023-09-22T00:00:00"/>
    <s v="Closed Won"/>
    <n v="168800"/>
    <n v="7.5999999999999998E-2"/>
    <n v="12828.8"/>
    <s v="Email Campaign"/>
    <s v="Cameras"/>
    <n v="71"/>
    <s v="SMB"/>
    <n v="40000"/>
    <n v="218225.81"/>
    <n v="5.4560000000000004"/>
    <s v="Exceeded"/>
    <n v="2023"/>
    <n v="1"/>
  </r>
  <r>
    <s v="SR016"/>
    <x v="15"/>
    <s v="Deepak"/>
    <s v="Roy"/>
    <s v="deepak.roy31@techmart.com"/>
    <n v="9837230029"/>
    <s v="South"/>
    <s v="Retail Sales"/>
    <s v="5-10 yrs"/>
    <s v="B.Tech"/>
    <d v="2022-08-07T00:00:00"/>
    <n v="30203"/>
    <d v="2024-05-10T00:00:00"/>
    <s v="Proposal Sent"/>
    <n v="140300"/>
    <n v="0.108"/>
    <n v="0"/>
    <s v="LinkedIn"/>
    <s v="Headphones"/>
    <n v="28"/>
    <s v="Enterprise"/>
    <n v="40000"/>
    <n v="103982.27"/>
    <n v="2.6"/>
    <s v="Exceeded"/>
    <n v="2024"/>
    <n v="0"/>
  </r>
  <r>
    <s v="SR016"/>
    <x v="15"/>
    <s v="Deepak"/>
    <s v="Roy"/>
    <s v="deepak.roy31@techmart.com"/>
    <n v="9837230029"/>
    <s v="South"/>
    <s v="Retail Sales"/>
    <s v="5-10 yrs"/>
    <s v="B.Tech"/>
    <d v="2022-08-07T00:00:00"/>
    <n v="30203"/>
    <d v="2024-05-21T00:00:00"/>
    <s v="Negotiation"/>
    <n v="217100"/>
    <n v="8.5000000000000006E-2"/>
    <n v="0"/>
    <s v="Walk-in"/>
    <s v="Headphones"/>
    <n v="73"/>
    <s v="Individual"/>
    <n v="40000"/>
    <n v="210596.25"/>
    <n v="5.2649999999999997"/>
    <s v="Exceeded"/>
    <n v="2024"/>
    <n v="0"/>
  </r>
  <r>
    <s v="SR016"/>
    <x v="15"/>
    <s v="Deepak"/>
    <s v="Roy"/>
    <s v="deepak.roy31@techmart.com"/>
    <n v="9837230029"/>
    <s v="South"/>
    <s v="Retail Sales"/>
    <s v="5-10 yrs"/>
    <s v="B.Tech"/>
    <d v="2022-08-07T00:00:00"/>
    <n v="30203"/>
    <d v="2024-06-04T00:00:00"/>
    <s v="Closed Won"/>
    <n v="137300"/>
    <n v="0.10199999999999999"/>
    <n v="14004.6"/>
    <s v="Trade Show"/>
    <s v="Monitors"/>
    <n v="70"/>
    <s v="Mid-Market"/>
    <n v="40000"/>
    <n v="93373.51"/>
    <n v="2.3340000000000001"/>
    <s v="Exceeded"/>
    <n v="2024"/>
    <n v="1"/>
  </r>
  <r>
    <s v="SR016"/>
    <x v="15"/>
    <s v="Deepak"/>
    <s v="Roy"/>
    <s v="deepak.roy31@techmart.com"/>
    <n v="9837230029"/>
    <s v="South"/>
    <s v="Retail Sales"/>
    <s v="5-10 yrs"/>
    <s v="B.Tech"/>
    <d v="2022-08-07T00:00:00"/>
    <n v="30203"/>
    <d v="2024-07-19T00:00:00"/>
    <s v="Closed Lost"/>
    <n v="159100"/>
    <n v="3.2000000000000001E-2"/>
    <n v="0"/>
    <s v="Inbound Lead"/>
    <s v="Headphones"/>
    <n v="74"/>
    <s v="Enterprise"/>
    <n v="40000"/>
    <n v="125717.52"/>
    <n v="3.1429999999999998"/>
    <s v="Exceeded"/>
    <n v="2024"/>
    <n v="0"/>
  </r>
  <r>
    <s v="SR017"/>
    <x v="16"/>
    <s v="Deepak"/>
    <s v="Iyer"/>
    <s v="deepak.iyer71@techmart.com"/>
    <n v="9626263082"/>
    <s v="East"/>
    <s v="Retail Sales"/>
    <s v="10+ yrs"/>
    <s v="PGDM"/>
    <d v="2020-04-30T00:00:00"/>
    <n v="37113"/>
    <d v="2022-04-25T00:00:00"/>
    <s v="Closed Lost"/>
    <n v="144800"/>
    <n v="6.4000000000000001E-2"/>
    <n v="0"/>
    <s v="Cold Call"/>
    <s v="Tablets"/>
    <n v="70"/>
    <s v="Enterprise"/>
    <n v="35000"/>
    <n v="134282.99"/>
    <n v="3.8370000000000002"/>
    <s v="Exceeded"/>
    <n v="2022"/>
    <n v="0"/>
  </r>
  <r>
    <s v="SR017"/>
    <x v="16"/>
    <s v="Deepak"/>
    <s v="Iyer"/>
    <s v="deepak.iyer71@techmart.com"/>
    <n v="9626263082"/>
    <s v="East"/>
    <s v="Retail Sales"/>
    <s v="10+ yrs"/>
    <s v="PGDM"/>
    <d v="2020-04-30T00:00:00"/>
    <n v="37113"/>
    <d v="2022-05-12T00:00:00"/>
    <s v="Proposal Sent"/>
    <n v="58400"/>
    <n v="0.106"/>
    <n v="0"/>
    <s v="Inbound Lead"/>
    <s v="Cameras"/>
    <n v="37"/>
    <s v="SMB"/>
    <n v="35000"/>
    <n v="42678.84"/>
    <n v="1.2190000000000001"/>
    <s v="Exceeded"/>
    <n v="2022"/>
    <n v="0"/>
  </r>
  <r>
    <s v="SR017"/>
    <x v="16"/>
    <s v="Deepak"/>
    <s v="Iyer"/>
    <s v="deepak.iyer71@techmart.com"/>
    <n v="9626263082"/>
    <s v="East"/>
    <s v="Retail Sales"/>
    <s v="10+ yrs"/>
    <s v="PGDM"/>
    <d v="2020-04-30T00:00:00"/>
    <n v="37113"/>
    <d v="2022-06-21T00:00:00"/>
    <s v="Closed Won"/>
    <n v="162700"/>
    <n v="5.7000000000000002E-2"/>
    <n v="9273.9"/>
    <s v="Cold Call"/>
    <s v="Headphones"/>
    <n v="47"/>
    <s v="Individual"/>
    <n v="35000"/>
    <n v="139467.34"/>
    <n v="3.9849999999999999"/>
    <s v="Exceeded"/>
    <n v="2022"/>
    <n v="1"/>
  </r>
  <r>
    <s v="SR017"/>
    <x v="16"/>
    <s v="Deepak"/>
    <s v="Iyer"/>
    <s v="deepak.iyer71@techmart.com"/>
    <n v="9626263082"/>
    <s v="East"/>
    <s v="Retail Sales"/>
    <s v="10+ yrs"/>
    <s v="PGDM"/>
    <d v="2020-04-30T00:00:00"/>
    <n v="37113"/>
    <d v="2022-07-04T00:00:00"/>
    <s v="Closed Won"/>
    <n v="162200"/>
    <n v="4.1000000000000002E-2"/>
    <n v="6650.2"/>
    <s v="Walk-in"/>
    <s v="Tablets"/>
    <n v="43"/>
    <s v="Enterprise"/>
    <n v="35000"/>
    <n v="198736.76"/>
    <n v="5.6779999999999999"/>
    <s v="Exceeded"/>
    <n v="2022"/>
    <n v="1"/>
  </r>
  <r>
    <s v="SR017"/>
    <x v="16"/>
    <s v="Deepak"/>
    <s v="Iyer"/>
    <s v="deepak.iyer71@techmart.com"/>
    <n v="9626263082"/>
    <s v="East"/>
    <s v="Retail Sales"/>
    <s v="10+ yrs"/>
    <s v="PGDM"/>
    <d v="2020-04-30T00:00:00"/>
    <n v="37113"/>
    <d v="2022-10-15T00:00:00"/>
    <s v="Closed Won"/>
    <n v="34300"/>
    <n v="8.1000000000000003E-2"/>
    <n v="2778.3"/>
    <s v="LinkedIn"/>
    <s v="Smartphones"/>
    <n v="67"/>
    <s v="Mid-Market"/>
    <n v="35000"/>
    <n v="32475.45"/>
    <n v="0.92800000000000005"/>
    <s v="Met"/>
    <n v="2022"/>
    <n v="1"/>
  </r>
  <r>
    <s v="SR017"/>
    <x v="16"/>
    <s v="Deepak"/>
    <s v="Iyer"/>
    <s v="deepak.iyer71@techmart.com"/>
    <n v="9626263082"/>
    <s v="East"/>
    <s v="Retail Sales"/>
    <s v="10+ yrs"/>
    <s v="PGDM"/>
    <d v="2020-04-30T00:00:00"/>
    <n v="37113"/>
    <d v="2023-04-29T00:00:00"/>
    <s v="Closed Lost"/>
    <n v="67500"/>
    <n v="0.04"/>
    <n v="0"/>
    <s v="Referral"/>
    <s v="Smartphones"/>
    <n v="32"/>
    <s v="Mid-Market"/>
    <n v="35000"/>
    <n v="61947.7"/>
    <n v="1.77"/>
    <s v="Exceeded"/>
    <n v="2023"/>
    <n v="0"/>
  </r>
  <r>
    <s v="SR017"/>
    <x v="16"/>
    <s v="Deepak"/>
    <s v="Iyer"/>
    <s v="deepak.iyer71@techmart.com"/>
    <n v="9626263082"/>
    <s v="East"/>
    <s v="Retail Sales"/>
    <s v="10+ yrs"/>
    <s v="PGDM"/>
    <d v="2020-04-30T00:00:00"/>
    <n v="37113"/>
    <d v="2023-04-29T00:00:00"/>
    <s v="Closed Lost"/>
    <n v="62100"/>
    <n v="4.2999999999999997E-2"/>
    <n v="0"/>
    <s v="Referral"/>
    <s v="Laptops"/>
    <n v="36"/>
    <s v="Enterprise"/>
    <n v="35000"/>
    <n v="53874.11"/>
    <n v="1.5389999999999999"/>
    <s v="Exceeded"/>
    <n v="2023"/>
    <n v="0"/>
  </r>
  <r>
    <s v="SR017"/>
    <x v="16"/>
    <s v="Deepak"/>
    <s v="Iyer"/>
    <s v="deepak.iyer71@techmart.com"/>
    <n v="9626263082"/>
    <s v="East"/>
    <s v="Retail Sales"/>
    <s v="10+ yrs"/>
    <s v="PGDM"/>
    <d v="2020-04-30T00:00:00"/>
    <n v="37113"/>
    <d v="2023-07-23T00:00:00"/>
    <s v="Proposal Sent"/>
    <n v="149400"/>
    <n v="4.5999999999999999E-2"/>
    <n v="0"/>
    <s v="Walk-in"/>
    <s v="Smartphones"/>
    <n v="63"/>
    <s v="Individual"/>
    <n v="35000"/>
    <n v="82139.31"/>
    <n v="2.347"/>
    <s v="Exceeded"/>
    <n v="2023"/>
    <n v="0"/>
  </r>
  <r>
    <s v="SR017"/>
    <x v="16"/>
    <s v="Deepak"/>
    <s v="Iyer"/>
    <s v="deepak.iyer71@techmart.com"/>
    <n v="9626263082"/>
    <s v="East"/>
    <s v="Retail Sales"/>
    <s v="10+ yrs"/>
    <s v="PGDM"/>
    <d v="2020-04-30T00:00:00"/>
    <n v="37113"/>
    <d v="2024-01-17T00:00:00"/>
    <s v="Closed Lost"/>
    <n v="43700"/>
    <n v="5.1999999999999998E-2"/>
    <n v="0"/>
    <s v="Email Campaign"/>
    <s v="Monitors"/>
    <n v="39"/>
    <s v="Enterprise"/>
    <n v="35000"/>
    <n v="37985.54"/>
    <n v="1.085"/>
    <s v="Met"/>
    <n v="2024"/>
    <n v="0"/>
  </r>
  <r>
    <s v="SR017"/>
    <x v="16"/>
    <s v="Deepak"/>
    <s v="Iyer"/>
    <s v="deepak.iyer71@techmart.com"/>
    <n v="9626263082"/>
    <s v="East"/>
    <s v="Retail Sales"/>
    <s v="10+ yrs"/>
    <s v="PGDM"/>
    <d v="2020-04-30T00:00:00"/>
    <n v="37113"/>
    <d v="2024-06-12T00:00:00"/>
    <s v="Closed Lost"/>
    <n v="174600"/>
    <n v="0.112"/>
    <n v="0"/>
    <s v="Referral"/>
    <s v="Laptops"/>
    <n v="35"/>
    <s v="SMB"/>
    <n v="35000"/>
    <n v="91879.35"/>
    <n v="2.625"/>
    <s v="Exceeded"/>
    <n v="2024"/>
    <n v="0"/>
  </r>
  <r>
    <s v="SR018"/>
    <x v="17"/>
    <s v="Meena"/>
    <s v="Agarwal"/>
    <s v="meena.agarwal84@techmart.com"/>
    <n v="9958091042"/>
    <s v="East"/>
    <s v="Direct Sales"/>
    <s v="1-3 yrs"/>
    <s v="PGDM"/>
    <d v="2018-05-13T00:00:00"/>
    <n v="62885"/>
    <d v="2022-02-13T00:00:00"/>
    <s v="Proposal Sent"/>
    <n v="242300"/>
    <n v="8.5000000000000006E-2"/>
    <n v="0"/>
    <s v="Walk-in"/>
    <s v="Monitors"/>
    <n v="85"/>
    <s v="Individual"/>
    <n v="35000"/>
    <n v="271767.12"/>
    <n v="7.7649999999999997"/>
    <s v="Exceeded"/>
    <n v="2022"/>
    <n v="0"/>
  </r>
  <r>
    <s v="SR018"/>
    <x v="17"/>
    <s v="Meena"/>
    <s v="Agarwal"/>
    <s v="meena.agarwal84@techmart.com"/>
    <n v="9958091042"/>
    <s v="East"/>
    <s v="Direct Sales"/>
    <s v="1-3 yrs"/>
    <s v="PGDM"/>
    <d v="2018-05-13T00:00:00"/>
    <n v="62885"/>
    <d v="2022-04-17T00:00:00"/>
    <s v="Proposal Sent"/>
    <n v="173200"/>
    <n v="4.7E-2"/>
    <n v="0"/>
    <s v="Trade Show"/>
    <s v="Cameras"/>
    <n v="83"/>
    <s v="SMB"/>
    <n v="35000"/>
    <n v="87079.46"/>
    <n v="2.488"/>
    <s v="Exceeded"/>
    <n v="2022"/>
    <n v="0"/>
  </r>
  <r>
    <s v="SR018"/>
    <x v="17"/>
    <s v="Meena"/>
    <s v="Agarwal"/>
    <s v="meena.agarwal84@techmart.com"/>
    <n v="9958091042"/>
    <s v="East"/>
    <s v="Direct Sales"/>
    <s v="1-3 yrs"/>
    <s v="PGDM"/>
    <d v="2018-05-13T00:00:00"/>
    <n v="62885"/>
    <d v="2023-02-14T00:00:00"/>
    <s v="Proposal Sent"/>
    <n v="85100"/>
    <n v="5.8000000000000003E-2"/>
    <n v="0"/>
    <s v="Cold Call"/>
    <s v="Smartphones"/>
    <n v="21"/>
    <s v="SMB"/>
    <n v="35000"/>
    <n v="82098.460000000006"/>
    <n v="2.3460000000000001"/>
    <s v="Exceeded"/>
    <n v="2023"/>
    <n v="0"/>
  </r>
  <r>
    <s v="SR018"/>
    <x v="17"/>
    <s v="Meena"/>
    <s v="Agarwal"/>
    <s v="meena.agarwal84@techmart.com"/>
    <n v="9958091042"/>
    <s v="East"/>
    <s v="Direct Sales"/>
    <s v="1-3 yrs"/>
    <s v="PGDM"/>
    <d v="2018-05-13T00:00:00"/>
    <n v="62885"/>
    <d v="2023-04-28T00:00:00"/>
    <s v="Closed Won"/>
    <n v="60200"/>
    <n v="0.107"/>
    <n v="6441.4"/>
    <s v="Referral"/>
    <s v="Headphones"/>
    <n v="81"/>
    <s v="Mid-Market"/>
    <n v="35000"/>
    <n v="77749.539999999994"/>
    <n v="2.2210000000000001"/>
    <s v="Exceeded"/>
    <n v="2023"/>
    <n v="1"/>
  </r>
  <r>
    <s v="SR018"/>
    <x v="17"/>
    <s v="Meena"/>
    <s v="Agarwal"/>
    <s v="meena.agarwal84@techmart.com"/>
    <n v="9958091042"/>
    <s v="East"/>
    <s v="Direct Sales"/>
    <s v="1-3 yrs"/>
    <s v="PGDM"/>
    <d v="2018-05-13T00:00:00"/>
    <n v="62885"/>
    <d v="2023-04-30T00:00:00"/>
    <s v="Closed Lost"/>
    <n v="106800"/>
    <n v="3.1E-2"/>
    <n v="0"/>
    <s v="Trade Show"/>
    <s v="Tablets"/>
    <n v="39"/>
    <s v="Individual"/>
    <n v="35000"/>
    <n v="143399.31"/>
    <n v="4.0970000000000004"/>
    <s v="Exceeded"/>
    <n v="2023"/>
    <n v="0"/>
  </r>
  <r>
    <s v="SR018"/>
    <x v="17"/>
    <s v="Meena"/>
    <s v="Agarwal"/>
    <s v="meena.agarwal84@techmart.com"/>
    <n v="9958091042"/>
    <s v="East"/>
    <s v="Direct Sales"/>
    <s v="1-3 yrs"/>
    <s v="PGDM"/>
    <d v="2018-05-13T00:00:00"/>
    <n v="62885"/>
    <d v="2023-05-06T00:00:00"/>
    <s v="Closed Won"/>
    <n v="149900"/>
    <n v="6.5000000000000002E-2"/>
    <n v="9743.5"/>
    <s v="Email Campaign"/>
    <s v="Monitors"/>
    <n v="47"/>
    <s v="Individual"/>
    <n v="35000"/>
    <n v="147114.79999999999"/>
    <n v="4.2030000000000003"/>
    <s v="Exceeded"/>
    <n v="2023"/>
    <n v="1"/>
  </r>
  <r>
    <s v="SR018"/>
    <x v="17"/>
    <s v="Meena"/>
    <s v="Agarwal"/>
    <s v="meena.agarwal84@techmart.com"/>
    <n v="9958091042"/>
    <s v="East"/>
    <s v="Direct Sales"/>
    <s v="1-3 yrs"/>
    <s v="PGDM"/>
    <d v="2018-05-13T00:00:00"/>
    <n v="62885"/>
    <d v="2023-05-20T00:00:00"/>
    <s v="Closed Won"/>
    <n v="235500"/>
    <n v="0.10100000000000001"/>
    <n v="23785.5"/>
    <s v="Referral"/>
    <s v="Tablets"/>
    <n v="61"/>
    <s v="Mid-Market"/>
    <n v="35000"/>
    <n v="291838.39"/>
    <n v="8.3379999999999992"/>
    <s v="Exceeded"/>
    <n v="2023"/>
    <n v="1"/>
  </r>
  <r>
    <s v="SR018"/>
    <x v="17"/>
    <s v="Meena"/>
    <s v="Agarwal"/>
    <s v="meena.agarwal84@techmart.com"/>
    <n v="9958091042"/>
    <s v="East"/>
    <s v="Direct Sales"/>
    <s v="1-3 yrs"/>
    <s v="PGDM"/>
    <d v="2018-05-13T00:00:00"/>
    <n v="62885"/>
    <d v="2023-11-13T00:00:00"/>
    <s v="Proposal Sent"/>
    <n v="115700"/>
    <n v="0.109"/>
    <n v="0"/>
    <s v="Walk-in"/>
    <s v="Smartphones"/>
    <n v="21"/>
    <s v="Mid-Market"/>
    <n v="35000"/>
    <n v="110574.61"/>
    <n v="3.1589999999999998"/>
    <s v="Exceeded"/>
    <n v="2023"/>
    <n v="0"/>
  </r>
  <r>
    <s v="SR018"/>
    <x v="17"/>
    <s v="Meena"/>
    <s v="Agarwal"/>
    <s v="meena.agarwal84@techmart.com"/>
    <n v="9958091042"/>
    <s v="East"/>
    <s v="Direct Sales"/>
    <s v="1-3 yrs"/>
    <s v="PGDM"/>
    <d v="2018-05-13T00:00:00"/>
    <n v="62885"/>
    <d v="2023-12-22T00:00:00"/>
    <s v="Closed Lost"/>
    <n v="162800"/>
    <n v="9.6000000000000002E-2"/>
    <n v="0"/>
    <s v="LinkedIn"/>
    <s v="Monitors"/>
    <n v="42"/>
    <s v="Enterprise"/>
    <n v="35000"/>
    <n v="183262.18"/>
    <n v="5.2359999999999998"/>
    <s v="Exceeded"/>
    <n v="2023"/>
    <n v="0"/>
  </r>
  <r>
    <s v="SR018"/>
    <x v="17"/>
    <s v="Meena"/>
    <s v="Agarwal"/>
    <s v="meena.agarwal84@techmart.com"/>
    <n v="9958091042"/>
    <s v="East"/>
    <s v="Direct Sales"/>
    <s v="1-3 yrs"/>
    <s v="PGDM"/>
    <d v="2018-05-13T00:00:00"/>
    <n v="62885"/>
    <d v="2024-04-12T00:00:00"/>
    <s v="Closed Won"/>
    <n v="76800"/>
    <n v="0.108"/>
    <n v="8294.4"/>
    <s v="Walk-in"/>
    <s v="Cameras"/>
    <n v="63"/>
    <s v="Enterprise"/>
    <n v="35000"/>
    <n v="89337.43"/>
    <n v="2.552"/>
    <s v="Exceeded"/>
    <n v="2024"/>
    <n v="1"/>
  </r>
  <r>
    <s v="SR019"/>
    <x v="18"/>
    <s v="Preeti"/>
    <s v="Chopra"/>
    <s v="preeti.chopra12@techmart.com"/>
    <n v="9960825838"/>
    <s v="North"/>
    <s v="Direct Sales"/>
    <s v="5-10 yrs"/>
    <s v="BBA"/>
    <d v="2019-10-23T00:00:00"/>
    <n v="43637"/>
    <d v="2022-09-24T00:00:00"/>
    <s v="Negotiation"/>
    <n v="184800"/>
    <n v="6.7000000000000004E-2"/>
    <n v="0"/>
    <s v="Inbound Lead"/>
    <s v="Headphones"/>
    <n v="62"/>
    <s v="SMB"/>
    <n v="37500"/>
    <n v="135756.28"/>
    <n v="3.62"/>
    <s v="Exceeded"/>
    <n v="2022"/>
    <n v="0"/>
  </r>
  <r>
    <s v="SR019"/>
    <x v="18"/>
    <s v="Preeti"/>
    <s v="Chopra"/>
    <s v="preeti.chopra12@techmart.com"/>
    <n v="9960825838"/>
    <s v="North"/>
    <s v="Direct Sales"/>
    <s v="5-10 yrs"/>
    <s v="BBA"/>
    <d v="2019-10-23T00:00:00"/>
    <n v="43637"/>
    <d v="2022-11-02T00:00:00"/>
    <s v="Closed Won"/>
    <n v="101400"/>
    <n v="4.4999999999999998E-2"/>
    <n v="4563"/>
    <s v="LinkedIn"/>
    <s v="Smartphones"/>
    <n v="2"/>
    <s v="Enterprise"/>
    <n v="37500"/>
    <n v="121276.77"/>
    <n v="3.234"/>
    <s v="Exceeded"/>
    <n v="2022"/>
    <n v="1"/>
  </r>
  <r>
    <s v="SR019"/>
    <x v="18"/>
    <s v="Preeti"/>
    <s v="Chopra"/>
    <s v="preeti.chopra12@techmart.com"/>
    <n v="9960825838"/>
    <s v="North"/>
    <s v="Direct Sales"/>
    <s v="5-10 yrs"/>
    <s v="BBA"/>
    <d v="2019-10-23T00:00:00"/>
    <n v="43637"/>
    <d v="2023-01-23T00:00:00"/>
    <s v="Closed Lost"/>
    <n v="52300"/>
    <n v="6.7000000000000004E-2"/>
    <n v="0"/>
    <s v="Referral"/>
    <s v="Smartphones"/>
    <n v="38"/>
    <s v="Mid-Market"/>
    <n v="37500"/>
    <n v="37234.31"/>
    <n v="0.99299999999999999"/>
    <s v="Met"/>
    <n v="2023"/>
    <n v="0"/>
  </r>
  <r>
    <s v="SR019"/>
    <x v="18"/>
    <s v="Preeti"/>
    <s v="Chopra"/>
    <s v="preeti.chopra12@techmart.com"/>
    <n v="9960825838"/>
    <s v="North"/>
    <s v="Direct Sales"/>
    <s v="5-10 yrs"/>
    <s v="BBA"/>
    <d v="2019-10-23T00:00:00"/>
    <n v="43637"/>
    <d v="2023-04-05T00:00:00"/>
    <s v="Closed Won"/>
    <n v="11000"/>
    <n v="0.113"/>
    <n v="1243"/>
    <s v="Email Campaign"/>
    <s v="Smart TVs"/>
    <n v="81"/>
    <s v="SMB"/>
    <n v="37500"/>
    <n v="14477.76"/>
    <n v="0.38600000000000001"/>
    <s v="Below Target"/>
    <n v="2023"/>
    <n v="1"/>
  </r>
  <r>
    <s v="SR019"/>
    <x v="18"/>
    <s v="Preeti"/>
    <s v="Chopra"/>
    <s v="preeti.chopra12@techmart.com"/>
    <n v="9960825838"/>
    <s v="North"/>
    <s v="Direct Sales"/>
    <s v="5-10 yrs"/>
    <s v="BBA"/>
    <d v="2019-10-23T00:00:00"/>
    <n v="43637"/>
    <d v="2023-10-25T00:00:00"/>
    <s v="Proposal Sent"/>
    <n v="109200"/>
    <n v="9.1999999999999998E-2"/>
    <n v="0"/>
    <s v="Email Campaign"/>
    <s v="Headphones"/>
    <n v="55"/>
    <s v="Mid-Market"/>
    <n v="37500"/>
    <n v="61779.91"/>
    <n v="1.647"/>
    <s v="Exceeded"/>
    <n v="2023"/>
    <n v="0"/>
  </r>
  <r>
    <s v="SR019"/>
    <x v="18"/>
    <s v="Preeti"/>
    <s v="Chopra"/>
    <s v="preeti.chopra12@techmart.com"/>
    <n v="9960825838"/>
    <s v="North"/>
    <s v="Direct Sales"/>
    <s v="5-10 yrs"/>
    <s v="BBA"/>
    <d v="2019-10-23T00:00:00"/>
    <n v="43637"/>
    <d v="2023-11-02T00:00:00"/>
    <s v="Closed Won"/>
    <n v="57100"/>
    <n v="3.7999999999999999E-2"/>
    <n v="2169.8000000000002"/>
    <s v="Inbound Lead"/>
    <s v="Laptops"/>
    <n v="51"/>
    <s v="Enterprise"/>
    <n v="37500"/>
    <n v="77101.070000000007"/>
    <n v="2.056"/>
    <s v="Exceeded"/>
    <n v="2023"/>
    <n v="1"/>
  </r>
  <r>
    <s v="SR019"/>
    <x v="18"/>
    <s v="Preeti"/>
    <s v="Chopra"/>
    <s v="preeti.chopra12@techmart.com"/>
    <n v="9960825838"/>
    <s v="North"/>
    <s v="Direct Sales"/>
    <s v="5-10 yrs"/>
    <s v="BBA"/>
    <d v="2019-10-23T00:00:00"/>
    <n v="43637"/>
    <d v="2024-07-12T00:00:00"/>
    <s v="Closed Won"/>
    <n v="101900"/>
    <n v="8.2000000000000003E-2"/>
    <n v="8355.7999999999993"/>
    <s v="Email Campaign"/>
    <s v="Headphones"/>
    <n v="11"/>
    <s v="Individual"/>
    <n v="37500"/>
    <n v="93951.13"/>
    <n v="2.5049999999999999"/>
    <s v="Exceeded"/>
    <n v="2024"/>
    <n v="1"/>
  </r>
  <r>
    <s v="SR019"/>
    <x v="18"/>
    <s v="Preeti"/>
    <s v="Chopra"/>
    <s v="preeti.chopra12@techmart.com"/>
    <n v="9960825838"/>
    <s v="North"/>
    <s v="Direct Sales"/>
    <s v="5-10 yrs"/>
    <s v="BBA"/>
    <d v="2019-10-23T00:00:00"/>
    <n v="43637"/>
    <d v="2024-07-18T00:00:00"/>
    <s v="Proposal Sent"/>
    <n v="134500"/>
    <n v="4.1000000000000002E-2"/>
    <n v="0"/>
    <s v="Email Campaign"/>
    <s v="Laptops"/>
    <n v="25"/>
    <s v="Mid-Market"/>
    <n v="37500"/>
    <n v="102107.8"/>
    <n v="2.7229999999999999"/>
    <s v="Exceeded"/>
    <n v="2024"/>
    <n v="0"/>
  </r>
  <r>
    <s v="SR019"/>
    <x v="18"/>
    <s v="Preeti"/>
    <s v="Chopra"/>
    <s v="preeti.chopra12@techmart.com"/>
    <n v="9960825838"/>
    <s v="North"/>
    <s v="Direct Sales"/>
    <s v="5-10 yrs"/>
    <s v="BBA"/>
    <d v="2019-10-23T00:00:00"/>
    <n v="43637"/>
    <d v="2024-08-05T00:00:00"/>
    <s v="Closed Won"/>
    <n v="73600"/>
    <n v="9.2999999999999999E-2"/>
    <n v="6844.8"/>
    <s v="Referral"/>
    <s v="Smartphones"/>
    <n v="52"/>
    <s v="Enterprise"/>
    <n v="37500"/>
    <n v="76570.009999999995"/>
    <n v="2.0419999999999998"/>
    <s v="Exceeded"/>
    <n v="2024"/>
    <n v="1"/>
  </r>
  <r>
    <s v="SR019"/>
    <x v="18"/>
    <s v="Preeti"/>
    <s v="Chopra"/>
    <s v="preeti.chopra12@techmart.com"/>
    <n v="9960825838"/>
    <s v="North"/>
    <s v="Direct Sales"/>
    <s v="5-10 yrs"/>
    <s v="BBA"/>
    <d v="2019-10-23T00:00:00"/>
    <n v="43637"/>
    <d v="2024-10-09T00:00:00"/>
    <s v="Closed Lost"/>
    <n v="39100"/>
    <n v="6.9000000000000006E-2"/>
    <n v="0"/>
    <s v="Referral"/>
    <s v="Smart TVs"/>
    <n v="28"/>
    <s v="Mid-Market"/>
    <n v="37500"/>
    <n v="45122.86"/>
    <n v="1.2030000000000001"/>
    <s v="Exceeded"/>
    <n v="2024"/>
    <n v="0"/>
  </r>
  <r>
    <s v="SR020"/>
    <x v="10"/>
    <s v="Anita"/>
    <s v="Ghosh"/>
    <s v="anita.ghosh96@techmart.com"/>
    <n v="9773313663"/>
    <s v="Central"/>
    <s v="Enterprise Sales"/>
    <s v="0-1 yr"/>
    <s v="B.Com"/>
    <d v="2021-05-10T00:00:00"/>
    <n v="49154"/>
    <d v="2022-03-26T00:00:00"/>
    <s v="Negotiation"/>
    <n v="52000"/>
    <n v="5.2999999999999999E-2"/>
    <n v="0"/>
    <s v="LinkedIn"/>
    <s v="Headphones"/>
    <n v="44"/>
    <s v="Enterprise"/>
    <n v="33333.33"/>
    <n v="32173.83"/>
    <n v="0.96499999999999997"/>
    <s v="Met"/>
    <n v="2022"/>
    <n v="0"/>
  </r>
  <r>
    <s v="SR020"/>
    <x v="10"/>
    <s v="Anita"/>
    <s v="Ghosh"/>
    <s v="anita.ghosh96@techmart.com"/>
    <n v="9773313663"/>
    <s v="Central"/>
    <s v="Enterprise Sales"/>
    <s v="0-1 yr"/>
    <s v="B.Com"/>
    <d v="2021-05-10T00:00:00"/>
    <n v="49154"/>
    <d v="2022-05-01T00:00:00"/>
    <s v="Closed Won"/>
    <n v="92300"/>
    <n v="0.114"/>
    <n v="10522.2"/>
    <s v="Trade Show"/>
    <s v="Tablets"/>
    <n v="78"/>
    <s v="Individual"/>
    <n v="33333.33"/>
    <n v="46595.34"/>
    <n v="1.3979999999999999"/>
    <s v="Exceeded"/>
    <n v="2022"/>
    <n v="1"/>
  </r>
  <r>
    <s v="SR020"/>
    <x v="10"/>
    <s v="Anita"/>
    <s v="Ghosh"/>
    <s v="anita.ghosh96@techmart.com"/>
    <n v="9773313663"/>
    <s v="Central"/>
    <s v="Enterprise Sales"/>
    <s v="0-1 yr"/>
    <s v="B.Com"/>
    <d v="2021-05-10T00:00:00"/>
    <n v="49154"/>
    <d v="2022-10-31T00:00:00"/>
    <s v="Closed Won"/>
    <n v="96600"/>
    <n v="3.7999999999999999E-2"/>
    <n v="3670.8"/>
    <s v="Walk-in"/>
    <s v="Tablets"/>
    <n v="24"/>
    <s v="SMB"/>
    <n v="33333.33"/>
    <n v="113499.49"/>
    <n v="3.4049999999999998"/>
    <s v="Exceeded"/>
    <n v="2022"/>
    <n v="1"/>
  </r>
  <r>
    <s v="SR020"/>
    <x v="10"/>
    <s v="Anita"/>
    <s v="Ghosh"/>
    <s v="anita.ghosh96@techmart.com"/>
    <n v="9773313663"/>
    <s v="Central"/>
    <s v="Enterprise Sales"/>
    <s v="0-1 yr"/>
    <s v="B.Com"/>
    <d v="2021-05-10T00:00:00"/>
    <n v="49154"/>
    <d v="2022-11-01T00:00:00"/>
    <s v="Closed Won"/>
    <n v="65300"/>
    <n v="4.5999999999999999E-2"/>
    <n v="3003.8"/>
    <s v="Trade Show"/>
    <s v="Tablets"/>
    <n v="21"/>
    <s v="Enterprise"/>
    <n v="33333.33"/>
    <n v="58298.98"/>
    <n v="1.7490000000000001"/>
    <s v="Exceeded"/>
    <n v="2022"/>
    <n v="1"/>
  </r>
  <r>
    <s v="SR020"/>
    <x v="10"/>
    <s v="Anita"/>
    <s v="Ghosh"/>
    <s v="anita.ghosh96@techmart.com"/>
    <n v="9773313663"/>
    <s v="Central"/>
    <s v="Enterprise Sales"/>
    <s v="0-1 yr"/>
    <s v="B.Com"/>
    <d v="2021-05-10T00:00:00"/>
    <n v="49154"/>
    <d v="2023-07-13T00:00:00"/>
    <s v="Negotiation"/>
    <n v="238500"/>
    <n v="0.09"/>
    <n v="0"/>
    <s v="Referral"/>
    <s v="Smart TVs"/>
    <n v="1"/>
    <s v="SMB"/>
    <n v="33333.33"/>
    <n v="208634.34"/>
    <n v="6.2590000000000003"/>
    <s v="Exceeded"/>
    <n v="2023"/>
    <n v="0"/>
  </r>
  <r>
    <s v="SR020"/>
    <x v="10"/>
    <s v="Anita"/>
    <s v="Ghosh"/>
    <s v="anita.ghosh96@techmart.com"/>
    <n v="9773313663"/>
    <s v="Central"/>
    <s v="Enterprise Sales"/>
    <s v="0-1 yr"/>
    <s v="B.Com"/>
    <d v="2021-05-10T00:00:00"/>
    <n v="49154"/>
    <d v="2023-10-12T00:00:00"/>
    <s v="Proposal Sent"/>
    <n v="144000"/>
    <n v="6.9000000000000006E-2"/>
    <n v="0"/>
    <s v="Inbound Lead"/>
    <s v="Smartphones"/>
    <n v="41"/>
    <s v="Individual"/>
    <n v="33333.33"/>
    <n v="198815.75"/>
    <n v="5.9640000000000004"/>
    <s v="Exceeded"/>
    <n v="2023"/>
    <n v="0"/>
  </r>
  <r>
    <s v="SR020"/>
    <x v="10"/>
    <s v="Anita"/>
    <s v="Ghosh"/>
    <s v="anita.ghosh96@techmart.com"/>
    <n v="9773313663"/>
    <s v="Central"/>
    <s v="Enterprise Sales"/>
    <s v="0-1 yr"/>
    <s v="B.Com"/>
    <d v="2021-05-10T00:00:00"/>
    <n v="49154"/>
    <d v="2024-06-11T00:00:00"/>
    <s v="Closed Won"/>
    <n v="87700"/>
    <n v="9.6000000000000002E-2"/>
    <n v="8419.2000000000007"/>
    <s v="Trade Show"/>
    <s v="Cameras"/>
    <n v="20"/>
    <s v="Enterprise"/>
    <n v="33333.33"/>
    <n v="48050.83"/>
    <n v="1.4419999999999999"/>
    <s v="Exceeded"/>
    <n v="2024"/>
    <n v="1"/>
  </r>
  <r>
    <s v="SR020"/>
    <x v="10"/>
    <s v="Anita"/>
    <s v="Ghosh"/>
    <s v="anita.ghosh96@techmart.com"/>
    <n v="9773313663"/>
    <s v="Central"/>
    <s v="Enterprise Sales"/>
    <s v="0-1 yr"/>
    <s v="B.Com"/>
    <d v="2021-05-10T00:00:00"/>
    <n v="49154"/>
    <d v="2024-10-10T00:00:00"/>
    <s v="Closed Won"/>
    <n v="120700"/>
    <n v="6.2E-2"/>
    <n v="7483.4"/>
    <s v="Email Campaign"/>
    <s v="Smart TVs"/>
    <n v="63"/>
    <s v="Enterprise"/>
    <n v="33333.33"/>
    <n v="113903.35"/>
    <n v="3.4169999999999998"/>
    <s v="Exceeded"/>
    <n v="2024"/>
    <n v="1"/>
  </r>
  <r>
    <s v="SR020"/>
    <x v="10"/>
    <s v="Anita"/>
    <s v="Ghosh"/>
    <s v="anita.ghosh96@techmart.com"/>
    <n v="9773313663"/>
    <s v="Central"/>
    <s v="Enterprise Sales"/>
    <s v="0-1 yr"/>
    <s v="B.Com"/>
    <d v="2021-05-10T00:00:00"/>
    <n v="49154"/>
    <d v="2024-10-19T00:00:00"/>
    <s v="Closed Won"/>
    <n v="201000"/>
    <n v="6.2E-2"/>
    <n v="12462"/>
    <s v="Trade Show"/>
    <s v="Tablets"/>
    <n v="34"/>
    <s v="Mid-Market"/>
    <n v="33333.33"/>
    <n v="194020.36"/>
    <n v="5.8209999999999997"/>
    <s v="Exceeded"/>
    <n v="2024"/>
    <n v="1"/>
  </r>
  <r>
    <s v="SR020"/>
    <x v="10"/>
    <s v="Anita"/>
    <s v="Ghosh"/>
    <s v="anita.ghosh96@techmart.com"/>
    <n v="9773313663"/>
    <s v="Central"/>
    <s v="Enterprise Sales"/>
    <s v="0-1 yr"/>
    <s v="B.Com"/>
    <d v="2021-05-10T00:00:00"/>
    <n v="49154"/>
    <d v="2024-10-30T00:00:00"/>
    <s v="Negotiation"/>
    <n v="104900"/>
    <n v="5.7000000000000002E-2"/>
    <n v="0"/>
    <s v="Trade Show"/>
    <s v="Monitors"/>
    <n v="48"/>
    <s v="SMB"/>
    <n v="33333.33"/>
    <n v="143844.34"/>
    <n v="4.3150000000000004"/>
    <s v="Exceeded"/>
    <n v="2024"/>
    <n v="0"/>
  </r>
  <r>
    <s v="SR021"/>
    <x v="19"/>
    <s v="Karan"/>
    <s v="Malhotra"/>
    <s v="karan.malhotra98@techmart.com"/>
    <n v="9672233721"/>
    <s v="West"/>
    <s v="Retail Sales"/>
    <s v="0-1 yr"/>
    <s v="MBA"/>
    <d v="2023-04-13T00:00:00"/>
    <n v="32996"/>
    <d v="2023-05-27T00:00:00"/>
    <s v="Proposal Sent"/>
    <n v="168100"/>
    <n v="0.11600000000000001"/>
    <n v="0"/>
    <s v="Inbound Lead"/>
    <s v="Monitors"/>
    <n v="73"/>
    <s v="SMB"/>
    <n v="41666.67"/>
    <n v="116027.69"/>
    <n v="2.7850000000000001"/>
    <s v="Exceeded"/>
    <n v="2023"/>
    <n v="0"/>
  </r>
  <r>
    <s v="SR021"/>
    <x v="19"/>
    <s v="Karan"/>
    <s v="Malhotra"/>
    <s v="karan.malhotra98@techmart.com"/>
    <n v="9672233721"/>
    <s v="West"/>
    <s v="Retail Sales"/>
    <s v="0-1 yr"/>
    <s v="MBA"/>
    <d v="2023-04-13T00:00:00"/>
    <n v="32996"/>
    <d v="2023-06-01T00:00:00"/>
    <s v="Proposal Sent"/>
    <n v="79200"/>
    <n v="5.8999999999999997E-2"/>
    <n v="0"/>
    <s v="Cold Call"/>
    <s v="Monitors"/>
    <n v="10"/>
    <s v="Enterprise"/>
    <n v="41666.67"/>
    <n v="46197.04"/>
    <n v="1.109"/>
    <s v="Exceeded"/>
    <n v="2023"/>
    <n v="0"/>
  </r>
  <r>
    <s v="SR021"/>
    <x v="19"/>
    <s v="Karan"/>
    <s v="Malhotra"/>
    <s v="karan.malhotra98@techmart.com"/>
    <n v="9672233721"/>
    <s v="West"/>
    <s v="Retail Sales"/>
    <s v="0-1 yr"/>
    <s v="MBA"/>
    <d v="2023-04-13T00:00:00"/>
    <n v="32996"/>
    <d v="2023-06-30T00:00:00"/>
    <s v="Closed Won"/>
    <n v="206400"/>
    <n v="7.4999999999999997E-2"/>
    <n v="15480"/>
    <s v="Cold Call"/>
    <s v="Tablets"/>
    <n v="4"/>
    <s v="Mid-Market"/>
    <n v="41666.67"/>
    <n v="229760.58"/>
    <n v="5.5140000000000002"/>
    <s v="Exceeded"/>
    <n v="2023"/>
    <n v="1"/>
  </r>
  <r>
    <s v="SR021"/>
    <x v="19"/>
    <s v="Karan"/>
    <s v="Malhotra"/>
    <s v="karan.malhotra98@techmart.com"/>
    <n v="9672233721"/>
    <s v="West"/>
    <s v="Retail Sales"/>
    <s v="0-1 yr"/>
    <s v="MBA"/>
    <d v="2023-04-13T00:00:00"/>
    <n v="32996"/>
    <d v="2023-07-20T00:00:00"/>
    <s v="Closed Won"/>
    <n v="139400"/>
    <n v="4.8000000000000001E-2"/>
    <n v="6691.2"/>
    <s v="Trade Show"/>
    <s v="Headphones"/>
    <n v="61"/>
    <s v="Mid-Market"/>
    <n v="41666.67"/>
    <n v="140341.14000000001"/>
    <n v="3.3679999999999999"/>
    <s v="Exceeded"/>
    <n v="2023"/>
    <n v="1"/>
  </r>
  <r>
    <s v="SR021"/>
    <x v="19"/>
    <s v="Karan"/>
    <s v="Malhotra"/>
    <s v="karan.malhotra98@techmart.com"/>
    <n v="9672233721"/>
    <s v="West"/>
    <s v="Retail Sales"/>
    <s v="0-1 yr"/>
    <s v="MBA"/>
    <d v="2023-04-13T00:00:00"/>
    <n v="32996"/>
    <d v="2023-08-15T00:00:00"/>
    <s v="Closed Lost"/>
    <n v="102900"/>
    <n v="8.3000000000000004E-2"/>
    <n v="0"/>
    <s v="Cold Call"/>
    <s v="Cameras"/>
    <n v="42"/>
    <s v="SMB"/>
    <n v="41666.67"/>
    <n v="54124.07"/>
    <n v="1.2989999999999999"/>
    <s v="Exceeded"/>
    <n v="2023"/>
    <n v="0"/>
  </r>
  <r>
    <s v="SR021"/>
    <x v="19"/>
    <s v="Karan"/>
    <s v="Malhotra"/>
    <s v="karan.malhotra98@techmart.com"/>
    <n v="9672233721"/>
    <s v="West"/>
    <s v="Retail Sales"/>
    <s v="0-1 yr"/>
    <s v="MBA"/>
    <d v="2023-04-13T00:00:00"/>
    <n v="32996"/>
    <d v="2023-09-26T00:00:00"/>
    <s v="Closed Lost"/>
    <n v="209300"/>
    <n v="6.6000000000000003E-2"/>
    <n v="0"/>
    <s v="Email Campaign"/>
    <s v="Cameras"/>
    <n v="84"/>
    <s v="SMB"/>
    <n v="41666.67"/>
    <n v="127367.8"/>
    <n v="3.0569999999999999"/>
    <s v="Exceeded"/>
    <n v="2023"/>
    <n v="0"/>
  </r>
  <r>
    <s v="SR021"/>
    <x v="19"/>
    <s v="Karan"/>
    <s v="Malhotra"/>
    <s v="karan.malhotra98@techmart.com"/>
    <n v="9672233721"/>
    <s v="West"/>
    <s v="Retail Sales"/>
    <s v="0-1 yr"/>
    <s v="MBA"/>
    <d v="2023-04-13T00:00:00"/>
    <n v="32996"/>
    <d v="2023-12-30T00:00:00"/>
    <s v="Closed Won"/>
    <n v="67900"/>
    <n v="0.11700000000000001"/>
    <n v="7944.3"/>
    <s v="Walk-in"/>
    <s v="Headphones"/>
    <n v="12"/>
    <s v="Individual"/>
    <n v="41666.67"/>
    <n v="86036.85"/>
    <n v="2.0649999999999999"/>
    <s v="Exceeded"/>
    <n v="2023"/>
    <n v="1"/>
  </r>
  <r>
    <s v="SR021"/>
    <x v="19"/>
    <s v="Karan"/>
    <s v="Malhotra"/>
    <s v="karan.malhotra98@techmart.com"/>
    <n v="9672233721"/>
    <s v="West"/>
    <s v="Retail Sales"/>
    <s v="0-1 yr"/>
    <s v="MBA"/>
    <d v="2023-04-13T00:00:00"/>
    <n v="32996"/>
    <d v="2024-06-19T00:00:00"/>
    <s v="Closed Won"/>
    <n v="203300"/>
    <n v="6.8000000000000005E-2"/>
    <n v="13824.4"/>
    <s v="Inbound Lead"/>
    <s v="Smart TVs"/>
    <n v="24"/>
    <s v="Enterprise"/>
    <n v="41666.67"/>
    <n v="217046.66"/>
    <n v="5.2089999999999996"/>
    <s v="Exceeded"/>
    <n v="2024"/>
    <n v="1"/>
  </r>
  <r>
    <s v="SR021"/>
    <x v="19"/>
    <s v="Karan"/>
    <s v="Malhotra"/>
    <s v="karan.malhotra98@techmart.com"/>
    <n v="9672233721"/>
    <s v="West"/>
    <s v="Retail Sales"/>
    <s v="0-1 yr"/>
    <s v="MBA"/>
    <d v="2023-04-13T00:00:00"/>
    <n v="32996"/>
    <d v="2024-07-27T00:00:00"/>
    <s v="Proposal Sent"/>
    <n v="177900"/>
    <n v="7.2999999999999995E-2"/>
    <n v="0"/>
    <s v="Email Campaign"/>
    <s v="Tablets"/>
    <n v="77"/>
    <s v="Individual"/>
    <n v="41666.67"/>
    <n v="141694.54"/>
    <n v="3.4009999999999998"/>
    <s v="Exceeded"/>
    <n v="2024"/>
    <n v="0"/>
  </r>
  <r>
    <s v="SR021"/>
    <x v="19"/>
    <s v="Karan"/>
    <s v="Malhotra"/>
    <s v="karan.malhotra98@techmart.com"/>
    <n v="9672233721"/>
    <s v="West"/>
    <s v="Retail Sales"/>
    <s v="0-1 yr"/>
    <s v="MBA"/>
    <d v="2023-04-13T00:00:00"/>
    <n v="32996"/>
    <d v="2024-08-27T00:00:00"/>
    <s v="Closed Lost"/>
    <n v="197900"/>
    <n v="0.10299999999999999"/>
    <n v="0"/>
    <s v="Inbound Lead"/>
    <s v="Monitors"/>
    <n v="78"/>
    <s v="SMB"/>
    <n v="41666.67"/>
    <n v="162899.37"/>
    <n v="3.91"/>
    <s v="Exceeded"/>
    <n v="2024"/>
    <n v="0"/>
  </r>
  <r>
    <s v="SR022"/>
    <x v="20"/>
    <s v="Swati"/>
    <s v="Chopra"/>
    <s v="swati.chopra68@techmart.com"/>
    <n v="9928593854"/>
    <s v="West"/>
    <s v="Retail Sales"/>
    <s v="1-3 yrs"/>
    <s v="M.Com"/>
    <d v="2020-05-06T00:00:00"/>
    <n v="28813"/>
    <d v="2022-02-03T00:00:00"/>
    <s v="Closed Won"/>
    <n v="199100"/>
    <n v="0.09"/>
    <n v="17919"/>
    <s v="Referral"/>
    <s v="Cameras"/>
    <n v="24"/>
    <s v="Enterprise"/>
    <n v="41666.67"/>
    <n v="107659.91"/>
    <n v="2.5840000000000001"/>
    <s v="Exceeded"/>
    <n v="2022"/>
    <n v="1"/>
  </r>
  <r>
    <s v="SR022"/>
    <x v="20"/>
    <s v="Swati"/>
    <s v="Chopra"/>
    <s v="swati.chopra68@techmart.com"/>
    <n v="9928593854"/>
    <s v="West"/>
    <s v="Retail Sales"/>
    <s v="1-3 yrs"/>
    <s v="M.Com"/>
    <d v="2020-05-06T00:00:00"/>
    <n v="28813"/>
    <d v="2022-04-08T00:00:00"/>
    <s v="Negotiation"/>
    <n v="25100"/>
    <n v="0.113"/>
    <n v="0"/>
    <s v="LinkedIn"/>
    <s v="Smartphones"/>
    <n v="66"/>
    <s v="Enterprise"/>
    <n v="41666.67"/>
    <n v="21880.11"/>
    <n v="0.52500000000000002"/>
    <s v="Below Target"/>
    <n v="2022"/>
    <n v="0"/>
  </r>
  <r>
    <s v="SR022"/>
    <x v="20"/>
    <s v="Swati"/>
    <s v="Chopra"/>
    <s v="swati.chopra68@techmart.com"/>
    <n v="9928593854"/>
    <s v="West"/>
    <s v="Retail Sales"/>
    <s v="1-3 yrs"/>
    <s v="M.Com"/>
    <d v="2020-05-06T00:00:00"/>
    <n v="28813"/>
    <d v="2022-07-10T00:00:00"/>
    <s v="Closed Won"/>
    <n v="139600"/>
    <n v="6.0999999999999999E-2"/>
    <n v="8515.6"/>
    <s v="Trade Show"/>
    <s v="Monitors"/>
    <n v="29"/>
    <s v="SMB"/>
    <n v="41666.67"/>
    <n v="186729.08"/>
    <n v="4.4809999999999999"/>
    <s v="Exceeded"/>
    <n v="2022"/>
    <n v="1"/>
  </r>
  <r>
    <s v="SR022"/>
    <x v="20"/>
    <s v="Swati"/>
    <s v="Chopra"/>
    <s v="swati.chopra68@techmart.com"/>
    <n v="9928593854"/>
    <s v="West"/>
    <s v="Retail Sales"/>
    <s v="1-3 yrs"/>
    <s v="M.Com"/>
    <d v="2020-05-06T00:00:00"/>
    <n v="28813"/>
    <d v="2023-06-16T00:00:00"/>
    <s v="Proposal Sent"/>
    <n v="32900"/>
    <n v="6.9000000000000006E-2"/>
    <n v="0"/>
    <s v="Cold Call"/>
    <s v="Smartphones"/>
    <n v="51"/>
    <s v="Individual"/>
    <n v="41666.67"/>
    <n v="16843.95"/>
    <n v="0.40400000000000003"/>
    <s v="Below Target"/>
    <n v="2023"/>
    <n v="0"/>
  </r>
  <r>
    <s v="SR022"/>
    <x v="20"/>
    <s v="Swati"/>
    <s v="Chopra"/>
    <s v="swati.chopra68@techmart.com"/>
    <n v="9928593854"/>
    <s v="West"/>
    <s v="Retail Sales"/>
    <s v="1-3 yrs"/>
    <s v="M.Com"/>
    <d v="2020-05-06T00:00:00"/>
    <n v="28813"/>
    <d v="2023-06-27T00:00:00"/>
    <s v="Closed Won"/>
    <n v="245700"/>
    <n v="0.108"/>
    <n v="26535.599999999999"/>
    <s v="Referral"/>
    <s v="Laptops"/>
    <n v="24"/>
    <s v="Individual"/>
    <n v="41666.67"/>
    <n v="288040.59000000003"/>
    <n v="6.9130000000000003"/>
    <s v="Exceeded"/>
    <n v="2023"/>
    <n v="1"/>
  </r>
  <r>
    <s v="SR022"/>
    <x v="20"/>
    <s v="Swati"/>
    <s v="Chopra"/>
    <s v="swati.chopra68@techmart.com"/>
    <n v="9928593854"/>
    <s v="West"/>
    <s v="Retail Sales"/>
    <s v="1-3 yrs"/>
    <s v="M.Com"/>
    <d v="2020-05-06T00:00:00"/>
    <n v="28813"/>
    <d v="2024-05-02T00:00:00"/>
    <s v="Proposal Sent"/>
    <n v="83000"/>
    <n v="5.8000000000000003E-2"/>
    <n v="0"/>
    <s v="Email Campaign"/>
    <s v="Headphones"/>
    <n v="86"/>
    <s v="Enterprise"/>
    <n v="41666.67"/>
    <n v="88098.64"/>
    <n v="2.1139999999999999"/>
    <s v="Exceeded"/>
    <n v="2024"/>
    <n v="0"/>
  </r>
  <r>
    <s v="SR022"/>
    <x v="20"/>
    <s v="Swati"/>
    <s v="Chopra"/>
    <s v="swati.chopra68@techmart.com"/>
    <n v="9928593854"/>
    <s v="West"/>
    <s v="Retail Sales"/>
    <s v="1-3 yrs"/>
    <s v="M.Com"/>
    <d v="2020-05-06T00:00:00"/>
    <n v="28813"/>
    <d v="2024-08-09T00:00:00"/>
    <s v="Proposal Sent"/>
    <n v="193800"/>
    <n v="8.1000000000000003E-2"/>
    <n v="0"/>
    <s v="Inbound Lead"/>
    <s v="Tablets"/>
    <n v="33"/>
    <s v="Individual"/>
    <n v="41666.67"/>
    <n v="230967.37"/>
    <n v="5.5430000000000001"/>
    <s v="Exceeded"/>
    <n v="2024"/>
    <n v="0"/>
  </r>
  <r>
    <s v="SR022"/>
    <x v="20"/>
    <s v="Swati"/>
    <s v="Chopra"/>
    <s v="swati.chopra68@techmart.com"/>
    <n v="9928593854"/>
    <s v="West"/>
    <s v="Retail Sales"/>
    <s v="1-3 yrs"/>
    <s v="M.Com"/>
    <d v="2020-05-06T00:00:00"/>
    <n v="28813"/>
    <d v="2024-09-04T00:00:00"/>
    <s v="Closed Lost"/>
    <n v="186400"/>
    <n v="6.6000000000000003E-2"/>
    <n v="0"/>
    <s v="Email Campaign"/>
    <s v="Monitors"/>
    <n v="78"/>
    <s v="Enterprise"/>
    <n v="41666.67"/>
    <n v="143997.72"/>
    <n v="3.456"/>
    <s v="Exceeded"/>
    <n v="2024"/>
    <n v="0"/>
  </r>
  <r>
    <s v="SR022"/>
    <x v="20"/>
    <s v="Swati"/>
    <s v="Chopra"/>
    <s v="swati.chopra68@techmart.com"/>
    <n v="9928593854"/>
    <s v="West"/>
    <s v="Retail Sales"/>
    <s v="1-3 yrs"/>
    <s v="M.Com"/>
    <d v="2020-05-06T00:00:00"/>
    <n v="28813"/>
    <d v="2024-09-05T00:00:00"/>
    <s v="Closed Won"/>
    <n v="44000"/>
    <n v="0.11899999999999999"/>
    <n v="5236"/>
    <s v="Email Campaign"/>
    <s v="Tablets"/>
    <n v="32"/>
    <s v="Enterprise"/>
    <n v="41666.67"/>
    <n v="33701.07"/>
    <n v="0.80900000000000005"/>
    <s v="Below Target"/>
    <n v="2024"/>
    <n v="1"/>
  </r>
  <r>
    <s v="SR022"/>
    <x v="20"/>
    <s v="Swati"/>
    <s v="Chopra"/>
    <s v="swati.chopra68@techmart.com"/>
    <n v="9928593854"/>
    <s v="West"/>
    <s v="Retail Sales"/>
    <s v="1-3 yrs"/>
    <s v="M.Com"/>
    <d v="2020-05-06T00:00:00"/>
    <n v="28813"/>
    <d v="2024-12-15T00:00:00"/>
    <s v="Proposal Sent"/>
    <n v="174700"/>
    <n v="7.6999999999999999E-2"/>
    <n v="0"/>
    <s v="Inbound Lead"/>
    <s v="Headphones"/>
    <n v="56"/>
    <s v="Individual"/>
    <n v="41666.67"/>
    <n v="229990.27"/>
    <n v="5.52"/>
    <s v="Exceeded"/>
    <n v="2024"/>
    <n v="0"/>
  </r>
  <r>
    <s v="SR023"/>
    <x v="21"/>
    <s v="Amit"/>
    <s v="Nair"/>
    <s v="amit.nair62@techmart.com"/>
    <n v="9739403922"/>
    <s v="Central"/>
    <s v="Enterprise Sales"/>
    <s v="5-10 yrs"/>
    <s v="B.Sc"/>
    <d v="2021-07-20T00:00:00"/>
    <n v="59432"/>
    <d v="2022-01-17T00:00:00"/>
    <s v="Closed Won"/>
    <n v="170300"/>
    <n v="0.106"/>
    <n v="18051.8"/>
    <s v="Trade Show"/>
    <s v="Headphones"/>
    <n v="64"/>
    <s v="Mid-Market"/>
    <n v="33333.33"/>
    <n v="90823.63"/>
    <n v="2.7250000000000001"/>
    <s v="Exceeded"/>
    <n v="2022"/>
    <n v="1"/>
  </r>
  <r>
    <s v="SR023"/>
    <x v="21"/>
    <s v="Amit"/>
    <s v="Nair"/>
    <s v="amit.nair62@techmart.com"/>
    <n v="9739403922"/>
    <s v="Central"/>
    <s v="Enterprise Sales"/>
    <s v="5-10 yrs"/>
    <s v="B.Sc"/>
    <d v="2021-07-20T00:00:00"/>
    <n v="59432"/>
    <d v="2022-01-29T00:00:00"/>
    <s v="Closed Won"/>
    <n v="34300"/>
    <n v="0.10299999999999999"/>
    <n v="3532.9"/>
    <s v="Email Campaign"/>
    <s v="Laptops"/>
    <n v="4"/>
    <s v="SMB"/>
    <n v="33333.33"/>
    <n v="32002.09"/>
    <n v="0.96"/>
    <s v="Met"/>
    <n v="2022"/>
    <n v="1"/>
  </r>
  <r>
    <s v="SR023"/>
    <x v="21"/>
    <s v="Amit"/>
    <s v="Nair"/>
    <s v="amit.nair62@techmart.com"/>
    <n v="9739403922"/>
    <s v="Central"/>
    <s v="Enterprise Sales"/>
    <s v="5-10 yrs"/>
    <s v="B.Sc"/>
    <d v="2021-07-20T00:00:00"/>
    <n v="59432"/>
    <d v="2022-08-28T00:00:00"/>
    <s v="Closed Lost"/>
    <n v="168200"/>
    <n v="0.115"/>
    <n v="0"/>
    <s v="Inbound Lead"/>
    <s v="Headphones"/>
    <n v="90"/>
    <s v="Enterprise"/>
    <n v="33333.33"/>
    <n v="87249.75"/>
    <n v="2.617"/>
    <s v="Exceeded"/>
    <n v="2022"/>
    <n v="0"/>
  </r>
  <r>
    <s v="SR023"/>
    <x v="21"/>
    <s v="Amit"/>
    <s v="Nair"/>
    <s v="amit.nair62@techmart.com"/>
    <n v="9739403922"/>
    <s v="Central"/>
    <s v="Enterprise Sales"/>
    <s v="5-10 yrs"/>
    <s v="B.Sc"/>
    <d v="2021-07-20T00:00:00"/>
    <n v="59432"/>
    <d v="2022-10-25T00:00:00"/>
    <s v="Proposal Sent"/>
    <n v="68400"/>
    <n v="6.9000000000000006E-2"/>
    <n v="0"/>
    <s v="Email Campaign"/>
    <s v="Cameras"/>
    <n v="69"/>
    <s v="SMB"/>
    <n v="33333.33"/>
    <n v="39499.919999999998"/>
    <n v="1.1850000000000001"/>
    <s v="Exceeded"/>
    <n v="2022"/>
    <n v="0"/>
  </r>
  <r>
    <s v="SR023"/>
    <x v="21"/>
    <s v="Amit"/>
    <s v="Nair"/>
    <s v="amit.nair62@techmart.com"/>
    <n v="9739403922"/>
    <s v="Central"/>
    <s v="Enterprise Sales"/>
    <s v="5-10 yrs"/>
    <s v="B.Sc"/>
    <d v="2021-07-20T00:00:00"/>
    <n v="59432"/>
    <d v="2023-08-13T00:00:00"/>
    <s v="Proposal Sent"/>
    <n v="55400"/>
    <n v="7.1999999999999995E-2"/>
    <n v="0"/>
    <s v="Trade Show"/>
    <s v="Laptops"/>
    <n v="65"/>
    <s v="SMB"/>
    <n v="33333.33"/>
    <n v="57000.66"/>
    <n v="1.71"/>
    <s v="Exceeded"/>
    <n v="2023"/>
    <n v="0"/>
  </r>
  <r>
    <s v="SR023"/>
    <x v="21"/>
    <s v="Amit"/>
    <s v="Nair"/>
    <s v="amit.nair62@techmart.com"/>
    <n v="9739403922"/>
    <s v="Central"/>
    <s v="Enterprise Sales"/>
    <s v="5-10 yrs"/>
    <s v="B.Sc"/>
    <d v="2021-07-20T00:00:00"/>
    <n v="59432"/>
    <d v="2024-01-09T00:00:00"/>
    <s v="Proposal Sent"/>
    <n v="181600"/>
    <n v="0.11700000000000001"/>
    <n v="0"/>
    <s v="Email Campaign"/>
    <s v="Headphones"/>
    <n v="39"/>
    <s v="Individual"/>
    <n v="33333.33"/>
    <n v="111244.63"/>
    <n v="3.3370000000000002"/>
    <s v="Exceeded"/>
    <n v="2024"/>
    <n v="0"/>
  </r>
  <r>
    <s v="SR023"/>
    <x v="21"/>
    <s v="Amit"/>
    <s v="Nair"/>
    <s v="amit.nair62@techmart.com"/>
    <n v="9739403922"/>
    <s v="Central"/>
    <s v="Enterprise Sales"/>
    <s v="5-10 yrs"/>
    <s v="B.Sc"/>
    <d v="2021-07-20T00:00:00"/>
    <n v="59432"/>
    <d v="2024-03-29T00:00:00"/>
    <s v="Closed Lost"/>
    <n v="139600"/>
    <n v="8.3000000000000004E-2"/>
    <n v="0"/>
    <s v="LinkedIn"/>
    <s v="Monitors"/>
    <n v="63"/>
    <s v="SMB"/>
    <n v="33333.33"/>
    <n v="159543.44"/>
    <n v="4.7859999999999996"/>
    <s v="Exceeded"/>
    <n v="2024"/>
    <n v="0"/>
  </r>
  <r>
    <s v="SR023"/>
    <x v="21"/>
    <s v="Amit"/>
    <s v="Nair"/>
    <s v="amit.nair62@techmart.com"/>
    <n v="9739403922"/>
    <s v="Central"/>
    <s v="Enterprise Sales"/>
    <s v="5-10 yrs"/>
    <s v="B.Sc"/>
    <d v="2021-07-20T00:00:00"/>
    <n v="59432"/>
    <d v="2024-08-07T00:00:00"/>
    <s v="Closed Won"/>
    <n v="129300"/>
    <n v="6.8000000000000005E-2"/>
    <n v="8792.4"/>
    <s v="Cold Call"/>
    <s v="Laptops"/>
    <n v="20"/>
    <s v="Enterprise"/>
    <n v="33333.33"/>
    <n v="176815.19"/>
    <n v="5.3040000000000003"/>
    <s v="Exceeded"/>
    <n v="2024"/>
    <n v="1"/>
  </r>
  <r>
    <s v="SR023"/>
    <x v="21"/>
    <s v="Amit"/>
    <s v="Nair"/>
    <s v="amit.nair62@techmart.com"/>
    <n v="9739403922"/>
    <s v="Central"/>
    <s v="Enterprise Sales"/>
    <s v="5-10 yrs"/>
    <s v="B.Sc"/>
    <d v="2021-07-20T00:00:00"/>
    <n v="59432"/>
    <d v="2024-08-23T00:00:00"/>
    <s v="Closed Won"/>
    <n v="230400"/>
    <n v="7.0000000000000007E-2"/>
    <n v="16128"/>
    <s v="Referral"/>
    <s v="Laptops"/>
    <n v="38"/>
    <s v="Enterprise"/>
    <n v="33333.33"/>
    <n v="125759.22"/>
    <n v="3.7730000000000001"/>
    <s v="Exceeded"/>
    <n v="2024"/>
    <n v="1"/>
  </r>
  <r>
    <s v="SR023"/>
    <x v="21"/>
    <s v="Amit"/>
    <s v="Nair"/>
    <s v="amit.nair62@techmart.com"/>
    <n v="9739403922"/>
    <s v="Central"/>
    <s v="Enterprise Sales"/>
    <s v="5-10 yrs"/>
    <s v="B.Sc"/>
    <d v="2021-07-20T00:00:00"/>
    <n v="59432"/>
    <d v="2024-12-17T00:00:00"/>
    <s v="Closed Won"/>
    <n v="115600"/>
    <n v="8.2000000000000003E-2"/>
    <n v="9479.2000000000007"/>
    <s v="LinkedIn"/>
    <s v="Smartphones"/>
    <n v="35"/>
    <s v="Enterprise"/>
    <n v="33333.33"/>
    <n v="150306.19"/>
    <n v="4.5090000000000003"/>
    <s v="Exceeded"/>
    <n v="2024"/>
    <n v="1"/>
  </r>
  <r>
    <s v="SR024"/>
    <x v="22"/>
    <s v="Arun"/>
    <s v="Sharma"/>
    <s v="arun.sharma79@techmart.com"/>
    <n v="9864411314"/>
    <s v="Central"/>
    <s v="Online Sales"/>
    <s v="10+ yrs"/>
    <s v="M.Com"/>
    <d v="2023-08-01T00:00:00"/>
    <n v="77951"/>
    <d v="2023-09-18T00:00:00"/>
    <s v="Closed Won"/>
    <n v="99100"/>
    <n v="0.109"/>
    <n v="10801.9"/>
    <s v="Inbound Lead"/>
    <s v="Monitors"/>
    <n v="21"/>
    <s v="SMB"/>
    <n v="33333.33"/>
    <n v="123394.74"/>
    <n v="3.702"/>
    <s v="Exceeded"/>
    <n v="2023"/>
    <n v="1"/>
  </r>
  <r>
    <s v="SR024"/>
    <x v="22"/>
    <s v="Arun"/>
    <s v="Sharma"/>
    <s v="arun.sharma79@techmart.com"/>
    <n v="9864411314"/>
    <s v="Central"/>
    <s v="Online Sales"/>
    <s v="10+ yrs"/>
    <s v="M.Com"/>
    <d v="2023-08-01T00:00:00"/>
    <n v="77951"/>
    <d v="2023-11-13T00:00:00"/>
    <s v="Negotiation"/>
    <n v="16000"/>
    <n v="7.5999999999999998E-2"/>
    <n v="0"/>
    <s v="Referral"/>
    <s v="Monitors"/>
    <n v="16"/>
    <s v="SMB"/>
    <n v="33333.33"/>
    <n v="21118.2"/>
    <n v="0.63400000000000001"/>
    <s v="Below Target"/>
    <n v="2023"/>
    <n v="0"/>
  </r>
  <r>
    <s v="SR024"/>
    <x v="22"/>
    <s v="Arun"/>
    <s v="Sharma"/>
    <s v="arun.sharma79@techmart.com"/>
    <n v="9864411314"/>
    <s v="Central"/>
    <s v="Online Sales"/>
    <s v="10+ yrs"/>
    <s v="M.Com"/>
    <d v="2023-08-01T00:00:00"/>
    <n v="77951"/>
    <d v="2023-11-15T00:00:00"/>
    <s v="Proposal Sent"/>
    <n v="18200"/>
    <n v="0.113"/>
    <n v="0"/>
    <s v="Trade Show"/>
    <s v="Cameras"/>
    <n v="59"/>
    <s v="Individual"/>
    <n v="33333.33"/>
    <n v="25064.93"/>
    <n v="0.752"/>
    <s v="Below Target"/>
    <n v="2023"/>
    <n v="0"/>
  </r>
  <r>
    <s v="SR024"/>
    <x v="22"/>
    <s v="Arun"/>
    <s v="Sharma"/>
    <s v="arun.sharma79@techmart.com"/>
    <n v="9864411314"/>
    <s v="Central"/>
    <s v="Online Sales"/>
    <s v="10+ yrs"/>
    <s v="M.Com"/>
    <d v="2023-08-01T00:00:00"/>
    <n v="77951"/>
    <d v="2024-01-08T00:00:00"/>
    <s v="Proposal Sent"/>
    <n v="81600"/>
    <n v="9.4E-2"/>
    <n v="0"/>
    <s v="Walk-in"/>
    <s v="Smart TVs"/>
    <n v="64"/>
    <s v="Individual"/>
    <n v="33333.33"/>
    <n v="52131.48"/>
    <n v="1.5640000000000001"/>
    <s v="Exceeded"/>
    <n v="2024"/>
    <n v="0"/>
  </r>
  <r>
    <s v="SR024"/>
    <x v="22"/>
    <s v="Arun"/>
    <s v="Sharma"/>
    <s v="arun.sharma79@techmart.com"/>
    <n v="9864411314"/>
    <s v="Central"/>
    <s v="Online Sales"/>
    <s v="10+ yrs"/>
    <s v="M.Com"/>
    <d v="2023-08-01T00:00:00"/>
    <n v="77951"/>
    <d v="2024-01-13T00:00:00"/>
    <s v="Negotiation"/>
    <n v="59300"/>
    <n v="5.5E-2"/>
    <n v="0"/>
    <s v="Email Campaign"/>
    <s v="Smartphones"/>
    <n v="86"/>
    <s v="Enterprise"/>
    <n v="33333.33"/>
    <n v="36539.879999999997"/>
    <n v="1.0960000000000001"/>
    <s v="Met"/>
    <n v="2024"/>
    <n v="0"/>
  </r>
  <r>
    <s v="SR024"/>
    <x v="22"/>
    <s v="Arun"/>
    <s v="Sharma"/>
    <s v="arun.sharma79@techmart.com"/>
    <n v="9864411314"/>
    <s v="Central"/>
    <s v="Online Sales"/>
    <s v="10+ yrs"/>
    <s v="M.Com"/>
    <d v="2023-08-01T00:00:00"/>
    <n v="77951"/>
    <d v="2024-02-21T00:00:00"/>
    <s v="Closed Won"/>
    <n v="163800"/>
    <n v="7.3999999999999996E-2"/>
    <n v="12121.2"/>
    <s v="Walk-in"/>
    <s v="Headphones"/>
    <n v="64"/>
    <s v="Mid-Market"/>
    <n v="33333.33"/>
    <n v="116502.26"/>
    <n v="3.4950000000000001"/>
    <s v="Exceeded"/>
    <n v="2024"/>
    <n v="1"/>
  </r>
  <r>
    <s v="SR024"/>
    <x v="22"/>
    <s v="Arun"/>
    <s v="Sharma"/>
    <s v="arun.sharma79@techmart.com"/>
    <n v="9864411314"/>
    <s v="Central"/>
    <s v="Online Sales"/>
    <s v="10+ yrs"/>
    <s v="M.Com"/>
    <d v="2023-08-01T00:00:00"/>
    <n v="77951"/>
    <d v="2024-03-17T00:00:00"/>
    <s v="Closed Lost"/>
    <n v="72600"/>
    <n v="0.11899999999999999"/>
    <n v="0"/>
    <s v="Walk-in"/>
    <s v="Tablets"/>
    <n v="6"/>
    <s v="Mid-Market"/>
    <n v="33333.33"/>
    <n v="94865.4"/>
    <n v="2.8460000000000001"/>
    <s v="Exceeded"/>
    <n v="2024"/>
    <n v="0"/>
  </r>
  <r>
    <s v="SR024"/>
    <x v="22"/>
    <s v="Arun"/>
    <s v="Sharma"/>
    <s v="arun.sharma79@techmart.com"/>
    <n v="9864411314"/>
    <s v="Central"/>
    <s v="Online Sales"/>
    <s v="10+ yrs"/>
    <s v="M.Com"/>
    <d v="2023-08-01T00:00:00"/>
    <n v="77951"/>
    <d v="2024-07-13T00:00:00"/>
    <s v="Negotiation"/>
    <n v="228700"/>
    <n v="0.106"/>
    <n v="0"/>
    <s v="Email Campaign"/>
    <s v="Headphones"/>
    <n v="17"/>
    <s v="Mid-Market"/>
    <n v="33333.33"/>
    <n v="263164.06"/>
    <n v="7.8949999999999996"/>
    <s v="Exceeded"/>
    <n v="2024"/>
    <n v="0"/>
  </r>
  <r>
    <s v="SR024"/>
    <x v="22"/>
    <s v="Arun"/>
    <s v="Sharma"/>
    <s v="arun.sharma79@techmart.com"/>
    <n v="9864411314"/>
    <s v="Central"/>
    <s v="Online Sales"/>
    <s v="10+ yrs"/>
    <s v="M.Com"/>
    <d v="2023-08-01T00:00:00"/>
    <n v="77951"/>
    <d v="2024-09-03T00:00:00"/>
    <s v="Closed Lost"/>
    <n v="223400"/>
    <n v="0.115"/>
    <n v="0"/>
    <s v="Email Campaign"/>
    <s v="Monitors"/>
    <n v="47"/>
    <s v="Enterprise"/>
    <n v="33333.33"/>
    <n v="272498.75"/>
    <n v="8.1750000000000007"/>
    <s v="Exceeded"/>
    <n v="2024"/>
    <n v="0"/>
  </r>
  <r>
    <s v="SR024"/>
    <x v="22"/>
    <s v="Arun"/>
    <s v="Sharma"/>
    <s v="arun.sharma79@techmart.com"/>
    <n v="9864411314"/>
    <s v="Central"/>
    <s v="Online Sales"/>
    <s v="10+ yrs"/>
    <s v="M.Com"/>
    <d v="2023-08-01T00:00:00"/>
    <n v="77951"/>
    <d v="2024-12-28T00:00:00"/>
    <s v="Closed Won"/>
    <n v="216500"/>
    <n v="3.5999999999999997E-2"/>
    <n v="7794"/>
    <s v="Trade Show"/>
    <s v="Smartphones"/>
    <n v="80"/>
    <s v="SMB"/>
    <n v="33333.33"/>
    <n v="131766.06"/>
    <n v="3.9529999999999998"/>
    <s v="Exceeded"/>
    <n v="2024"/>
    <n v="1"/>
  </r>
  <r>
    <s v="SR025"/>
    <x v="23"/>
    <s v="Anita"/>
    <s v="Joshi"/>
    <s v="anita.joshi91@techmart.com"/>
    <n v="9849583575"/>
    <s v="East"/>
    <s v="Channel Sales"/>
    <s v="0-1 yr"/>
    <s v="B.Com"/>
    <d v="2018-04-09T00:00:00"/>
    <n v="65990"/>
    <d v="2022-01-14T00:00:00"/>
    <s v="Closed Won"/>
    <n v="223800"/>
    <n v="0.10299999999999999"/>
    <n v="23051.4"/>
    <s v="Inbound Lead"/>
    <s v="Tablets"/>
    <n v="65"/>
    <s v="SMB"/>
    <n v="35000"/>
    <n v="129067.8"/>
    <n v="3.6880000000000002"/>
    <s v="Exceeded"/>
    <n v="2022"/>
    <n v="1"/>
  </r>
  <r>
    <s v="SR025"/>
    <x v="23"/>
    <s v="Anita"/>
    <s v="Joshi"/>
    <s v="anita.joshi91@techmart.com"/>
    <n v="9849583575"/>
    <s v="East"/>
    <s v="Channel Sales"/>
    <s v="0-1 yr"/>
    <s v="B.Com"/>
    <d v="2018-04-09T00:00:00"/>
    <n v="65990"/>
    <d v="2022-04-29T00:00:00"/>
    <s v="Proposal Sent"/>
    <n v="192000"/>
    <n v="0.10199999999999999"/>
    <n v="0"/>
    <s v="LinkedIn"/>
    <s v="Tablets"/>
    <n v="54"/>
    <s v="Enterprise"/>
    <n v="35000"/>
    <n v="249063.28"/>
    <n v="7.1159999999999997"/>
    <s v="Exceeded"/>
    <n v="2022"/>
    <n v="0"/>
  </r>
  <r>
    <s v="SR025"/>
    <x v="23"/>
    <s v="Anita"/>
    <s v="Joshi"/>
    <s v="anita.joshi91@techmart.com"/>
    <n v="9849583575"/>
    <s v="East"/>
    <s v="Channel Sales"/>
    <s v="0-1 yr"/>
    <s v="B.Com"/>
    <d v="2018-04-09T00:00:00"/>
    <n v="65990"/>
    <d v="2023-09-16T00:00:00"/>
    <s v="Proposal Sent"/>
    <n v="199700"/>
    <n v="5.8000000000000003E-2"/>
    <n v="0"/>
    <s v="Inbound Lead"/>
    <s v="Smartphones"/>
    <n v="36"/>
    <s v="SMB"/>
    <n v="35000"/>
    <n v="225714.03"/>
    <n v="6.4489999999999998"/>
    <s v="Exceeded"/>
    <n v="2023"/>
    <n v="0"/>
  </r>
  <r>
    <s v="SR025"/>
    <x v="23"/>
    <s v="Anita"/>
    <s v="Joshi"/>
    <s v="anita.joshi91@techmart.com"/>
    <n v="9849583575"/>
    <s v="East"/>
    <s v="Channel Sales"/>
    <s v="0-1 yr"/>
    <s v="B.Com"/>
    <d v="2018-04-09T00:00:00"/>
    <n v="65990"/>
    <d v="2023-10-07T00:00:00"/>
    <s v="Closed Lost"/>
    <n v="207500"/>
    <n v="4.4999999999999998E-2"/>
    <n v="0"/>
    <s v="Cold Call"/>
    <s v="Headphones"/>
    <n v="5"/>
    <s v="SMB"/>
    <n v="35000"/>
    <n v="272293.95"/>
    <n v="7.78"/>
    <s v="Exceeded"/>
    <n v="2023"/>
    <n v="0"/>
  </r>
  <r>
    <s v="SR025"/>
    <x v="23"/>
    <s v="Anita"/>
    <s v="Joshi"/>
    <s v="anita.joshi91@techmart.com"/>
    <n v="9849583575"/>
    <s v="East"/>
    <s v="Channel Sales"/>
    <s v="0-1 yr"/>
    <s v="B.Com"/>
    <d v="2018-04-09T00:00:00"/>
    <n v="65990"/>
    <d v="2024-01-15T00:00:00"/>
    <s v="Closed Won"/>
    <n v="219700"/>
    <n v="4.2000000000000003E-2"/>
    <n v="9227.4"/>
    <s v="Walk-in"/>
    <s v="Laptops"/>
    <n v="57"/>
    <s v="Enterprise"/>
    <n v="35000"/>
    <n v="261947.73"/>
    <n v="7.484"/>
    <s v="Exceeded"/>
    <n v="2024"/>
    <n v="1"/>
  </r>
  <r>
    <s v="SR025"/>
    <x v="23"/>
    <s v="Anita"/>
    <s v="Joshi"/>
    <s v="anita.joshi91@techmart.com"/>
    <n v="9849583575"/>
    <s v="East"/>
    <s v="Channel Sales"/>
    <s v="0-1 yr"/>
    <s v="B.Com"/>
    <d v="2018-04-09T00:00:00"/>
    <n v="65990"/>
    <d v="2024-02-02T00:00:00"/>
    <s v="Proposal Sent"/>
    <n v="202900"/>
    <n v="6.7000000000000004E-2"/>
    <n v="0"/>
    <s v="Email Campaign"/>
    <s v="Monitors"/>
    <n v="32"/>
    <s v="SMB"/>
    <n v="35000"/>
    <n v="238992.99"/>
    <n v="6.8280000000000003"/>
    <s v="Exceeded"/>
    <n v="2024"/>
    <n v="0"/>
  </r>
  <r>
    <s v="SR025"/>
    <x v="23"/>
    <s v="Anita"/>
    <s v="Joshi"/>
    <s v="anita.joshi91@techmart.com"/>
    <n v="9849583575"/>
    <s v="East"/>
    <s v="Channel Sales"/>
    <s v="0-1 yr"/>
    <s v="B.Com"/>
    <d v="2018-04-09T00:00:00"/>
    <n v="65990"/>
    <d v="2024-04-08T00:00:00"/>
    <s v="Closed Won"/>
    <n v="235900"/>
    <n v="5.7000000000000002E-2"/>
    <n v="13446.3"/>
    <s v="Cold Call"/>
    <s v="Smart TVs"/>
    <n v="43"/>
    <s v="Enterprise"/>
    <n v="35000"/>
    <n v="271895.7"/>
    <n v="7.7679999999999998"/>
    <s v="Exceeded"/>
    <n v="2024"/>
    <n v="1"/>
  </r>
  <r>
    <s v="SR025"/>
    <x v="23"/>
    <s v="Anita"/>
    <s v="Joshi"/>
    <s v="anita.joshi91@techmart.com"/>
    <n v="9849583575"/>
    <s v="East"/>
    <s v="Channel Sales"/>
    <s v="0-1 yr"/>
    <s v="B.Com"/>
    <d v="2018-04-09T00:00:00"/>
    <n v="65990"/>
    <d v="2024-07-02T00:00:00"/>
    <s v="Proposal Sent"/>
    <n v="58800"/>
    <n v="0.11"/>
    <n v="0"/>
    <s v="LinkedIn"/>
    <s v="Cameras"/>
    <n v="80"/>
    <s v="Enterprise"/>
    <n v="35000"/>
    <n v="66310.16"/>
    <n v="1.895"/>
    <s v="Exceeded"/>
    <n v="2024"/>
    <n v="0"/>
  </r>
  <r>
    <s v="SR025"/>
    <x v="23"/>
    <s v="Anita"/>
    <s v="Joshi"/>
    <s v="anita.joshi91@techmart.com"/>
    <n v="9849583575"/>
    <s v="East"/>
    <s v="Channel Sales"/>
    <s v="0-1 yr"/>
    <s v="B.Com"/>
    <d v="2018-04-09T00:00:00"/>
    <n v="65990"/>
    <d v="2024-11-23T00:00:00"/>
    <s v="Proposal Sent"/>
    <n v="99800"/>
    <n v="0.115"/>
    <n v="0"/>
    <s v="Trade Show"/>
    <s v="Laptops"/>
    <n v="2"/>
    <s v="Individual"/>
    <n v="35000"/>
    <n v="57514.78"/>
    <n v="1.643"/>
    <s v="Exceeded"/>
    <n v="2024"/>
    <n v="0"/>
  </r>
  <r>
    <s v="SR025"/>
    <x v="23"/>
    <s v="Anita"/>
    <s v="Joshi"/>
    <s v="anita.joshi91@techmart.com"/>
    <n v="9849583575"/>
    <s v="East"/>
    <s v="Channel Sales"/>
    <s v="0-1 yr"/>
    <s v="B.Com"/>
    <d v="2018-04-09T00:00:00"/>
    <n v="65990"/>
    <d v="2024-12-20T00:00:00"/>
    <s v="Closed Lost"/>
    <n v="211400"/>
    <n v="5.0999999999999997E-2"/>
    <n v="0"/>
    <s v="Walk-in"/>
    <s v="Headphones"/>
    <n v="53"/>
    <s v="Enterprise"/>
    <n v="35000"/>
    <n v="276565.90000000002"/>
    <n v="7.9020000000000001"/>
    <s v="Exceeded"/>
    <n v="2024"/>
    <n v="0"/>
  </r>
  <r>
    <s v="SR026"/>
    <x v="24"/>
    <s v="Kavita"/>
    <s v="Mehta"/>
    <s v="kavita.mehta79@techmart.com"/>
    <n v="9900870780"/>
    <s v="West"/>
    <s v="Online Sales"/>
    <s v="0-1 yr"/>
    <s v="MBA"/>
    <d v="2021-12-03T00:00:00"/>
    <n v="77824"/>
    <d v="2022-01-11T00:00:00"/>
    <s v="Closed Lost"/>
    <n v="93900"/>
    <n v="0.11799999999999999"/>
    <n v="0"/>
    <s v="Walk-in"/>
    <s v="Monitors"/>
    <n v="75"/>
    <s v="SMB"/>
    <n v="41666.67"/>
    <n v="76556.990000000005"/>
    <n v="1.837"/>
    <s v="Exceeded"/>
    <n v="2022"/>
    <n v="0"/>
  </r>
  <r>
    <s v="SR026"/>
    <x v="24"/>
    <s v="Kavita"/>
    <s v="Mehta"/>
    <s v="kavita.mehta79@techmart.com"/>
    <n v="9900870780"/>
    <s v="West"/>
    <s v="Online Sales"/>
    <s v="0-1 yr"/>
    <s v="MBA"/>
    <d v="2021-12-03T00:00:00"/>
    <n v="77824"/>
    <d v="2022-09-16T00:00:00"/>
    <s v="Negotiation"/>
    <n v="146800"/>
    <n v="5.6000000000000001E-2"/>
    <n v="0"/>
    <s v="Cold Call"/>
    <s v="Smart TVs"/>
    <n v="71"/>
    <s v="Mid-Market"/>
    <n v="41666.67"/>
    <n v="142278.89000000001"/>
    <n v="3.415"/>
    <s v="Exceeded"/>
    <n v="2022"/>
    <n v="0"/>
  </r>
  <r>
    <s v="SR026"/>
    <x v="24"/>
    <s v="Kavita"/>
    <s v="Mehta"/>
    <s v="kavita.mehta79@techmart.com"/>
    <n v="9900870780"/>
    <s v="West"/>
    <s v="Online Sales"/>
    <s v="0-1 yr"/>
    <s v="MBA"/>
    <d v="2021-12-03T00:00:00"/>
    <n v="77824"/>
    <d v="2022-11-24T00:00:00"/>
    <s v="Closed Won"/>
    <n v="12300"/>
    <n v="0.11"/>
    <n v="1353"/>
    <s v="LinkedIn"/>
    <s v="Smart TVs"/>
    <n v="34"/>
    <s v="SMB"/>
    <n v="41666.67"/>
    <n v="15362.77"/>
    <n v="0.36899999999999999"/>
    <s v="Below Target"/>
    <n v="2022"/>
    <n v="1"/>
  </r>
  <r>
    <s v="SR026"/>
    <x v="24"/>
    <s v="Kavita"/>
    <s v="Mehta"/>
    <s v="kavita.mehta79@techmart.com"/>
    <n v="9900870780"/>
    <s v="West"/>
    <s v="Online Sales"/>
    <s v="0-1 yr"/>
    <s v="MBA"/>
    <d v="2021-12-03T00:00:00"/>
    <n v="77824"/>
    <d v="2023-05-23T00:00:00"/>
    <s v="Closed Won"/>
    <n v="90900"/>
    <n v="7.5999999999999998E-2"/>
    <n v="6908.4"/>
    <s v="Referral"/>
    <s v="Cameras"/>
    <n v="47"/>
    <s v="Enterprise"/>
    <n v="41666.67"/>
    <n v="53466.38"/>
    <n v="1.2829999999999999"/>
    <s v="Exceeded"/>
    <n v="2023"/>
    <n v="1"/>
  </r>
  <r>
    <s v="SR026"/>
    <x v="24"/>
    <s v="Kavita"/>
    <s v="Mehta"/>
    <s v="kavita.mehta79@techmart.com"/>
    <n v="9900870780"/>
    <s v="West"/>
    <s v="Online Sales"/>
    <s v="0-1 yr"/>
    <s v="MBA"/>
    <d v="2021-12-03T00:00:00"/>
    <n v="77824"/>
    <d v="2023-08-06T00:00:00"/>
    <s v="Proposal Sent"/>
    <n v="210700"/>
    <n v="0.10299999999999999"/>
    <n v="0"/>
    <s v="LinkedIn"/>
    <s v="Monitors"/>
    <n v="18"/>
    <s v="Enterprise"/>
    <n v="41666.67"/>
    <n v="203894.39"/>
    <n v="4.8929999999999998"/>
    <s v="Exceeded"/>
    <n v="2023"/>
    <n v="0"/>
  </r>
  <r>
    <s v="SR026"/>
    <x v="24"/>
    <s v="Kavita"/>
    <s v="Mehta"/>
    <s v="kavita.mehta79@techmart.com"/>
    <n v="9900870780"/>
    <s v="West"/>
    <s v="Online Sales"/>
    <s v="0-1 yr"/>
    <s v="MBA"/>
    <d v="2021-12-03T00:00:00"/>
    <n v="77824"/>
    <d v="2023-09-15T00:00:00"/>
    <s v="Proposal Sent"/>
    <n v="115800"/>
    <n v="0.11899999999999999"/>
    <n v="0"/>
    <s v="Cold Call"/>
    <s v="Monitors"/>
    <n v="8"/>
    <s v="Mid-Market"/>
    <n v="41666.67"/>
    <n v="84971.82"/>
    <n v="2.0390000000000001"/>
    <s v="Exceeded"/>
    <n v="2023"/>
    <n v="0"/>
  </r>
  <r>
    <s v="SR026"/>
    <x v="24"/>
    <s v="Kavita"/>
    <s v="Mehta"/>
    <s v="kavita.mehta79@techmart.com"/>
    <n v="9900870780"/>
    <s v="West"/>
    <s v="Online Sales"/>
    <s v="0-1 yr"/>
    <s v="MBA"/>
    <d v="2021-12-03T00:00:00"/>
    <n v="77824"/>
    <d v="2024-01-27T00:00:00"/>
    <s v="Proposal Sent"/>
    <n v="143000"/>
    <n v="6.6000000000000003E-2"/>
    <n v="0"/>
    <s v="LinkedIn"/>
    <s v="Smart TVs"/>
    <n v="51"/>
    <s v="Mid-Market"/>
    <n v="41666.67"/>
    <n v="146699.9"/>
    <n v="3.5209999999999999"/>
    <s v="Exceeded"/>
    <n v="2024"/>
    <n v="0"/>
  </r>
  <r>
    <s v="SR026"/>
    <x v="24"/>
    <s v="Kavita"/>
    <s v="Mehta"/>
    <s v="kavita.mehta79@techmart.com"/>
    <n v="9900870780"/>
    <s v="West"/>
    <s v="Online Sales"/>
    <s v="0-1 yr"/>
    <s v="MBA"/>
    <d v="2021-12-03T00:00:00"/>
    <n v="77824"/>
    <d v="2024-05-17T00:00:00"/>
    <s v="Closed Lost"/>
    <n v="185600"/>
    <n v="0.114"/>
    <n v="0"/>
    <s v="Trade Show"/>
    <s v="Monitors"/>
    <n v="54"/>
    <s v="SMB"/>
    <n v="41666.67"/>
    <n v="116911.59"/>
    <n v="2.806"/>
    <s v="Exceeded"/>
    <n v="2024"/>
    <n v="0"/>
  </r>
  <r>
    <s v="SR026"/>
    <x v="24"/>
    <s v="Kavita"/>
    <s v="Mehta"/>
    <s v="kavita.mehta79@techmart.com"/>
    <n v="9900870780"/>
    <s v="West"/>
    <s v="Online Sales"/>
    <s v="0-1 yr"/>
    <s v="MBA"/>
    <d v="2021-12-03T00:00:00"/>
    <n v="77824"/>
    <d v="2024-05-21T00:00:00"/>
    <s v="Closed Lost"/>
    <n v="26500"/>
    <n v="3.7999999999999999E-2"/>
    <n v="0"/>
    <s v="Trade Show"/>
    <s v="Laptops"/>
    <n v="61"/>
    <s v="SMB"/>
    <n v="41666.67"/>
    <n v="23891.01"/>
    <n v="0.57299999999999995"/>
    <s v="Below Target"/>
    <n v="2024"/>
    <n v="0"/>
  </r>
  <r>
    <s v="SR026"/>
    <x v="24"/>
    <s v="Kavita"/>
    <s v="Mehta"/>
    <s v="kavita.mehta79@techmart.com"/>
    <n v="9900870780"/>
    <s v="West"/>
    <s v="Online Sales"/>
    <s v="0-1 yr"/>
    <s v="MBA"/>
    <d v="2021-12-03T00:00:00"/>
    <n v="77824"/>
    <d v="2024-11-05T00:00:00"/>
    <s v="Closed Won"/>
    <n v="37500"/>
    <n v="3.4000000000000002E-2"/>
    <n v="1275"/>
    <s v="Email Campaign"/>
    <s v="Smartphones"/>
    <n v="58"/>
    <s v="Mid-Market"/>
    <n v="41666.67"/>
    <n v="38069.69"/>
    <n v="0.91400000000000003"/>
    <s v="Met"/>
    <n v="2024"/>
    <n v="1"/>
  </r>
  <r>
    <s v="SR027"/>
    <x v="25"/>
    <s v="Pooja"/>
    <s v="Kumar"/>
    <s v="pooja.kumar82@techmart.com"/>
    <n v="9765234130"/>
    <s v="South"/>
    <s v="Enterprise Sales"/>
    <s v="3-5 yrs"/>
    <s v="PGDM"/>
    <d v="2018-10-05T00:00:00"/>
    <n v="44679"/>
    <d v="2022-02-20T00:00:00"/>
    <s v="Negotiation"/>
    <n v="170200"/>
    <n v="0.10199999999999999"/>
    <n v="0"/>
    <s v="Email Campaign"/>
    <s v="Tablets"/>
    <n v="72"/>
    <s v="Individual"/>
    <n v="40000"/>
    <n v="183734.78"/>
    <n v="4.593"/>
    <s v="Exceeded"/>
    <n v="2022"/>
    <n v="0"/>
  </r>
  <r>
    <s v="SR027"/>
    <x v="25"/>
    <s v="Pooja"/>
    <s v="Kumar"/>
    <s v="pooja.kumar82@techmart.com"/>
    <n v="9765234130"/>
    <s v="South"/>
    <s v="Enterprise Sales"/>
    <s v="3-5 yrs"/>
    <s v="PGDM"/>
    <d v="2018-10-05T00:00:00"/>
    <n v="44679"/>
    <d v="2022-05-19T00:00:00"/>
    <s v="Closed Won"/>
    <n v="114500"/>
    <n v="7.2999999999999995E-2"/>
    <n v="8358.5"/>
    <s v="Inbound Lead"/>
    <s v="Smart TVs"/>
    <n v="58"/>
    <s v="Mid-Market"/>
    <n v="40000"/>
    <n v="137768.04999999999"/>
    <n v="3.444"/>
    <s v="Exceeded"/>
    <n v="2022"/>
    <n v="1"/>
  </r>
  <r>
    <s v="SR027"/>
    <x v="25"/>
    <s v="Pooja"/>
    <s v="Kumar"/>
    <s v="pooja.kumar82@techmart.com"/>
    <n v="9765234130"/>
    <s v="South"/>
    <s v="Enterprise Sales"/>
    <s v="3-5 yrs"/>
    <s v="PGDM"/>
    <d v="2018-10-05T00:00:00"/>
    <n v="44679"/>
    <d v="2022-09-18T00:00:00"/>
    <s v="Closed Lost"/>
    <n v="191400"/>
    <n v="7.0999999999999994E-2"/>
    <n v="0"/>
    <s v="Email Campaign"/>
    <s v="Smart TVs"/>
    <n v="68"/>
    <s v="Individual"/>
    <n v="40000"/>
    <n v="215329.52"/>
    <n v="5.383"/>
    <s v="Exceeded"/>
    <n v="2022"/>
    <n v="0"/>
  </r>
  <r>
    <s v="SR027"/>
    <x v="25"/>
    <s v="Pooja"/>
    <s v="Kumar"/>
    <s v="pooja.kumar82@techmart.com"/>
    <n v="9765234130"/>
    <s v="South"/>
    <s v="Enterprise Sales"/>
    <s v="3-5 yrs"/>
    <s v="PGDM"/>
    <d v="2018-10-05T00:00:00"/>
    <n v="44679"/>
    <d v="2023-09-14T00:00:00"/>
    <s v="Closed Won"/>
    <n v="132400"/>
    <n v="3.3000000000000002E-2"/>
    <n v="4369.2"/>
    <s v="Referral"/>
    <s v="Laptops"/>
    <n v="76"/>
    <s v="Enterprise"/>
    <n v="40000"/>
    <n v="71997.259999999995"/>
    <n v="1.8"/>
    <s v="Exceeded"/>
    <n v="2023"/>
    <n v="1"/>
  </r>
  <r>
    <s v="SR027"/>
    <x v="25"/>
    <s v="Pooja"/>
    <s v="Kumar"/>
    <s v="pooja.kumar82@techmart.com"/>
    <n v="9765234130"/>
    <s v="South"/>
    <s v="Enterprise Sales"/>
    <s v="3-5 yrs"/>
    <s v="PGDM"/>
    <d v="2018-10-05T00:00:00"/>
    <n v="44679"/>
    <d v="2023-09-17T00:00:00"/>
    <s v="Closed Won"/>
    <n v="61500"/>
    <n v="4.5999999999999999E-2"/>
    <n v="2829"/>
    <s v="Email Campaign"/>
    <s v="Headphones"/>
    <n v="1"/>
    <s v="Individual"/>
    <n v="40000"/>
    <n v="61056.19"/>
    <n v="1.526"/>
    <s v="Exceeded"/>
    <n v="2023"/>
    <n v="1"/>
  </r>
  <r>
    <s v="SR027"/>
    <x v="25"/>
    <s v="Pooja"/>
    <s v="Kumar"/>
    <s v="pooja.kumar82@techmart.com"/>
    <n v="9765234130"/>
    <s v="South"/>
    <s v="Enterprise Sales"/>
    <s v="3-5 yrs"/>
    <s v="PGDM"/>
    <d v="2018-10-05T00:00:00"/>
    <n v="44679"/>
    <d v="2024-01-27T00:00:00"/>
    <s v="Negotiation"/>
    <n v="80900"/>
    <n v="3.4000000000000002E-2"/>
    <n v="0"/>
    <s v="Referral"/>
    <s v="Smartphones"/>
    <n v="48"/>
    <s v="Mid-Market"/>
    <n v="40000"/>
    <n v="112606.17"/>
    <n v="2.8149999999999999"/>
    <s v="Exceeded"/>
    <n v="2024"/>
    <n v="0"/>
  </r>
  <r>
    <s v="SR027"/>
    <x v="25"/>
    <s v="Pooja"/>
    <s v="Kumar"/>
    <s v="pooja.kumar82@techmart.com"/>
    <n v="9765234130"/>
    <s v="South"/>
    <s v="Enterprise Sales"/>
    <s v="3-5 yrs"/>
    <s v="PGDM"/>
    <d v="2018-10-05T00:00:00"/>
    <n v="44679"/>
    <d v="2024-03-20T00:00:00"/>
    <s v="Closed Won"/>
    <n v="146800"/>
    <n v="3.4000000000000002E-2"/>
    <n v="4991.2"/>
    <s v="Email Campaign"/>
    <s v="Headphones"/>
    <n v="36"/>
    <s v="Individual"/>
    <n v="40000"/>
    <n v="187809.79"/>
    <n v="4.6950000000000003"/>
    <s v="Exceeded"/>
    <n v="2024"/>
    <n v="1"/>
  </r>
  <r>
    <s v="SR027"/>
    <x v="25"/>
    <s v="Pooja"/>
    <s v="Kumar"/>
    <s v="pooja.kumar82@techmart.com"/>
    <n v="9765234130"/>
    <s v="South"/>
    <s v="Enterprise Sales"/>
    <s v="3-5 yrs"/>
    <s v="PGDM"/>
    <d v="2018-10-05T00:00:00"/>
    <n v="44679"/>
    <d v="2024-07-08T00:00:00"/>
    <s v="Closed Won"/>
    <n v="232100"/>
    <n v="9.6000000000000002E-2"/>
    <n v="22281.599999999999"/>
    <s v="Cold Call"/>
    <s v="Cameras"/>
    <n v="80"/>
    <s v="Enterprise"/>
    <n v="40000"/>
    <n v="196939.54"/>
    <n v="4.923"/>
    <s v="Exceeded"/>
    <n v="2024"/>
    <n v="1"/>
  </r>
  <r>
    <s v="SR027"/>
    <x v="25"/>
    <s v="Pooja"/>
    <s v="Kumar"/>
    <s v="pooja.kumar82@techmart.com"/>
    <n v="9765234130"/>
    <s v="South"/>
    <s v="Enterprise Sales"/>
    <s v="3-5 yrs"/>
    <s v="PGDM"/>
    <d v="2018-10-05T00:00:00"/>
    <n v="44679"/>
    <d v="2024-07-21T00:00:00"/>
    <s v="Closed Lost"/>
    <n v="13500"/>
    <n v="9.7000000000000003E-2"/>
    <n v="0"/>
    <s v="LinkedIn"/>
    <s v="Tablets"/>
    <n v="16"/>
    <s v="Enterprise"/>
    <n v="40000"/>
    <n v="8090.58"/>
    <n v="0.20200000000000001"/>
    <s v="Below Target"/>
    <n v="2024"/>
    <n v="0"/>
  </r>
  <r>
    <s v="SR027"/>
    <x v="25"/>
    <s v="Pooja"/>
    <s v="Kumar"/>
    <s v="pooja.kumar82@techmart.com"/>
    <n v="9765234130"/>
    <s v="South"/>
    <s v="Enterprise Sales"/>
    <s v="3-5 yrs"/>
    <s v="PGDM"/>
    <d v="2018-10-05T00:00:00"/>
    <n v="44679"/>
    <d v="2024-08-31T00:00:00"/>
    <s v="Proposal Sent"/>
    <n v="223500"/>
    <n v="8.5000000000000006E-2"/>
    <n v="0"/>
    <s v="Walk-in"/>
    <s v="Laptops"/>
    <n v="65"/>
    <s v="Enterprise"/>
    <n v="40000"/>
    <n v="264961.69"/>
    <n v="6.6239999999999997"/>
    <s v="Exceeded"/>
    <n v="2024"/>
    <n v="0"/>
  </r>
  <r>
    <s v="SR028"/>
    <x v="26"/>
    <s v="Manish"/>
    <s v="Kumar"/>
    <s v="manish.kumar15@techmart.com"/>
    <n v="9694290151"/>
    <s v="East"/>
    <s v="Enterprise Sales"/>
    <s v="5-10 yrs"/>
    <s v="M.Com"/>
    <d v="2018-04-30T00:00:00"/>
    <n v="37715"/>
    <d v="2022-04-03T00:00:00"/>
    <s v="Closed Lost"/>
    <n v="231000"/>
    <n v="0.114"/>
    <n v="0"/>
    <s v="Inbound Lead"/>
    <s v="Headphones"/>
    <n v="24"/>
    <s v="Enterprise"/>
    <n v="35000"/>
    <n v="120501.44"/>
    <n v="3.4430000000000001"/>
    <s v="Exceeded"/>
    <n v="2022"/>
    <n v="0"/>
  </r>
  <r>
    <s v="SR028"/>
    <x v="26"/>
    <s v="Manish"/>
    <s v="Kumar"/>
    <s v="manish.kumar15@techmart.com"/>
    <n v="9694290151"/>
    <s v="East"/>
    <s v="Enterprise Sales"/>
    <s v="5-10 yrs"/>
    <s v="M.Com"/>
    <d v="2018-04-30T00:00:00"/>
    <n v="37715"/>
    <d v="2022-06-24T00:00:00"/>
    <s v="Closed Won"/>
    <n v="167200"/>
    <n v="7.9000000000000001E-2"/>
    <n v="13208.8"/>
    <s v="Walk-in"/>
    <s v="Smartphones"/>
    <n v="73"/>
    <s v="SMB"/>
    <n v="35000"/>
    <n v="196544.05"/>
    <n v="5.6159999999999997"/>
    <s v="Exceeded"/>
    <n v="2022"/>
    <n v="1"/>
  </r>
  <r>
    <s v="SR028"/>
    <x v="26"/>
    <s v="Manish"/>
    <s v="Kumar"/>
    <s v="manish.kumar15@techmart.com"/>
    <n v="9694290151"/>
    <s v="East"/>
    <s v="Enterprise Sales"/>
    <s v="5-10 yrs"/>
    <s v="M.Com"/>
    <d v="2018-04-30T00:00:00"/>
    <n v="37715"/>
    <d v="2023-01-10T00:00:00"/>
    <s v="Closed Won"/>
    <n v="206400"/>
    <n v="3.7999999999999999E-2"/>
    <n v="7843.2"/>
    <s v="Inbound Lead"/>
    <s v="Headphones"/>
    <n v="87"/>
    <s v="SMB"/>
    <n v="35000"/>
    <n v="114143.82"/>
    <n v="3.2610000000000001"/>
    <s v="Exceeded"/>
    <n v="2023"/>
    <n v="1"/>
  </r>
  <r>
    <s v="SR028"/>
    <x v="26"/>
    <s v="Manish"/>
    <s v="Kumar"/>
    <s v="manish.kumar15@techmart.com"/>
    <n v="9694290151"/>
    <s v="East"/>
    <s v="Enterprise Sales"/>
    <s v="5-10 yrs"/>
    <s v="M.Com"/>
    <d v="2018-04-30T00:00:00"/>
    <n v="37715"/>
    <d v="2023-04-30T00:00:00"/>
    <s v="Closed Lost"/>
    <n v="138300"/>
    <n v="9.8000000000000004E-2"/>
    <n v="0"/>
    <s v="Trade Show"/>
    <s v="Smartphones"/>
    <n v="35"/>
    <s v="Individual"/>
    <n v="35000"/>
    <n v="108773.34"/>
    <n v="3.1080000000000001"/>
    <s v="Exceeded"/>
    <n v="2023"/>
    <n v="0"/>
  </r>
  <r>
    <s v="SR028"/>
    <x v="26"/>
    <s v="Manish"/>
    <s v="Kumar"/>
    <s v="manish.kumar15@techmart.com"/>
    <n v="9694290151"/>
    <s v="East"/>
    <s v="Enterprise Sales"/>
    <s v="5-10 yrs"/>
    <s v="M.Com"/>
    <d v="2018-04-30T00:00:00"/>
    <n v="37715"/>
    <d v="2023-05-18T00:00:00"/>
    <s v="Proposal Sent"/>
    <n v="224900"/>
    <n v="0.11"/>
    <n v="0"/>
    <s v="Trade Show"/>
    <s v="Smartphones"/>
    <n v="69"/>
    <s v="Mid-Market"/>
    <n v="35000"/>
    <n v="193777.91"/>
    <n v="5.5369999999999999"/>
    <s v="Exceeded"/>
    <n v="2023"/>
    <n v="0"/>
  </r>
  <r>
    <s v="SR028"/>
    <x v="26"/>
    <s v="Manish"/>
    <s v="Kumar"/>
    <s v="manish.kumar15@techmart.com"/>
    <n v="9694290151"/>
    <s v="East"/>
    <s v="Enterprise Sales"/>
    <s v="5-10 yrs"/>
    <s v="M.Com"/>
    <d v="2018-04-30T00:00:00"/>
    <n v="37715"/>
    <d v="2023-10-26T00:00:00"/>
    <s v="Closed Won"/>
    <n v="103400"/>
    <n v="0.115"/>
    <n v="11891"/>
    <s v="Cold Call"/>
    <s v="Smartphones"/>
    <n v="26"/>
    <s v="SMB"/>
    <n v="35000"/>
    <n v="121693.57"/>
    <n v="3.4769999999999999"/>
    <s v="Exceeded"/>
    <n v="2023"/>
    <n v="1"/>
  </r>
  <r>
    <s v="SR028"/>
    <x v="26"/>
    <s v="Manish"/>
    <s v="Kumar"/>
    <s v="manish.kumar15@techmart.com"/>
    <n v="9694290151"/>
    <s v="East"/>
    <s v="Enterprise Sales"/>
    <s v="5-10 yrs"/>
    <s v="M.Com"/>
    <d v="2018-04-30T00:00:00"/>
    <n v="37715"/>
    <d v="2023-10-29T00:00:00"/>
    <s v="Closed Won"/>
    <n v="12100"/>
    <n v="9.4E-2"/>
    <n v="1137.4000000000001"/>
    <s v="Inbound Lead"/>
    <s v="Headphones"/>
    <n v="13"/>
    <s v="Mid-Market"/>
    <n v="35000"/>
    <n v="7601.4"/>
    <n v="0.217"/>
    <s v="Below Target"/>
    <n v="2023"/>
    <n v="1"/>
  </r>
  <r>
    <s v="SR028"/>
    <x v="26"/>
    <s v="Manish"/>
    <s v="Kumar"/>
    <s v="manish.kumar15@techmart.com"/>
    <n v="9694290151"/>
    <s v="East"/>
    <s v="Enterprise Sales"/>
    <s v="5-10 yrs"/>
    <s v="M.Com"/>
    <d v="2018-04-30T00:00:00"/>
    <n v="37715"/>
    <d v="2024-04-13T00:00:00"/>
    <s v="Closed Won"/>
    <n v="131900"/>
    <n v="3.3000000000000002E-2"/>
    <n v="4352.7"/>
    <s v="Email Campaign"/>
    <s v="Laptops"/>
    <n v="3"/>
    <s v="Mid-Market"/>
    <n v="35000"/>
    <n v="131724.26999999999"/>
    <n v="3.7639999999999998"/>
    <s v="Exceeded"/>
    <n v="2024"/>
    <n v="1"/>
  </r>
  <r>
    <s v="SR028"/>
    <x v="26"/>
    <s v="Manish"/>
    <s v="Kumar"/>
    <s v="manish.kumar15@techmart.com"/>
    <n v="9694290151"/>
    <s v="East"/>
    <s v="Enterprise Sales"/>
    <s v="5-10 yrs"/>
    <s v="M.Com"/>
    <d v="2018-04-30T00:00:00"/>
    <n v="37715"/>
    <d v="2024-10-26T00:00:00"/>
    <s v="Closed Won"/>
    <n v="36500"/>
    <n v="8.8999999999999996E-2"/>
    <n v="3248.5"/>
    <s v="LinkedIn"/>
    <s v="Laptops"/>
    <n v="3"/>
    <s v="Mid-Market"/>
    <n v="35000"/>
    <n v="44094.97"/>
    <n v="1.26"/>
    <s v="Exceeded"/>
    <n v="2024"/>
    <n v="1"/>
  </r>
  <r>
    <s v="SR028"/>
    <x v="26"/>
    <s v="Manish"/>
    <s v="Kumar"/>
    <s v="manish.kumar15@techmart.com"/>
    <n v="9694290151"/>
    <s v="East"/>
    <s v="Enterprise Sales"/>
    <s v="5-10 yrs"/>
    <s v="M.Com"/>
    <d v="2018-04-30T00:00:00"/>
    <n v="37715"/>
    <d v="2024-12-17T00:00:00"/>
    <s v="Closed Won"/>
    <n v="105100"/>
    <n v="5.2999999999999999E-2"/>
    <n v="5570.3"/>
    <s v="Cold Call"/>
    <s v="Smartphones"/>
    <n v="70"/>
    <s v="SMB"/>
    <n v="35000"/>
    <n v="79541.42"/>
    <n v="2.2730000000000001"/>
    <s v="Exceeded"/>
    <n v="2024"/>
    <n v="1"/>
  </r>
  <r>
    <s v="SR029"/>
    <x v="27"/>
    <s v="Seema"/>
    <s v="Chopra"/>
    <s v="seema.chopra87@techmart.com"/>
    <n v="9858500942"/>
    <s v="West"/>
    <s v="Online Sales"/>
    <s v="0-1 yr"/>
    <s v="M.Com"/>
    <d v="2019-07-11T00:00:00"/>
    <n v="35183"/>
    <d v="2022-01-20T00:00:00"/>
    <s v="Proposal Sent"/>
    <n v="50500"/>
    <n v="6.7000000000000004E-2"/>
    <n v="0"/>
    <s v="Email Campaign"/>
    <s v="Monitors"/>
    <n v="63"/>
    <s v="Enterprise"/>
    <n v="41666.67"/>
    <n v="49708.07"/>
    <n v="1.1930000000000001"/>
    <s v="Exceeded"/>
    <n v="2022"/>
    <n v="0"/>
  </r>
  <r>
    <s v="SR029"/>
    <x v="27"/>
    <s v="Seema"/>
    <s v="Chopra"/>
    <s v="seema.chopra87@techmart.com"/>
    <n v="9858500942"/>
    <s v="West"/>
    <s v="Online Sales"/>
    <s v="0-1 yr"/>
    <s v="M.Com"/>
    <d v="2019-07-11T00:00:00"/>
    <n v="35183"/>
    <d v="2022-07-27T00:00:00"/>
    <s v="Closed Won"/>
    <n v="205000"/>
    <n v="0.08"/>
    <n v="16400"/>
    <s v="Walk-in"/>
    <s v="Laptops"/>
    <n v="39"/>
    <s v="Enterprise"/>
    <n v="41666.67"/>
    <n v="184783.73"/>
    <n v="4.4349999999999996"/>
    <s v="Exceeded"/>
    <n v="2022"/>
    <n v="1"/>
  </r>
  <r>
    <s v="SR029"/>
    <x v="27"/>
    <s v="Seema"/>
    <s v="Chopra"/>
    <s v="seema.chopra87@techmart.com"/>
    <n v="9858500942"/>
    <s v="West"/>
    <s v="Online Sales"/>
    <s v="0-1 yr"/>
    <s v="M.Com"/>
    <d v="2019-07-11T00:00:00"/>
    <n v="35183"/>
    <d v="2022-12-09T00:00:00"/>
    <s v="Closed Won"/>
    <n v="20800"/>
    <n v="0.114"/>
    <n v="2371.1999999999998"/>
    <s v="Trade Show"/>
    <s v="Tablets"/>
    <n v="77"/>
    <s v="Mid-Market"/>
    <n v="41666.67"/>
    <n v="26115.21"/>
    <n v="0.627"/>
    <s v="Below Target"/>
    <n v="2022"/>
    <n v="1"/>
  </r>
  <r>
    <s v="SR029"/>
    <x v="27"/>
    <s v="Seema"/>
    <s v="Chopra"/>
    <s v="seema.chopra87@techmart.com"/>
    <n v="9858500942"/>
    <s v="West"/>
    <s v="Online Sales"/>
    <s v="0-1 yr"/>
    <s v="M.Com"/>
    <d v="2019-07-11T00:00:00"/>
    <n v="35183"/>
    <d v="2023-07-27T00:00:00"/>
    <s v="Closed Lost"/>
    <n v="60300"/>
    <n v="8.5000000000000006E-2"/>
    <n v="0"/>
    <s v="Walk-in"/>
    <s v="Tablets"/>
    <n v="88"/>
    <s v="Mid-Market"/>
    <n v="41666.67"/>
    <n v="64620.67"/>
    <n v="1.5509999999999999"/>
    <s v="Exceeded"/>
    <n v="2023"/>
    <n v="0"/>
  </r>
  <r>
    <s v="SR029"/>
    <x v="27"/>
    <s v="Seema"/>
    <s v="Chopra"/>
    <s v="seema.chopra87@techmart.com"/>
    <n v="9858500942"/>
    <s v="West"/>
    <s v="Online Sales"/>
    <s v="0-1 yr"/>
    <s v="M.Com"/>
    <d v="2019-07-11T00:00:00"/>
    <n v="35183"/>
    <d v="2023-11-04T00:00:00"/>
    <s v="Closed Won"/>
    <n v="244600"/>
    <n v="9.1999999999999998E-2"/>
    <n v="22503.200000000001"/>
    <s v="Email Campaign"/>
    <s v="Smartphones"/>
    <n v="78"/>
    <s v="Enterprise"/>
    <n v="41666.67"/>
    <n v="123242.03"/>
    <n v="2.9580000000000002"/>
    <s v="Exceeded"/>
    <n v="2023"/>
    <n v="1"/>
  </r>
  <r>
    <s v="SR029"/>
    <x v="27"/>
    <s v="Seema"/>
    <s v="Chopra"/>
    <s v="seema.chopra87@techmart.com"/>
    <n v="9858500942"/>
    <s v="West"/>
    <s v="Online Sales"/>
    <s v="0-1 yr"/>
    <s v="M.Com"/>
    <d v="2019-07-11T00:00:00"/>
    <n v="35183"/>
    <d v="2024-02-18T00:00:00"/>
    <s v="Closed Won"/>
    <n v="225800"/>
    <n v="8.6999999999999994E-2"/>
    <n v="19644.599999999999"/>
    <s v="LinkedIn"/>
    <s v="Cameras"/>
    <n v="66"/>
    <s v="Mid-Market"/>
    <n v="41666.67"/>
    <n v="122143.41"/>
    <n v="2.931"/>
    <s v="Exceeded"/>
    <n v="2024"/>
    <n v="1"/>
  </r>
  <r>
    <s v="SR029"/>
    <x v="27"/>
    <s v="Seema"/>
    <s v="Chopra"/>
    <s v="seema.chopra87@techmart.com"/>
    <n v="9858500942"/>
    <s v="West"/>
    <s v="Online Sales"/>
    <s v="0-1 yr"/>
    <s v="M.Com"/>
    <d v="2019-07-11T00:00:00"/>
    <n v="35183"/>
    <d v="2024-05-17T00:00:00"/>
    <s v="Negotiation"/>
    <n v="123400"/>
    <n v="3.4000000000000002E-2"/>
    <n v="0"/>
    <s v="Walk-in"/>
    <s v="Headphones"/>
    <n v="80"/>
    <s v="Mid-Market"/>
    <n v="41666.67"/>
    <n v="134228.72"/>
    <n v="3.2210000000000001"/>
    <s v="Exceeded"/>
    <n v="2024"/>
    <n v="0"/>
  </r>
  <r>
    <s v="SR029"/>
    <x v="27"/>
    <s v="Seema"/>
    <s v="Chopra"/>
    <s v="seema.chopra87@techmart.com"/>
    <n v="9858500942"/>
    <s v="West"/>
    <s v="Online Sales"/>
    <s v="0-1 yr"/>
    <s v="M.Com"/>
    <d v="2019-07-11T00:00:00"/>
    <n v="35183"/>
    <d v="2024-07-16T00:00:00"/>
    <s v="Closed Won"/>
    <n v="69500"/>
    <n v="0.09"/>
    <n v="6255"/>
    <s v="Inbound Lead"/>
    <s v="Tablets"/>
    <n v="27"/>
    <s v="Enterprise"/>
    <n v="41666.67"/>
    <n v="94734.99"/>
    <n v="2.274"/>
    <s v="Exceeded"/>
    <n v="2024"/>
    <n v="1"/>
  </r>
  <r>
    <s v="SR029"/>
    <x v="27"/>
    <s v="Seema"/>
    <s v="Chopra"/>
    <s v="seema.chopra87@techmart.com"/>
    <n v="9858500942"/>
    <s v="West"/>
    <s v="Online Sales"/>
    <s v="0-1 yr"/>
    <s v="M.Com"/>
    <d v="2019-07-11T00:00:00"/>
    <n v="35183"/>
    <d v="2024-10-21T00:00:00"/>
    <s v="Closed Won"/>
    <n v="210200"/>
    <n v="0.11700000000000001"/>
    <n v="24593.4"/>
    <s v="Inbound Lead"/>
    <s v="Smart TVs"/>
    <n v="22"/>
    <s v="SMB"/>
    <n v="41666.67"/>
    <n v="206790.99"/>
    <n v="4.9630000000000001"/>
    <s v="Exceeded"/>
    <n v="2024"/>
    <n v="1"/>
  </r>
  <r>
    <s v="SR029"/>
    <x v="27"/>
    <s v="Seema"/>
    <s v="Chopra"/>
    <s v="seema.chopra87@techmart.com"/>
    <n v="9858500942"/>
    <s v="West"/>
    <s v="Online Sales"/>
    <s v="0-1 yr"/>
    <s v="M.Com"/>
    <d v="2019-07-11T00:00:00"/>
    <n v="35183"/>
    <d v="2024-12-29T00:00:00"/>
    <s v="Negotiation"/>
    <n v="23300"/>
    <n v="5.7000000000000002E-2"/>
    <n v="0"/>
    <s v="Trade Show"/>
    <s v="Monitors"/>
    <n v="16"/>
    <s v="SMB"/>
    <n v="41666.67"/>
    <n v="26854.799999999999"/>
    <n v="0.64500000000000002"/>
    <s v="Below Target"/>
    <n v="2024"/>
    <n v="0"/>
  </r>
  <r>
    <s v="SR030"/>
    <x v="28"/>
    <s v="Jyoti"/>
    <s v="Chopra"/>
    <s v="jyoti.chopra60@techmart.com"/>
    <n v="9898058492"/>
    <s v="West"/>
    <s v="Direct Sales"/>
    <s v="10+ yrs"/>
    <s v="MBA"/>
    <d v="2021-07-16T00:00:00"/>
    <n v="60119"/>
    <d v="2022-02-17T00:00:00"/>
    <s v="Proposal Sent"/>
    <n v="182700"/>
    <n v="7.8E-2"/>
    <n v="0"/>
    <s v="Inbound Lead"/>
    <s v="Monitors"/>
    <n v="72"/>
    <s v="Enterprise"/>
    <n v="41666.67"/>
    <n v="91671.45"/>
    <n v="2.2000000000000002"/>
    <s v="Exceeded"/>
    <n v="2022"/>
    <n v="0"/>
  </r>
  <r>
    <s v="SR030"/>
    <x v="28"/>
    <s v="Jyoti"/>
    <s v="Chopra"/>
    <s v="jyoti.chopra60@techmart.com"/>
    <n v="9898058492"/>
    <s v="West"/>
    <s v="Direct Sales"/>
    <s v="10+ yrs"/>
    <s v="MBA"/>
    <d v="2021-07-16T00:00:00"/>
    <n v="60119"/>
    <d v="2022-06-08T00:00:00"/>
    <s v="Negotiation"/>
    <n v="13100"/>
    <n v="0.11"/>
    <n v="0"/>
    <s v="Walk-in"/>
    <s v="Monitors"/>
    <n v="57"/>
    <s v="Individual"/>
    <n v="41666.67"/>
    <n v="10711.81"/>
    <n v="0.25700000000000001"/>
    <s v="Below Target"/>
    <n v="2022"/>
    <n v="0"/>
  </r>
  <r>
    <s v="SR030"/>
    <x v="28"/>
    <s v="Jyoti"/>
    <s v="Chopra"/>
    <s v="jyoti.chopra60@techmart.com"/>
    <n v="9898058492"/>
    <s v="West"/>
    <s v="Direct Sales"/>
    <s v="10+ yrs"/>
    <s v="MBA"/>
    <d v="2021-07-16T00:00:00"/>
    <n v="60119"/>
    <d v="2022-09-20T00:00:00"/>
    <s v="Proposal Sent"/>
    <n v="22100"/>
    <n v="4.1000000000000002E-2"/>
    <n v="0"/>
    <s v="LinkedIn"/>
    <s v="Cameras"/>
    <n v="30"/>
    <s v="Mid-Market"/>
    <n v="41666.67"/>
    <n v="14865.93"/>
    <n v="0.35699999999999998"/>
    <s v="Below Target"/>
    <n v="2022"/>
    <n v="0"/>
  </r>
  <r>
    <s v="SR030"/>
    <x v="28"/>
    <s v="Jyoti"/>
    <s v="Chopra"/>
    <s v="jyoti.chopra60@techmart.com"/>
    <n v="9898058492"/>
    <s v="West"/>
    <s v="Direct Sales"/>
    <s v="10+ yrs"/>
    <s v="MBA"/>
    <d v="2021-07-16T00:00:00"/>
    <n v="60119"/>
    <d v="2023-03-05T00:00:00"/>
    <s v="Closed Won"/>
    <n v="56400"/>
    <n v="0.11899999999999999"/>
    <n v="6711.6"/>
    <s v="Email Campaign"/>
    <s v="Headphones"/>
    <n v="15"/>
    <s v="Mid-Market"/>
    <n v="41666.67"/>
    <n v="57087.63"/>
    <n v="1.37"/>
    <s v="Exceeded"/>
    <n v="2023"/>
    <n v="1"/>
  </r>
  <r>
    <s v="SR030"/>
    <x v="28"/>
    <s v="Jyoti"/>
    <s v="Chopra"/>
    <s v="jyoti.chopra60@techmart.com"/>
    <n v="9898058492"/>
    <s v="West"/>
    <s v="Direct Sales"/>
    <s v="10+ yrs"/>
    <s v="MBA"/>
    <d v="2021-07-16T00:00:00"/>
    <n v="60119"/>
    <d v="2023-09-13T00:00:00"/>
    <s v="Proposal Sent"/>
    <n v="63000"/>
    <n v="5.0999999999999997E-2"/>
    <n v="0"/>
    <s v="Trade Show"/>
    <s v="Tablets"/>
    <n v="5"/>
    <s v="Mid-Market"/>
    <n v="41666.67"/>
    <n v="59443.91"/>
    <n v="1.427"/>
    <s v="Exceeded"/>
    <n v="2023"/>
    <n v="0"/>
  </r>
  <r>
    <s v="SR030"/>
    <x v="28"/>
    <s v="Jyoti"/>
    <s v="Chopra"/>
    <s v="jyoti.chopra60@techmart.com"/>
    <n v="9898058492"/>
    <s v="West"/>
    <s v="Direct Sales"/>
    <s v="10+ yrs"/>
    <s v="MBA"/>
    <d v="2021-07-16T00:00:00"/>
    <n v="60119"/>
    <d v="2024-01-29T00:00:00"/>
    <s v="Closed Won"/>
    <n v="121500"/>
    <n v="3.1E-2"/>
    <n v="3766.5"/>
    <s v="Email Campaign"/>
    <s v="Smartphones"/>
    <n v="36"/>
    <s v="Mid-Market"/>
    <n v="41666.67"/>
    <n v="81691.8"/>
    <n v="1.9610000000000001"/>
    <s v="Exceeded"/>
    <n v="2024"/>
    <n v="1"/>
  </r>
  <r>
    <s v="SR030"/>
    <x v="28"/>
    <s v="Jyoti"/>
    <s v="Chopra"/>
    <s v="jyoti.chopra60@techmart.com"/>
    <n v="9898058492"/>
    <s v="West"/>
    <s v="Direct Sales"/>
    <s v="10+ yrs"/>
    <s v="MBA"/>
    <d v="2021-07-16T00:00:00"/>
    <n v="60119"/>
    <d v="2024-02-10T00:00:00"/>
    <s v="Negotiation"/>
    <n v="98800"/>
    <n v="6.5000000000000002E-2"/>
    <n v="0"/>
    <s v="Walk-in"/>
    <s v="Cameras"/>
    <n v="90"/>
    <s v="Individual"/>
    <n v="41666.67"/>
    <n v="60494"/>
    <n v="1.452"/>
    <s v="Exceeded"/>
    <n v="2024"/>
    <n v="0"/>
  </r>
  <r>
    <s v="SR030"/>
    <x v="28"/>
    <s v="Jyoti"/>
    <s v="Chopra"/>
    <s v="jyoti.chopra60@techmart.com"/>
    <n v="9898058492"/>
    <s v="West"/>
    <s v="Direct Sales"/>
    <s v="10+ yrs"/>
    <s v="MBA"/>
    <d v="2021-07-16T00:00:00"/>
    <n v="60119"/>
    <d v="2024-04-13T00:00:00"/>
    <s v="Closed Won"/>
    <n v="36900"/>
    <n v="9.0999999999999998E-2"/>
    <n v="3357.9"/>
    <s v="Trade Show"/>
    <s v="Headphones"/>
    <n v="47"/>
    <s v="Individual"/>
    <n v="41666.67"/>
    <n v="47801.08"/>
    <n v="1.147"/>
    <s v="Exceeded"/>
    <n v="2024"/>
    <n v="1"/>
  </r>
  <r>
    <s v="SR030"/>
    <x v="28"/>
    <s v="Jyoti"/>
    <s v="Chopra"/>
    <s v="jyoti.chopra60@techmart.com"/>
    <n v="9898058492"/>
    <s v="West"/>
    <s v="Direct Sales"/>
    <s v="10+ yrs"/>
    <s v="MBA"/>
    <d v="2021-07-16T00:00:00"/>
    <n v="60119"/>
    <d v="2024-05-24T00:00:00"/>
    <s v="Proposal Sent"/>
    <n v="181400"/>
    <n v="0.115"/>
    <n v="0"/>
    <s v="Cold Call"/>
    <s v="Cameras"/>
    <n v="42"/>
    <s v="Enterprise"/>
    <n v="41666.67"/>
    <n v="228547.20000000001"/>
    <n v="5.4850000000000003"/>
    <s v="Exceeded"/>
    <n v="2024"/>
    <n v="0"/>
  </r>
  <r>
    <s v="SR030"/>
    <x v="28"/>
    <s v="Jyoti"/>
    <s v="Chopra"/>
    <s v="jyoti.chopra60@techmart.com"/>
    <n v="9898058492"/>
    <s v="West"/>
    <s v="Direct Sales"/>
    <s v="10+ yrs"/>
    <s v="MBA"/>
    <d v="2021-07-16T00:00:00"/>
    <n v="60119"/>
    <d v="2024-10-08T00:00:00"/>
    <s v="Closed Won"/>
    <n v="149600"/>
    <n v="4.7E-2"/>
    <n v="7031.2"/>
    <s v="Email Campaign"/>
    <s v="Smart TVs"/>
    <n v="87"/>
    <s v="SMB"/>
    <n v="41666.67"/>
    <n v="83600.149999999994"/>
    <n v="2.0059999999999998"/>
    <s v="Exceeded"/>
    <n v="2024"/>
    <n v="1"/>
  </r>
  <r>
    <s v="SR031"/>
    <x v="29"/>
    <s v="Sunita"/>
    <s v="Mehta"/>
    <s v="sunita.mehta74@techmart.com"/>
    <n v="9616735966"/>
    <s v="East"/>
    <s v="Enterprise Sales"/>
    <s v="0-1 yr"/>
    <s v="BBA"/>
    <d v="2021-02-22T00:00:00"/>
    <n v="47226"/>
    <d v="2022-01-22T00:00:00"/>
    <s v="Closed Lost"/>
    <n v="105600"/>
    <n v="7.1999999999999995E-2"/>
    <n v="0"/>
    <s v="Trade Show"/>
    <s v="Smart TVs"/>
    <n v="80"/>
    <s v="Individual"/>
    <n v="35000"/>
    <n v="85077.15"/>
    <n v="2.431"/>
    <s v="Exceeded"/>
    <n v="2022"/>
    <n v="0"/>
  </r>
  <r>
    <s v="SR031"/>
    <x v="29"/>
    <s v="Sunita"/>
    <s v="Mehta"/>
    <s v="sunita.mehta74@techmart.com"/>
    <n v="9616735966"/>
    <s v="East"/>
    <s v="Enterprise Sales"/>
    <s v="0-1 yr"/>
    <s v="BBA"/>
    <d v="2021-02-22T00:00:00"/>
    <n v="47226"/>
    <d v="2022-02-23T00:00:00"/>
    <s v="Closed Lost"/>
    <n v="140600"/>
    <n v="0.06"/>
    <n v="0"/>
    <s v="Referral"/>
    <s v="Smartphones"/>
    <n v="14"/>
    <s v="Individual"/>
    <n v="35000"/>
    <n v="145613.46"/>
    <n v="4.16"/>
    <s v="Exceeded"/>
    <n v="2022"/>
    <n v="0"/>
  </r>
  <r>
    <s v="SR031"/>
    <x v="29"/>
    <s v="Sunita"/>
    <s v="Mehta"/>
    <s v="sunita.mehta74@techmart.com"/>
    <n v="9616735966"/>
    <s v="East"/>
    <s v="Enterprise Sales"/>
    <s v="0-1 yr"/>
    <s v="BBA"/>
    <d v="2021-02-22T00:00:00"/>
    <n v="47226"/>
    <d v="2022-04-25T00:00:00"/>
    <s v="Negotiation"/>
    <n v="18700"/>
    <n v="5.7000000000000002E-2"/>
    <n v="0"/>
    <s v="Trade Show"/>
    <s v="Headphones"/>
    <n v="13"/>
    <s v="Enterprise"/>
    <n v="35000"/>
    <n v="13273.27"/>
    <n v="0.379"/>
    <s v="Below Target"/>
    <n v="2022"/>
    <n v="0"/>
  </r>
  <r>
    <s v="SR031"/>
    <x v="29"/>
    <s v="Sunita"/>
    <s v="Mehta"/>
    <s v="sunita.mehta74@techmart.com"/>
    <n v="9616735966"/>
    <s v="East"/>
    <s v="Enterprise Sales"/>
    <s v="0-1 yr"/>
    <s v="BBA"/>
    <d v="2021-02-22T00:00:00"/>
    <n v="47226"/>
    <d v="2022-05-14T00:00:00"/>
    <s v="Closed Won"/>
    <n v="21300"/>
    <n v="0.113"/>
    <n v="2406.9"/>
    <s v="Trade Show"/>
    <s v="Smartphones"/>
    <n v="39"/>
    <s v="Enterprise"/>
    <n v="35000"/>
    <n v="11911.2"/>
    <n v="0.34"/>
    <s v="Below Target"/>
    <n v="2022"/>
    <n v="1"/>
  </r>
  <r>
    <s v="SR031"/>
    <x v="29"/>
    <s v="Sunita"/>
    <s v="Mehta"/>
    <s v="sunita.mehta74@techmart.com"/>
    <n v="9616735966"/>
    <s v="East"/>
    <s v="Enterprise Sales"/>
    <s v="0-1 yr"/>
    <s v="BBA"/>
    <d v="2021-02-22T00:00:00"/>
    <n v="47226"/>
    <d v="2023-04-05T00:00:00"/>
    <s v="Closed Won"/>
    <n v="77900"/>
    <n v="0.113"/>
    <n v="8802.7000000000007"/>
    <s v="LinkedIn"/>
    <s v="Headphones"/>
    <n v="41"/>
    <s v="Individual"/>
    <n v="35000"/>
    <n v="66423.23"/>
    <n v="1.8979999999999999"/>
    <s v="Exceeded"/>
    <n v="2023"/>
    <n v="1"/>
  </r>
  <r>
    <s v="SR031"/>
    <x v="29"/>
    <s v="Sunita"/>
    <s v="Mehta"/>
    <s v="sunita.mehta74@techmart.com"/>
    <n v="9616735966"/>
    <s v="East"/>
    <s v="Enterprise Sales"/>
    <s v="0-1 yr"/>
    <s v="BBA"/>
    <d v="2021-02-22T00:00:00"/>
    <n v="47226"/>
    <d v="2023-05-04T00:00:00"/>
    <s v="Closed Won"/>
    <n v="223200"/>
    <n v="3.5000000000000003E-2"/>
    <n v="7812"/>
    <s v="Inbound Lead"/>
    <s v="Smart TVs"/>
    <n v="31"/>
    <s v="Individual"/>
    <n v="35000"/>
    <n v="267432.55"/>
    <n v="7.641"/>
    <s v="Exceeded"/>
    <n v="2023"/>
    <n v="1"/>
  </r>
  <r>
    <s v="SR031"/>
    <x v="29"/>
    <s v="Sunita"/>
    <s v="Mehta"/>
    <s v="sunita.mehta74@techmart.com"/>
    <n v="9616735966"/>
    <s v="East"/>
    <s v="Enterprise Sales"/>
    <s v="0-1 yr"/>
    <s v="BBA"/>
    <d v="2021-02-22T00:00:00"/>
    <n v="47226"/>
    <d v="2023-05-27T00:00:00"/>
    <s v="Closed Won"/>
    <n v="48100"/>
    <n v="0.06"/>
    <n v="2886"/>
    <s v="Cold Call"/>
    <s v="Monitors"/>
    <n v="81"/>
    <s v="Individual"/>
    <n v="35000"/>
    <n v="25256.61"/>
    <n v="0.72199999999999998"/>
    <s v="Below Target"/>
    <n v="2023"/>
    <n v="1"/>
  </r>
  <r>
    <s v="SR031"/>
    <x v="29"/>
    <s v="Sunita"/>
    <s v="Mehta"/>
    <s v="sunita.mehta74@techmart.com"/>
    <n v="9616735966"/>
    <s v="East"/>
    <s v="Enterprise Sales"/>
    <s v="0-1 yr"/>
    <s v="BBA"/>
    <d v="2021-02-22T00:00:00"/>
    <n v="47226"/>
    <d v="2023-11-17T00:00:00"/>
    <s v="Closed Won"/>
    <n v="235700"/>
    <n v="8.1000000000000003E-2"/>
    <n v="19091.7"/>
    <s v="Cold Call"/>
    <s v="Monitors"/>
    <n v="29"/>
    <s v="Enterprise"/>
    <n v="35000"/>
    <n v="321022.96000000002"/>
    <n v="9.1720000000000006"/>
    <s v="Exceeded"/>
    <n v="2023"/>
    <n v="1"/>
  </r>
  <r>
    <s v="SR031"/>
    <x v="29"/>
    <s v="Sunita"/>
    <s v="Mehta"/>
    <s v="sunita.mehta74@techmart.com"/>
    <n v="9616735966"/>
    <s v="East"/>
    <s v="Enterprise Sales"/>
    <s v="0-1 yr"/>
    <s v="BBA"/>
    <d v="2021-02-22T00:00:00"/>
    <n v="47226"/>
    <d v="2024-06-03T00:00:00"/>
    <s v="Closed Won"/>
    <n v="160300"/>
    <n v="0.10199999999999999"/>
    <n v="16350.6"/>
    <s v="Inbound Lead"/>
    <s v="Cameras"/>
    <n v="33"/>
    <s v="SMB"/>
    <n v="35000"/>
    <n v="95708.17"/>
    <n v="2.7349999999999999"/>
    <s v="Exceeded"/>
    <n v="2024"/>
    <n v="1"/>
  </r>
  <r>
    <s v="SR031"/>
    <x v="29"/>
    <s v="Sunita"/>
    <s v="Mehta"/>
    <s v="sunita.mehta74@techmart.com"/>
    <n v="9616735966"/>
    <s v="East"/>
    <s v="Enterprise Sales"/>
    <s v="0-1 yr"/>
    <s v="BBA"/>
    <d v="2021-02-22T00:00:00"/>
    <n v="47226"/>
    <d v="2024-06-17T00:00:00"/>
    <s v="Closed Won"/>
    <n v="168900"/>
    <n v="7.0000000000000007E-2"/>
    <n v="11823"/>
    <s v="Cold Call"/>
    <s v="Smartphones"/>
    <n v="8"/>
    <s v="Individual"/>
    <n v="35000"/>
    <n v="141817.82999999999"/>
    <n v="4.0519999999999996"/>
    <s v="Exceeded"/>
    <n v="2024"/>
    <n v="1"/>
  </r>
  <r>
    <s v="SR032"/>
    <x v="30"/>
    <s v="Karan"/>
    <s v="Gupta"/>
    <s v="karan.gupta74@techmart.com"/>
    <n v="9765507327"/>
    <s v="Central"/>
    <s v="Online Sales"/>
    <s v="1-3 yrs"/>
    <s v="B.Sc"/>
    <d v="2019-04-24T00:00:00"/>
    <n v="71220"/>
    <d v="2022-01-08T00:00:00"/>
    <s v="Proposal Sent"/>
    <n v="63500"/>
    <n v="9.1999999999999998E-2"/>
    <n v="0"/>
    <s v="Trade Show"/>
    <s v="Smart TVs"/>
    <n v="28"/>
    <s v="SMB"/>
    <n v="33333.33"/>
    <n v="59224.65"/>
    <n v="1.7769999999999999"/>
    <s v="Exceeded"/>
    <n v="2022"/>
    <n v="0"/>
  </r>
  <r>
    <s v="SR032"/>
    <x v="30"/>
    <s v="Karan"/>
    <s v="Gupta"/>
    <s v="karan.gupta74@techmart.com"/>
    <n v="9765507327"/>
    <s v="Central"/>
    <s v="Online Sales"/>
    <s v="1-3 yrs"/>
    <s v="B.Sc"/>
    <d v="2019-04-24T00:00:00"/>
    <n v="71220"/>
    <d v="2022-05-19T00:00:00"/>
    <s v="Negotiation"/>
    <n v="211900"/>
    <n v="0.106"/>
    <n v="0"/>
    <s v="LinkedIn"/>
    <s v="Laptops"/>
    <n v="82"/>
    <s v="Mid-Market"/>
    <n v="33333.33"/>
    <n v="173726.66"/>
    <n v="5.2119999999999997"/>
    <s v="Exceeded"/>
    <n v="2022"/>
    <n v="0"/>
  </r>
  <r>
    <s v="SR032"/>
    <x v="30"/>
    <s v="Karan"/>
    <s v="Gupta"/>
    <s v="karan.gupta74@techmart.com"/>
    <n v="9765507327"/>
    <s v="Central"/>
    <s v="Online Sales"/>
    <s v="1-3 yrs"/>
    <s v="B.Sc"/>
    <d v="2019-04-24T00:00:00"/>
    <n v="71220"/>
    <d v="2023-09-25T00:00:00"/>
    <s v="Negotiation"/>
    <n v="94900"/>
    <n v="5.6000000000000001E-2"/>
    <n v="0"/>
    <s v="Cold Call"/>
    <s v="Smart TVs"/>
    <n v="76"/>
    <s v="SMB"/>
    <n v="33333.33"/>
    <n v="52345.5"/>
    <n v="1.57"/>
    <s v="Exceeded"/>
    <n v="2023"/>
    <n v="0"/>
  </r>
  <r>
    <s v="SR032"/>
    <x v="30"/>
    <s v="Karan"/>
    <s v="Gupta"/>
    <s v="karan.gupta74@techmart.com"/>
    <n v="9765507327"/>
    <s v="Central"/>
    <s v="Online Sales"/>
    <s v="1-3 yrs"/>
    <s v="B.Sc"/>
    <d v="2019-04-24T00:00:00"/>
    <n v="71220"/>
    <d v="2023-11-10T00:00:00"/>
    <s v="Proposal Sent"/>
    <n v="103500"/>
    <n v="4.8000000000000001E-2"/>
    <n v="0"/>
    <s v="Referral"/>
    <s v="Cameras"/>
    <n v="1"/>
    <s v="Mid-Market"/>
    <n v="33333.33"/>
    <n v="52671.45"/>
    <n v="1.58"/>
    <s v="Exceeded"/>
    <n v="2023"/>
    <n v="0"/>
  </r>
  <r>
    <s v="SR032"/>
    <x v="30"/>
    <s v="Karan"/>
    <s v="Gupta"/>
    <s v="karan.gupta74@techmart.com"/>
    <n v="9765507327"/>
    <s v="Central"/>
    <s v="Online Sales"/>
    <s v="1-3 yrs"/>
    <s v="B.Sc"/>
    <d v="2019-04-24T00:00:00"/>
    <n v="71220"/>
    <d v="2023-11-19T00:00:00"/>
    <s v="Negotiation"/>
    <n v="83500"/>
    <n v="6.8000000000000005E-2"/>
    <n v="0"/>
    <s v="Referral"/>
    <s v="Smartphones"/>
    <n v="59"/>
    <s v="Individual"/>
    <n v="33333.33"/>
    <n v="79019.19"/>
    <n v="2.371"/>
    <s v="Exceeded"/>
    <n v="2023"/>
    <n v="0"/>
  </r>
  <r>
    <s v="SR032"/>
    <x v="30"/>
    <s v="Karan"/>
    <s v="Gupta"/>
    <s v="karan.gupta74@techmart.com"/>
    <n v="9765507327"/>
    <s v="Central"/>
    <s v="Online Sales"/>
    <s v="1-3 yrs"/>
    <s v="B.Sc"/>
    <d v="2019-04-24T00:00:00"/>
    <n v="71220"/>
    <d v="2023-12-01T00:00:00"/>
    <s v="Closed Won"/>
    <n v="180100"/>
    <n v="7.2999999999999995E-2"/>
    <n v="13147.3"/>
    <s v="Email Campaign"/>
    <s v="Headphones"/>
    <n v="77"/>
    <s v="Mid-Market"/>
    <n v="33333.33"/>
    <n v="228152.09"/>
    <n v="6.8449999999999998"/>
    <s v="Exceeded"/>
    <n v="2023"/>
    <n v="1"/>
  </r>
  <r>
    <s v="SR032"/>
    <x v="30"/>
    <s v="Karan"/>
    <s v="Gupta"/>
    <s v="karan.gupta74@techmart.com"/>
    <n v="9765507327"/>
    <s v="Central"/>
    <s v="Online Sales"/>
    <s v="1-3 yrs"/>
    <s v="B.Sc"/>
    <d v="2019-04-24T00:00:00"/>
    <n v="71220"/>
    <d v="2024-01-03T00:00:00"/>
    <s v="Closed Won"/>
    <n v="150400"/>
    <n v="0.04"/>
    <n v="6016"/>
    <s v="Inbound Lead"/>
    <s v="Headphones"/>
    <n v="25"/>
    <s v="Mid-Market"/>
    <n v="33333.33"/>
    <n v="81142.960000000006"/>
    <n v="2.4340000000000002"/>
    <s v="Exceeded"/>
    <n v="2024"/>
    <n v="1"/>
  </r>
  <r>
    <s v="SR032"/>
    <x v="30"/>
    <s v="Karan"/>
    <s v="Gupta"/>
    <s v="karan.gupta74@techmart.com"/>
    <n v="9765507327"/>
    <s v="Central"/>
    <s v="Online Sales"/>
    <s v="1-3 yrs"/>
    <s v="B.Sc"/>
    <d v="2019-04-24T00:00:00"/>
    <n v="71220"/>
    <d v="2024-06-11T00:00:00"/>
    <s v="Negotiation"/>
    <n v="175800"/>
    <n v="9.8000000000000004E-2"/>
    <n v="0"/>
    <s v="Inbound Lead"/>
    <s v="Smart TVs"/>
    <n v="70"/>
    <s v="SMB"/>
    <n v="33333.33"/>
    <n v="111223.06"/>
    <n v="3.3370000000000002"/>
    <s v="Exceeded"/>
    <n v="2024"/>
    <n v="0"/>
  </r>
  <r>
    <s v="SR032"/>
    <x v="30"/>
    <s v="Karan"/>
    <s v="Gupta"/>
    <s v="karan.gupta74@techmart.com"/>
    <n v="9765507327"/>
    <s v="Central"/>
    <s v="Online Sales"/>
    <s v="1-3 yrs"/>
    <s v="B.Sc"/>
    <d v="2019-04-24T00:00:00"/>
    <n v="71220"/>
    <d v="2024-09-12T00:00:00"/>
    <s v="Proposal Sent"/>
    <n v="167800"/>
    <n v="7.0000000000000007E-2"/>
    <n v="0"/>
    <s v="Referral"/>
    <s v="Laptops"/>
    <n v="6"/>
    <s v="Individual"/>
    <n v="33333.33"/>
    <n v="103182.35"/>
    <n v="3.0950000000000002"/>
    <s v="Exceeded"/>
    <n v="2024"/>
    <n v="0"/>
  </r>
  <r>
    <s v="SR032"/>
    <x v="30"/>
    <s v="Karan"/>
    <s v="Gupta"/>
    <s v="karan.gupta74@techmart.com"/>
    <n v="9765507327"/>
    <s v="Central"/>
    <s v="Online Sales"/>
    <s v="1-3 yrs"/>
    <s v="B.Sc"/>
    <d v="2019-04-24T00:00:00"/>
    <n v="71220"/>
    <d v="2024-11-04T00:00:00"/>
    <s v="Negotiation"/>
    <n v="230100"/>
    <n v="3.5000000000000003E-2"/>
    <n v="0"/>
    <s v="Inbound Lead"/>
    <s v="Laptops"/>
    <n v="26"/>
    <s v="SMB"/>
    <n v="33333.33"/>
    <n v="277670.28000000003"/>
    <n v="8.33"/>
    <s v="Exceeded"/>
    <n v="2024"/>
    <n v="0"/>
  </r>
  <r>
    <s v="SR033"/>
    <x v="31"/>
    <s v="Manish"/>
    <s v="Pillai"/>
    <s v="manish.pillai35@techmart.com"/>
    <n v="9842615361"/>
    <s v="West"/>
    <s v="Direct Sales"/>
    <s v="5-10 yrs"/>
    <s v="BBA"/>
    <d v="2022-03-03T00:00:00"/>
    <n v="79359"/>
    <d v="2022-05-02T00:00:00"/>
    <s v="Closed Won"/>
    <n v="56900"/>
    <n v="5.6000000000000001E-2"/>
    <n v="3186.4"/>
    <s v="Referral"/>
    <s v="Tablets"/>
    <n v="23"/>
    <s v="Mid-Market"/>
    <n v="41666.67"/>
    <n v="71852.23"/>
    <n v="1.724"/>
    <s v="Exceeded"/>
    <n v="2022"/>
    <n v="1"/>
  </r>
  <r>
    <s v="SR033"/>
    <x v="31"/>
    <s v="Manish"/>
    <s v="Pillai"/>
    <s v="manish.pillai35@techmart.com"/>
    <n v="9842615361"/>
    <s v="West"/>
    <s v="Direct Sales"/>
    <s v="5-10 yrs"/>
    <s v="BBA"/>
    <d v="2022-03-03T00:00:00"/>
    <n v="79359"/>
    <d v="2022-07-14T00:00:00"/>
    <s v="Closed Won"/>
    <n v="42900"/>
    <n v="0.109"/>
    <n v="4676.1000000000004"/>
    <s v="Referral"/>
    <s v="Cameras"/>
    <n v="25"/>
    <s v="SMB"/>
    <n v="41666.67"/>
    <n v="42011.94"/>
    <n v="1.008"/>
    <s v="Met"/>
    <n v="2022"/>
    <n v="1"/>
  </r>
  <r>
    <s v="SR033"/>
    <x v="31"/>
    <s v="Manish"/>
    <s v="Pillai"/>
    <s v="manish.pillai35@techmart.com"/>
    <n v="9842615361"/>
    <s v="West"/>
    <s v="Direct Sales"/>
    <s v="5-10 yrs"/>
    <s v="BBA"/>
    <d v="2022-03-03T00:00:00"/>
    <n v="79359"/>
    <d v="2022-12-09T00:00:00"/>
    <s v="Closed Lost"/>
    <n v="176700"/>
    <n v="0.10100000000000001"/>
    <n v="0"/>
    <s v="Cold Call"/>
    <s v="Tablets"/>
    <n v="27"/>
    <s v="Mid-Market"/>
    <n v="41666.67"/>
    <n v="160900.07"/>
    <n v="3.8620000000000001"/>
    <s v="Exceeded"/>
    <n v="2022"/>
    <n v="0"/>
  </r>
  <r>
    <s v="SR033"/>
    <x v="31"/>
    <s v="Manish"/>
    <s v="Pillai"/>
    <s v="manish.pillai35@techmart.com"/>
    <n v="9842615361"/>
    <s v="West"/>
    <s v="Direct Sales"/>
    <s v="5-10 yrs"/>
    <s v="BBA"/>
    <d v="2022-03-03T00:00:00"/>
    <n v="79359"/>
    <d v="2023-07-19T00:00:00"/>
    <s v="Closed Won"/>
    <n v="56400"/>
    <n v="3.2000000000000001E-2"/>
    <n v="1804.8"/>
    <s v="Walk-in"/>
    <s v="Tablets"/>
    <n v="13"/>
    <s v="Individual"/>
    <n v="41666.67"/>
    <n v="70404.19"/>
    <n v="1.69"/>
    <s v="Exceeded"/>
    <n v="2023"/>
    <n v="1"/>
  </r>
  <r>
    <s v="SR033"/>
    <x v="31"/>
    <s v="Manish"/>
    <s v="Pillai"/>
    <s v="manish.pillai35@techmart.com"/>
    <n v="9842615361"/>
    <s v="West"/>
    <s v="Direct Sales"/>
    <s v="5-10 yrs"/>
    <s v="BBA"/>
    <d v="2022-03-03T00:00:00"/>
    <n v="79359"/>
    <d v="2023-10-26T00:00:00"/>
    <s v="Closed Won"/>
    <n v="90900"/>
    <n v="5.1999999999999998E-2"/>
    <n v="4726.8"/>
    <s v="Email Campaign"/>
    <s v="Cameras"/>
    <n v="36"/>
    <s v="SMB"/>
    <n v="41666.67"/>
    <n v="115111.43"/>
    <n v="2.7629999999999999"/>
    <s v="Exceeded"/>
    <n v="2023"/>
    <n v="1"/>
  </r>
  <r>
    <s v="SR033"/>
    <x v="31"/>
    <s v="Manish"/>
    <s v="Pillai"/>
    <s v="manish.pillai35@techmart.com"/>
    <n v="9842615361"/>
    <s v="West"/>
    <s v="Direct Sales"/>
    <s v="5-10 yrs"/>
    <s v="BBA"/>
    <d v="2022-03-03T00:00:00"/>
    <n v="79359"/>
    <d v="2024-03-29T00:00:00"/>
    <s v="Closed Won"/>
    <n v="178300"/>
    <n v="4.4999999999999998E-2"/>
    <n v="8023.5"/>
    <s v="LinkedIn"/>
    <s v="Cameras"/>
    <n v="80"/>
    <s v="Enterprise"/>
    <n v="41666.67"/>
    <n v="230104.9"/>
    <n v="5.5229999999999997"/>
    <s v="Exceeded"/>
    <n v="2024"/>
    <n v="1"/>
  </r>
  <r>
    <s v="SR033"/>
    <x v="31"/>
    <s v="Manish"/>
    <s v="Pillai"/>
    <s v="manish.pillai35@techmart.com"/>
    <n v="9842615361"/>
    <s v="West"/>
    <s v="Direct Sales"/>
    <s v="5-10 yrs"/>
    <s v="BBA"/>
    <d v="2022-03-03T00:00:00"/>
    <n v="79359"/>
    <d v="2024-04-06T00:00:00"/>
    <s v="Negotiation"/>
    <n v="187100"/>
    <n v="7.2999999999999995E-2"/>
    <n v="0"/>
    <s v="Trade Show"/>
    <s v="Headphones"/>
    <n v="35"/>
    <s v="Enterprise"/>
    <n v="41666.67"/>
    <n v="201000.6"/>
    <n v="4.8239999999999998"/>
    <s v="Exceeded"/>
    <n v="2024"/>
    <n v="0"/>
  </r>
  <r>
    <s v="SR033"/>
    <x v="31"/>
    <s v="Manish"/>
    <s v="Pillai"/>
    <s v="manish.pillai35@techmart.com"/>
    <n v="9842615361"/>
    <s v="West"/>
    <s v="Direct Sales"/>
    <s v="5-10 yrs"/>
    <s v="BBA"/>
    <d v="2022-03-03T00:00:00"/>
    <n v="79359"/>
    <d v="2024-04-07T00:00:00"/>
    <s v="Closed Won"/>
    <n v="162200"/>
    <n v="6.9000000000000006E-2"/>
    <n v="11191.8"/>
    <s v="Email Campaign"/>
    <s v="Laptops"/>
    <n v="6"/>
    <s v="SMB"/>
    <n v="41666.67"/>
    <n v="205830.48"/>
    <n v="4.9400000000000004"/>
    <s v="Exceeded"/>
    <n v="2024"/>
    <n v="1"/>
  </r>
  <r>
    <s v="SR033"/>
    <x v="31"/>
    <s v="Manish"/>
    <s v="Pillai"/>
    <s v="manish.pillai35@techmart.com"/>
    <n v="9842615361"/>
    <s v="West"/>
    <s v="Direct Sales"/>
    <s v="5-10 yrs"/>
    <s v="BBA"/>
    <d v="2022-03-03T00:00:00"/>
    <n v="79359"/>
    <d v="2024-05-05T00:00:00"/>
    <s v="Proposal Sent"/>
    <n v="201900"/>
    <n v="7.5999999999999998E-2"/>
    <n v="0"/>
    <s v="Trade Show"/>
    <s v="Smart TVs"/>
    <n v="60"/>
    <s v="SMB"/>
    <n v="41666.67"/>
    <n v="159428.48000000001"/>
    <n v="3.8260000000000001"/>
    <s v="Exceeded"/>
    <n v="2024"/>
    <n v="0"/>
  </r>
  <r>
    <s v="SR033"/>
    <x v="31"/>
    <s v="Manish"/>
    <s v="Pillai"/>
    <s v="manish.pillai35@techmart.com"/>
    <n v="9842615361"/>
    <s v="West"/>
    <s v="Direct Sales"/>
    <s v="5-10 yrs"/>
    <s v="BBA"/>
    <d v="2022-03-03T00:00:00"/>
    <n v="79359"/>
    <d v="2024-11-28T00:00:00"/>
    <s v="Closed Won"/>
    <n v="195700"/>
    <n v="3.6999999999999998E-2"/>
    <n v="7240.9"/>
    <s v="Trade Show"/>
    <s v="Cameras"/>
    <n v="85"/>
    <s v="Individual"/>
    <n v="41666.67"/>
    <n v="127340.07"/>
    <n v="3.056"/>
    <s v="Exceeded"/>
    <n v="2024"/>
    <n v="1"/>
  </r>
  <r>
    <s v="SR034"/>
    <x v="32"/>
    <s v="Preeti"/>
    <s v="Mehta"/>
    <s v="preeti.mehta68@techmart.com"/>
    <n v="9708500757"/>
    <s v="East"/>
    <s v="Channel Sales"/>
    <s v="0-1 yr"/>
    <s v="MBA"/>
    <d v="2018-06-03T00:00:00"/>
    <n v="31068"/>
    <d v="2022-02-20T00:00:00"/>
    <s v="Closed Won"/>
    <n v="120800"/>
    <n v="5.0999999999999997E-2"/>
    <n v="6160.8"/>
    <s v="Email Campaign"/>
    <s v="Smartphones"/>
    <n v="46"/>
    <s v="Individual"/>
    <n v="35000"/>
    <n v="92419.98"/>
    <n v="2.641"/>
    <s v="Exceeded"/>
    <n v="2022"/>
    <n v="1"/>
  </r>
  <r>
    <s v="SR034"/>
    <x v="32"/>
    <s v="Preeti"/>
    <s v="Mehta"/>
    <s v="preeti.mehta68@techmart.com"/>
    <n v="9708500757"/>
    <s v="East"/>
    <s v="Channel Sales"/>
    <s v="0-1 yr"/>
    <s v="MBA"/>
    <d v="2018-06-03T00:00:00"/>
    <n v="31068"/>
    <d v="2022-03-16T00:00:00"/>
    <s v="Closed Won"/>
    <n v="62500"/>
    <n v="0.111"/>
    <n v="6937.5"/>
    <s v="Trade Show"/>
    <s v="Cameras"/>
    <n v="31"/>
    <s v="Enterprise"/>
    <n v="35000"/>
    <n v="43545.9"/>
    <n v="1.244"/>
    <s v="Exceeded"/>
    <n v="2022"/>
    <n v="1"/>
  </r>
  <r>
    <s v="SR034"/>
    <x v="32"/>
    <s v="Preeti"/>
    <s v="Mehta"/>
    <s v="preeti.mehta68@techmart.com"/>
    <n v="9708500757"/>
    <s v="East"/>
    <s v="Channel Sales"/>
    <s v="0-1 yr"/>
    <s v="MBA"/>
    <d v="2018-06-03T00:00:00"/>
    <n v="31068"/>
    <d v="2022-06-22T00:00:00"/>
    <s v="Closed Won"/>
    <n v="121500"/>
    <n v="7.6999999999999999E-2"/>
    <n v="9355.5"/>
    <s v="Referral"/>
    <s v="Smart TVs"/>
    <n v="6"/>
    <s v="Enterprise"/>
    <n v="35000"/>
    <n v="116765.86"/>
    <n v="3.3359999999999999"/>
    <s v="Exceeded"/>
    <n v="2022"/>
    <n v="1"/>
  </r>
  <r>
    <s v="SR034"/>
    <x v="32"/>
    <s v="Preeti"/>
    <s v="Mehta"/>
    <s v="preeti.mehta68@techmart.com"/>
    <n v="9708500757"/>
    <s v="East"/>
    <s v="Channel Sales"/>
    <s v="0-1 yr"/>
    <s v="MBA"/>
    <d v="2018-06-03T00:00:00"/>
    <n v="31068"/>
    <d v="2023-07-17T00:00:00"/>
    <s v="Closed Won"/>
    <n v="190000"/>
    <n v="8.4000000000000005E-2"/>
    <n v="15960"/>
    <s v="Referral"/>
    <s v="Cameras"/>
    <n v="70"/>
    <s v="Mid-Market"/>
    <n v="35000"/>
    <n v="96459.29"/>
    <n v="2.7559999999999998"/>
    <s v="Exceeded"/>
    <n v="2023"/>
    <n v="1"/>
  </r>
  <r>
    <s v="SR034"/>
    <x v="32"/>
    <s v="Preeti"/>
    <s v="Mehta"/>
    <s v="preeti.mehta68@techmart.com"/>
    <n v="9708500757"/>
    <s v="East"/>
    <s v="Channel Sales"/>
    <s v="0-1 yr"/>
    <s v="MBA"/>
    <d v="2018-06-03T00:00:00"/>
    <n v="31068"/>
    <d v="2023-09-06T00:00:00"/>
    <s v="Closed Won"/>
    <n v="220600"/>
    <n v="6.0999999999999999E-2"/>
    <n v="13456.6"/>
    <s v="Trade Show"/>
    <s v="Headphones"/>
    <n v="75"/>
    <s v="Individual"/>
    <n v="35000"/>
    <n v="204011.67"/>
    <n v="5.8289999999999997"/>
    <s v="Exceeded"/>
    <n v="2023"/>
    <n v="1"/>
  </r>
  <r>
    <s v="SR034"/>
    <x v="32"/>
    <s v="Preeti"/>
    <s v="Mehta"/>
    <s v="preeti.mehta68@techmart.com"/>
    <n v="9708500757"/>
    <s v="East"/>
    <s v="Channel Sales"/>
    <s v="0-1 yr"/>
    <s v="MBA"/>
    <d v="2018-06-03T00:00:00"/>
    <n v="31068"/>
    <d v="2023-11-20T00:00:00"/>
    <s v="Closed Lost"/>
    <n v="123300"/>
    <n v="7.1999999999999995E-2"/>
    <n v="0"/>
    <s v="Trade Show"/>
    <s v="Tablets"/>
    <n v="64"/>
    <s v="Mid-Market"/>
    <n v="35000"/>
    <n v="91946.97"/>
    <n v="2.6269999999999998"/>
    <s v="Exceeded"/>
    <n v="2023"/>
    <n v="0"/>
  </r>
  <r>
    <s v="SR034"/>
    <x v="32"/>
    <s v="Preeti"/>
    <s v="Mehta"/>
    <s v="preeti.mehta68@techmart.com"/>
    <n v="9708500757"/>
    <s v="East"/>
    <s v="Channel Sales"/>
    <s v="0-1 yr"/>
    <s v="MBA"/>
    <d v="2018-06-03T00:00:00"/>
    <n v="31068"/>
    <d v="2024-01-08T00:00:00"/>
    <s v="Closed Won"/>
    <n v="148100"/>
    <n v="4.8000000000000001E-2"/>
    <n v="7108.8"/>
    <s v="Referral"/>
    <s v="Monitors"/>
    <n v="43"/>
    <s v="Mid-Market"/>
    <n v="35000"/>
    <n v="114398.96"/>
    <n v="3.2690000000000001"/>
    <s v="Exceeded"/>
    <n v="2024"/>
    <n v="1"/>
  </r>
  <r>
    <s v="SR034"/>
    <x v="32"/>
    <s v="Preeti"/>
    <s v="Mehta"/>
    <s v="preeti.mehta68@techmart.com"/>
    <n v="9708500757"/>
    <s v="East"/>
    <s v="Channel Sales"/>
    <s v="0-1 yr"/>
    <s v="MBA"/>
    <d v="2018-06-03T00:00:00"/>
    <n v="31068"/>
    <d v="2024-05-20T00:00:00"/>
    <s v="Closed Lost"/>
    <n v="154800"/>
    <n v="4.3999999999999997E-2"/>
    <n v="0"/>
    <s v="Walk-in"/>
    <s v="Tablets"/>
    <n v="33"/>
    <s v="Individual"/>
    <n v="35000"/>
    <n v="96114.9"/>
    <n v="2.746"/>
    <s v="Exceeded"/>
    <n v="2024"/>
    <n v="0"/>
  </r>
  <r>
    <s v="SR034"/>
    <x v="32"/>
    <s v="Preeti"/>
    <s v="Mehta"/>
    <s v="preeti.mehta68@techmart.com"/>
    <n v="9708500757"/>
    <s v="East"/>
    <s v="Channel Sales"/>
    <s v="0-1 yr"/>
    <s v="MBA"/>
    <d v="2018-06-03T00:00:00"/>
    <n v="31068"/>
    <d v="2024-10-24T00:00:00"/>
    <s v="Negotiation"/>
    <n v="148300"/>
    <n v="8.7999999999999995E-2"/>
    <n v="0"/>
    <s v="Walk-in"/>
    <s v="Tablets"/>
    <n v="30"/>
    <s v="Individual"/>
    <n v="35000"/>
    <n v="89977.919999999998"/>
    <n v="2.5710000000000002"/>
    <s v="Exceeded"/>
    <n v="2024"/>
    <n v="0"/>
  </r>
  <r>
    <s v="SR034"/>
    <x v="32"/>
    <s v="Preeti"/>
    <s v="Mehta"/>
    <s v="preeti.mehta68@techmart.com"/>
    <n v="9708500757"/>
    <s v="East"/>
    <s v="Channel Sales"/>
    <s v="0-1 yr"/>
    <s v="MBA"/>
    <d v="2018-06-03T00:00:00"/>
    <n v="31068"/>
    <d v="2024-11-15T00:00:00"/>
    <s v="Closed Won"/>
    <n v="231900"/>
    <n v="6.6000000000000003E-2"/>
    <n v="15305.4"/>
    <s v="Referral"/>
    <s v="Monitors"/>
    <n v="27"/>
    <s v="Enterprise"/>
    <n v="35000"/>
    <n v="164730.37"/>
    <n v="4.7069999999999999"/>
    <s v="Exceeded"/>
    <n v="2024"/>
    <n v="1"/>
  </r>
  <r>
    <s v="SR035"/>
    <x v="33"/>
    <s v="Arjun"/>
    <s v="Rao"/>
    <s v="arjun.rao62@techmart.com"/>
    <n v="9993226302"/>
    <s v="Central"/>
    <s v="Channel Sales"/>
    <s v="1-3 yrs"/>
    <s v="MBA"/>
    <d v="2023-06-04T00:00:00"/>
    <n v="59316"/>
    <d v="2023-06-27T00:00:00"/>
    <s v="Negotiation"/>
    <n v="210900"/>
    <n v="3.3000000000000002E-2"/>
    <n v="0"/>
    <s v="Referral"/>
    <s v="Laptops"/>
    <n v="43"/>
    <s v="Enterprise"/>
    <n v="33333.33"/>
    <n v="291496.46999999997"/>
    <n v="8.7449999999999992"/>
    <s v="Exceeded"/>
    <n v="2023"/>
    <n v="0"/>
  </r>
  <r>
    <s v="SR035"/>
    <x v="33"/>
    <s v="Arjun"/>
    <s v="Rao"/>
    <s v="arjun.rao62@techmart.com"/>
    <n v="9993226302"/>
    <s v="Central"/>
    <s v="Channel Sales"/>
    <s v="1-3 yrs"/>
    <s v="MBA"/>
    <d v="2023-06-04T00:00:00"/>
    <n v="59316"/>
    <d v="2023-10-13T00:00:00"/>
    <s v="Closed Won"/>
    <n v="198400"/>
    <n v="3.1E-2"/>
    <n v="6150.4"/>
    <s v="Walk-in"/>
    <s v="Monitors"/>
    <n v="46"/>
    <s v="Mid-Market"/>
    <n v="33333.33"/>
    <n v="139463.60999999999"/>
    <n v="4.1840000000000002"/>
    <s v="Exceeded"/>
    <n v="2023"/>
    <n v="1"/>
  </r>
  <r>
    <s v="SR035"/>
    <x v="33"/>
    <s v="Arjun"/>
    <s v="Rao"/>
    <s v="arjun.rao62@techmart.com"/>
    <n v="9993226302"/>
    <s v="Central"/>
    <s v="Channel Sales"/>
    <s v="1-3 yrs"/>
    <s v="MBA"/>
    <d v="2023-06-04T00:00:00"/>
    <n v="59316"/>
    <d v="2023-12-30T00:00:00"/>
    <s v="Closed Lost"/>
    <n v="21700"/>
    <n v="7.8E-2"/>
    <n v="0"/>
    <s v="Referral"/>
    <s v="Headphones"/>
    <n v="14"/>
    <s v="Mid-Market"/>
    <n v="33333.33"/>
    <n v="21972.63"/>
    <n v="0.65900000000000003"/>
    <s v="Below Target"/>
    <n v="2023"/>
    <n v="0"/>
  </r>
  <r>
    <s v="SR035"/>
    <x v="33"/>
    <s v="Arjun"/>
    <s v="Rao"/>
    <s v="arjun.rao62@techmart.com"/>
    <n v="9993226302"/>
    <s v="Central"/>
    <s v="Channel Sales"/>
    <s v="1-3 yrs"/>
    <s v="MBA"/>
    <d v="2023-06-04T00:00:00"/>
    <n v="59316"/>
    <d v="2024-07-28T00:00:00"/>
    <s v="Closed Lost"/>
    <n v="46200"/>
    <n v="0.11899999999999999"/>
    <n v="0"/>
    <s v="Referral"/>
    <s v="Smart TVs"/>
    <n v="54"/>
    <s v="Enterprise"/>
    <n v="33333.33"/>
    <n v="53999.88"/>
    <n v="1.62"/>
    <s v="Exceeded"/>
    <n v="2024"/>
    <n v="0"/>
  </r>
  <r>
    <s v="SR035"/>
    <x v="33"/>
    <s v="Arjun"/>
    <s v="Rao"/>
    <s v="arjun.rao62@techmart.com"/>
    <n v="9993226302"/>
    <s v="Central"/>
    <s v="Channel Sales"/>
    <s v="1-3 yrs"/>
    <s v="MBA"/>
    <d v="2023-06-04T00:00:00"/>
    <n v="59316"/>
    <d v="2024-08-12T00:00:00"/>
    <s v="Proposal Sent"/>
    <n v="202300"/>
    <n v="6.6000000000000003E-2"/>
    <n v="0"/>
    <s v="Walk-in"/>
    <s v="Monitors"/>
    <n v="69"/>
    <s v="Mid-Market"/>
    <n v="33333.33"/>
    <n v="160519.29999999999"/>
    <n v="4.8159999999999998"/>
    <s v="Exceeded"/>
    <n v="2024"/>
    <n v="0"/>
  </r>
  <r>
    <s v="SR035"/>
    <x v="33"/>
    <s v="Arjun"/>
    <s v="Rao"/>
    <s v="arjun.rao62@techmart.com"/>
    <n v="9993226302"/>
    <s v="Central"/>
    <s v="Channel Sales"/>
    <s v="1-3 yrs"/>
    <s v="MBA"/>
    <d v="2023-06-04T00:00:00"/>
    <n v="59316"/>
    <d v="2024-08-16T00:00:00"/>
    <s v="Proposal Sent"/>
    <n v="114500"/>
    <n v="4.9000000000000002E-2"/>
    <n v="0"/>
    <s v="Trade Show"/>
    <s v="Cameras"/>
    <n v="72"/>
    <s v="Individual"/>
    <n v="33333.33"/>
    <n v="95862.85"/>
    <n v="2.8759999999999999"/>
    <s v="Exceeded"/>
    <n v="2024"/>
    <n v="0"/>
  </r>
  <r>
    <s v="SR035"/>
    <x v="33"/>
    <s v="Arjun"/>
    <s v="Rao"/>
    <s v="arjun.rao62@techmart.com"/>
    <n v="9993226302"/>
    <s v="Central"/>
    <s v="Channel Sales"/>
    <s v="1-3 yrs"/>
    <s v="MBA"/>
    <d v="2023-06-04T00:00:00"/>
    <n v="59316"/>
    <d v="2024-09-08T00:00:00"/>
    <s v="Proposal Sent"/>
    <n v="239600"/>
    <n v="5.7000000000000002E-2"/>
    <n v="0"/>
    <s v="Referral"/>
    <s v="Smartphones"/>
    <n v="87"/>
    <s v="SMB"/>
    <n v="33333.33"/>
    <n v="126713.24"/>
    <n v="3.8010000000000002"/>
    <s v="Exceeded"/>
    <n v="2024"/>
    <n v="0"/>
  </r>
  <r>
    <s v="SR035"/>
    <x v="33"/>
    <s v="Arjun"/>
    <s v="Rao"/>
    <s v="arjun.rao62@techmart.com"/>
    <n v="9993226302"/>
    <s v="Central"/>
    <s v="Channel Sales"/>
    <s v="1-3 yrs"/>
    <s v="MBA"/>
    <d v="2023-06-04T00:00:00"/>
    <n v="59316"/>
    <d v="2024-10-16T00:00:00"/>
    <s v="Closed Won"/>
    <n v="53900"/>
    <n v="4.8000000000000001E-2"/>
    <n v="2587.1999999999998"/>
    <s v="Trade Show"/>
    <s v="Tablets"/>
    <n v="27"/>
    <s v="SMB"/>
    <n v="33333.33"/>
    <n v="41071.53"/>
    <n v="1.232"/>
    <s v="Exceeded"/>
    <n v="2024"/>
    <n v="1"/>
  </r>
  <r>
    <s v="SR035"/>
    <x v="33"/>
    <s v="Arjun"/>
    <s v="Rao"/>
    <s v="arjun.rao62@techmart.com"/>
    <n v="9993226302"/>
    <s v="Central"/>
    <s v="Channel Sales"/>
    <s v="1-3 yrs"/>
    <s v="MBA"/>
    <d v="2023-06-04T00:00:00"/>
    <n v="59316"/>
    <d v="2024-11-21T00:00:00"/>
    <s v="Closed Won"/>
    <n v="124200"/>
    <n v="3.5000000000000003E-2"/>
    <n v="4347"/>
    <s v="LinkedIn"/>
    <s v="Smartphones"/>
    <n v="22"/>
    <s v="Mid-Market"/>
    <n v="33333.33"/>
    <n v="158198.09"/>
    <n v="4.7460000000000004"/>
    <s v="Exceeded"/>
    <n v="2024"/>
    <n v="1"/>
  </r>
  <r>
    <s v="SR035"/>
    <x v="33"/>
    <s v="Arjun"/>
    <s v="Rao"/>
    <s v="arjun.rao62@techmart.com"/>
    <n v="9993226302"/>
    <s v="Central"/>
    <s v="Channel Sales"/>
    <s v="1-3 yrs"/>
    <s v="MBA"/>
    <d v="2023-06-04T00:00:00"/>
    <n v="59316"/>
    <d v="2024-12-20T00:00:00"/>
    <s v="Closed Lost"/>
    <n v="194400"/>
    <n v="0.10299999999999999"/>
    <n v="0"/>
    <s v="Inbound Lead"/>
    <s v="Cameras"/>
    <n v="11"/>
    <s v="Mid-Market"/>
    <n v="33333.33"/>
    <n v="245181.46"/>
    <n v="7.3550000000000004"/>
    <s v="Exceeded"/>
    <n v="2024"/>
    <n v="0"/>
  </r>
  <r>
    <s v="SR036"/>
    <x v="34"/>
    <s v="Preeti"/>
    <s v="Pandey"/>
    <s v="preeti.pandey19@techmart.com"/>
    <n v="9846621537"/>
    <s v="North"/>
    <s v="Retail Sales"/>
    <s v="1-3 yrs"/>
    <s v="BBA"/>
    <d v="2018-05-30T00:00:00"/>
    <n v="50400"/>
    <d v="2022-03-31T00:00:00"/>
    <s v="Closed Won"/>
    <n v="237100"/>
    <n v="0.108"/>
    <n v="25606.799999999999"/>
    <s v="Inbound Lead"/>
    <s v="Monitors"/>
    <n v="69"/>
    <s v="Mid-Market"/>
    <n v="37500"/>
    <n v="260807.92"/>
    <n v="6.9550000000000001"/>
    <s v="Exceeded"/>
    <n v="2022"/>
    <n v="1"/>
  </r>
  <r>
    <s v="SR036"/>
    <x v="34"/>
    <s v="Preeti"/>
    <s v="Pandey"/>
    <s v="preeti.pandey19@techmart.com"/>
    <n v="9846621537"/>
    <s v="North"/>
    <s v="Retail Sales"/>
    <s v="1-3 yrs"/>
    <s v="BBA"/>
    <d v="2018-05-30T00:00:00"/>
    <n v="50400"/>
    <d v="2022-05-17T00:00:00"/>
    <s v="Proposal Sent"/>
    <n v="195500"/>
    <n v="9.5000000000000001E-2"/>
    <n v="0"/>
    <s v="Referral"/>
    <s v="Headphones"/>
    <n v="53"/>
    <s v="Individual"/>
    <n v="37500"/>
    <n v="272875.92"/>
    <n v="7.2770000000000001"/>
    <s v="Exceeded"/>
    <n v="2022"/>
    <n v="0"/>
  </r>
  <r>
    <s v="SR036"/>
    <x v="34"/>
    <s v="Preeti"/>
    <s v="Pandey"/>
    <s v="preeti.pandey19@techmart.com"/>
    <n v="9846621537"/>
    <s v="North"/>
    <s v="Retail Sales"/>
    <s v="1-3 yrs"/>
    <s v="BBA"/>
    <d v="2018-05-30T00:00:00"/>
    <n v="50400"/>
    <d v="2022-06-06T00:00:00"/>
    <s v="Closed Won"/>
    <n v="137200"/>
    <n v="9.9000000000000005E-2"/>
    <n v="13582.8"/>
    <s v="Inbound Lead"/>
    <s v="Headphones"/>
    <n v="58"/>
    <s v="SMB"/>
    <n v="37500"/>
    <n v="99811.62"/>
    <n v="2.6619999999999999"/>
    <s v="Exceeded"/>
    <n v="2022"/>
    <n v="1"/>
  </r>
  <r>
    <s v="SR036"/>
    <x v="34"/>
    <s v="Preeti"/>
    <s v="Pandey"/>
    <s v="preeti.pandey19@techmart.com"/>
    <n v="9846621537"/>
    <s v="North"/>
    <s v="Retail Sales"/>
    <s v="1-3 yrs"/>
    <s v="BBA"/>
    <d v="2018-05-30T00:00:00"/>
    <n v="50400"/>
    <d v="2022-10-20T00:00:00"/>
    <s v="Closed Lost"/>
    <n v="21800"/>
    <n v="0.104"/>
    <n v="0"/>
    <s v="LinkedIn"/>
    <s v="Cameras"/>
    <n v="32"/>
    <s v="Mid-Market"/>
    <n v="37500"/>
    <n v="28760.14"/>
    <n v="0.76700000000000002"/>
    <s v="Below Target"/>
    <n v="2022"/>
    <n v="0"/>
  </r>
  <r>
    <s v="SR036"/>
    <x v="34"/>
    <s v="Preeti"/>
    <s v="Pandey"/>
    <s v="preeti.pandey19@techmart.com"/>
    <n v="9846621537"/>
    <s v="North"/>
    <s v="Retail Sales"/>
    <s v="1-3 yrs"/>
    <s v="BBA"/>
    <d v="2018-05-30T00:00:00"/>
    <n v="50400"/>
    <d v="2023-09-02T00:00:00"/>
    <s v="Closed Lost"/>
    <n v="165700"/>
    <n v="0.104"/>
    <n v="0"/>
    <s v="Walk-in"/>
    <s v="Laptops"/>
    <n v="54"/>
    <s v="SMB"/>
    <n v="37500"/>
    <n v="109630.48"/>
    <n v="2.923"/>
    <s v="Exceeded"/>
    <n v="2023"/>
    <n v="0"/>
  </r>
  <r>
    <s v="SR036"/>
    <x v="34"/>
    <s v="Preeti"/>
    <s v="Pandey"/>
    <s v="preeti.pandey19@techmart.com"/>
    <n v="9846621537"/>
    <s v="North"/>
    <s v="Retail Sales"/>
    <s v="1-3 yrs"/>
    <s v="BBA"/>
    <d v="2018-05-30T00:00:00"/>
    <n v="50400"/>
    <d v="2023-09-28T00:00:00"/>
    <s v="Negotiation"/>
    <n v="58200"/>
    <n v="7.4999999999999997E-2"/>
    <n v="0"/>
    <s v="Email Campaign"/>
    <s v="Headphones"/>
    <n v="36"/>
    <s v="SMB"/>
    <n v="37500"/>
    <n v="29489.88"/>
    <n v="0.78600000000000003"/>
    <s v="Below Target"/>
    <n v="2023"/>
    <n v="0"/>
  </r>
  <r>
    <s v="SR036"/>
    <x v="34"/>
    <s v="Preeti"/>
    <s v="Pandey"/>
    <s v="preeti.pandey19@techmart.com"/>
    <n v="9846621537"/>
    <s v="North"/>
    <s v="Retail Sales"/>
    <s v="1-3 yrs"/>
    <s v="BBA"/>
    <d v="2018-05-30T00:00:00"/>
    <n v="50400"/>
    <d v="2024-03-07T00:00:00"/>
    <s v="Closed Won"/>
    <n v="39100"/>
    <n v="0.108"/>
    <n v="4222.8"/>
    <s v="Inbound Lead"/>
    <s v="Headphones"/>
    <n v="86"/>
    <s v="Enterprise"/>
    <n v="37500"/>
    <n v="25137.51"/>
    <n v="0.67"/>
    <s v="Below Target"/>
    <n v="2024"/>
    <n v="1"/>
  </r>
  <r>
    <s v="SR036"/>
    <x v="34"/>
    <s v="Preeti"/>
    <s v="Pandey"/>
    <s v="preeti.pandey19@techmart.com"/>
    <n v="9846621537"/>
    <s v="North"/>
    <s v="Retail Sales"/>
    <s v="1-3 yrs"/>
    <s v="BBA"/>
    <d v="2018-05-30T00:00:00"/>
    <n v="50400"/>
    <d v="2024-06-03T00:00:00"/>
    <s v="Closed Lost"/>
    <n v="105800"/>
    <n v="0.112"/>
    <n v="0"/>
    <s v="Referral"/>
    <s v="Monitors"/>
    <n v="73"/>
    <s v="Individual"/>
    <n v="37500"/>
    <n v="90373.96"/>
    <n v="2.41"/>
    <s v="Exceeded"/>
    <n v="2024"/>
    <n v="0"/>
  </r>
  <r>
    <s v="SR036"/>
    <x v="34"/>
    <s v="Preeti"/>
    <s v="Pandey"/>
    <s v="preeti.pandey19@techmart.com"/>
    <n v="9846621537"/>
    <s v="North"/>
    <s v="Retail Sales"/>
    <s v="1-3 yrs"/>
    <s v="BBA"/>
    <d v="2018-05-30T00:00:00"/>
    <n v="50400"/>
    <d v="2024-10-02T00:00:00"/>
    <s v="Closed Lost"/>
    <n v="126300"/>
    <n v="8.2000000000000003E-2"/>
    <n v="0"/>
    <s v="Email Campaign"/>
    <s v="Smartphones"/>
    <n v="37"/>
    <s v="Enterprise"/>
    <n v="37500"/>
    <n v="102568.69"/>
    <n v="2.7349999999999999"/>
    <s v="Exceeded"/>
    <n v="2024"/>
    <n v="0"/>
  </r>
  <r>
    <s v="SR036"/>
    <x v="34"/>
    <s v="Preeti"/>
    <s v="Pandey"/>
    <s v="preeti.pandey19@techmart.com"/>
    <n v="9846621537"/>
    <s v="North"/>
    <s v="Retail Sales"/>
    <s v="1-3 yrs"/>
    <s v="BBA"/>
    <d v="2018-05-30T00:00:00"/>
    <n v="50400"/>
    <d v="2024-11-02T00:00:00"/>
    <s v="Closed Won"/>
    <n v="126200"/>
    <n v="3.2000000000000001E-2"/>
    <n v="4038.4"/>
    <s v="Email Campaign"/>
    <s v="Monitors"/>
    <n v="87"/>
    <s v="Enterprise"/>
    <n v="37500"/>
    <n v="106391.65"/>
    <n v="2.8370000000000002"/>
    <s v="Exceeded"/>
    <n v="2024"/>
    <n v="1"/>
  </r>
  <r>
    <s v="SR037"/>
    <x v="35"/>
    <s v="Kavita"/>
    <s v="Kumar"/>
    <s v="kavita.kumar40@techmart.com"/>
    <n v="9624771103"/>
    <s v="North"/>
    <s v="Retail Sales"/>
    <s v="0-1 yr"/>
    <s v="MBA"/>
    <d v="2023-03-28T00:00:00"/>
    <n v="31756"/>
    <d v="2023-07-04T00:00:00"/>
    <s v="Proposal Sent"/>
    <n v="49000"/>
    <n v="9.5000000000000001E-2"/>
    <n v="0"/>
    <s v="Cold Call"/>
    <s v="Headphones"/>
    <n v="66"/>
    <s v="Individual"/>
    <n v="37500"/>
    <n v="60469.03"/>
    <n v="1.613"/>
    <s v="Exceeded"/>
    <n v="2023"/>
    <n v="0"/>
  </r>
  <r>
    <s v="SR037"/>
    <x v="35"/>
    <s v="Kavita"/>
    <s v="Kumar"/>
    <s v="kavita.kumar40@techmart.com"/>
    <n v="9624771103"/>
    <s v="North"/>
    <s v="Retail Sales"/>
    <s v="0-1 yr"/>
    <s v="MBA"/>
    <d v="2023-03-28T00:00:00"/>
    <n v="31756"/>
    <d v="2023-09-26T00:00:00"/>
    <s v="Closed Won"/>
    <n v="192300"/>
    <n v="3.3000000000000002E-2"/>
    <n v="6345.9"/>
    <s v="Email Campaign"/>
    <s v="Smart TVs"/>
    <n v="28"/>
    <s v="Enterprise"/>
    <n v="37500"/>
    <n v="216735.2"/>
    <n v="5.78"/>
    <s v="Exceeded"/>
    <n v="2023"/>
    <n v="1"/>
  </r>
  <r>
    <s v="SR037"/>
    <x v="35"/>
    <s v="Kavita"/>
    <s v="Kumar"/>
    <s v="kavita.kumar40@techmart.com"/>
    <n v="9624771103"/>
    <s v="North"/>
    <s v="Retail Sales"/>
    <s v="0-1 yr"/>
    <s v="MBA"/>
    <d v="2023-03-28T00:00:00"/>
    <n v="31756"/>
    <d v="2023-10-18T00:00:00"/>
    <s v="Closed Won"/>
    <n v="9200"/>
    <n v="6.8000000000000005E-2"/>
    <n v="625.6"/>
    <s v="Cold Call"/>
    <s v="Tablets"/>
    <n v="25"/>
    <s v="Individual"/>
    <n v="37500"/>
    <n v="6426.3"/>
    <n v="0.17100000000000001"/>
    <s v="Below Target"/>
    <n v="2023"/>
    <n v="1"/>
  </r>
  <r>
    <s v="SR037"/>
    <x v="35"/>
    <s v="Kavita"/>
    <s v="Kumar"/>
    <s v="kavita.kumar40@techmart.com"/>
    <n v="9624771103"/>
    <s v="North"/>
    <s v="Retail Sales"/>
    <s v="0-1 yr"/>
    <s v="MBA"/>
    <d v="2023-03-28T00:00:00"/>
    <n v="31756"/>
    <d v="2024-01-07T00:00:00"/>
    <s v="Closed Won"/>
    <n v="49700"/>
    <n v="0.105"/>
    <n v="5218.5"/>
    <s v="LinkedIn"/>
    <s v="Smartphones"/>
    <n v="23"/>
    <s v="Mid-Market"/>
    <n v="37500"/>
    <n v="30403.29"/>
    <n v="0.81100000000000005"/>
    <s v="Below Target"/>
    <n v="2024"/>
    <n v="1"/>
  </r>
  <r>
    <s v="SR037"/>
    <x v="35"/>
    <s v="Kavita"/>
    <s v="Kumar"/>
    <s v="kavita.kumar40@techmart.com"/>
    <n v="9624771103"/>
    <s v="North"/>
    <s v="Retail Sales"/>
    <s v="0-1 yr"/>
    <s v="MBA"/>
    <d v="2023-03-28T00:00:00"/>
    <n v="31756"/>
    <d v="2024-02-21T00:00:00"/>
    <s v="Negotiation"/>
    <n v="169300"/>
    <n v="4.7E-2"/>
    <n v="0"/>
    <s v="Referral"/>
    <s v="Smart TVs"/>
    <n v="51"/>
    <s v="Enterprise"/>
    <n v="37500"/>
    <n v="103056.9"/>
    <n v="2.7480000000000002"/>
    <s v="Exceeded"/>
    <n v="2024"/>
    <n v="0"/>
  </r>
  <r>
    <s v="SR037"/>
    <x v="35"/>
    <s v="Kavita"/>
    <s v="Kumar"/>
    <s v="kavita.kumar40@techmart.com"/>
    <n v="9624771103"/>
    <s v="North"/>
    <s v="Retail Sales"/>
    <s v="0-1 yr"/>
    <s v="MBA"/>
    <d v="2023-03-28T00:00:00"/>
    <n v="31756"/>
    <d v="2024-05-01T00:00:00"/>
    <s v="Closed Won"/>
    <n v="25300"/>
    <n v="0.09"/>
    <n v="2277"/>
    <s v="Cold Call"/>
    <s v="Monitors"/>
    <n v="35"/>
    <s v="SMB"/>
    <n v="37500"/>
    <n v="22683.78"/>
    <n v="0.60499999999999998"/>
    <s v="Below Target"/>
    <n v="2024"/>
    <n v="1"/>
  </r>
  <r>
    <s v="SR037"/>
    <x v="35"/>
    <s v="Kavita"/>
    <s v="Kumar"/>
    <s v="kavita.kumar40@techmart.com"/>
    <n v="9624771103"/>
    <s v="North"/>
    <s v="Retail Sales"/>
    <s v="0-1 yr"/>
    <s v="MBA"/>
    <d v="2023-03-28T00:00:00"/>
    <n v="31756"/>
    <d v="2024-05-09T00:00:00"/>
    <s v="Closed Won"/>
    <n v="109000"/>
    <n v="3.3000000000000002E-2"/>
    <n v="3597"/>
    <s v="Inbound Lead"/>
    <s v="Smartphones"/>
    <n v="18"/>
    <s v="Mid-Market"/>
    <n v="37500"/>
    <n v="120256"/>
    <n v="3.2069999999999999"/>
    <s v="Exceeded"/>
    <n v="2024"/>
    <n v="1"/>
  </r>
  <r>
    <s v="SR037"/>
    <x v="35"/>
    <s v="Kavita"/>
    <s v="Kumar"/>
    <s v="kavita.kumar40@techmart.com"/>
    <n v="9624771103"/>
    <s v="North"/>
    <s v="Retail Sales"/>
    <s v="0-1 yr"/>
    <s v="MBA"/>
    <d v="2023-03-28T00:00:00"/>
    <n v="31756"/>
    <d v="2024-07-15T00:00:00"/>
    <s v="Closed Lost"/>
    <n v="125900"/>
    <n v="3.5999999999999997E-2"/>
    <n v="0"/>
    <s v="LinkedIn"/>
    <s v="Monitors"/>
    <n v="32"/>
    <s v="Enterprise"/>
    <n v="37500"/>
    <n v="78842.38"/>
    <n v="2.1019999999999999"/>
    <s v="Exceeded"/>
    <n v="2024"/>
    <n v="0"/>
  </r>
  <r>
    <s v="SR037"/>
    <x v="35"/>
    <s v="Kavita"/>
    <s v="Kumar"/>
    <s v="kavita.kumar40@techmart.com"/>
    <n v="9624771103"/>
    <s v="North"/>
    <s v="Retail Sales"/>
    <s v="0-1 yr"/>
    <s v="MBA"/>
    <d v="2023-03-28T00:00:00"/>
    <n v="31756"/>
    <d v="2024-09-13T00:00:00"/>
    <s v="Proposal Sent"/>
    <n v="178700"/>
    <n v="9.4E-2"/>
    <n v="0"/>
    <s v="Cold Call"/>
    <s v="Headphones"/>
    <n v="89"/>
    <s v="Mid-Market"/>
    <n v="37500"/>
    <n v="160756.38"/>
    <n v="4.2869999999999999"/>
    <s v="Exceeded"/>
    <n v="2024"/>
    <n v="0"/>
  </r>
  <r>
    <s v="SR037"/>
    <x v="35"/>
    <s v="Kavita"/>
    <s v="Kumar"/>
    <s v="kavita.kumar40@techmart.com"/>
    <n v="9624771103"/>
    <s v="North"/>
    <s v="Retail Sales"/>
    <s v="0-1 yr"/>
    <s v="MBA"/>
    <d v="2023-03-28T00:00:00"/>
    <n v="31756"/>
    <d v="2024-11-29T00:00:00"/>
    <s v="Closed Won"/>
    <n v="17800"/>
    <n v="0.1"/>
    <n v="1780"/>
    <s v="Walk-in"/>
    <s v="Laptops"/>
    <n v="32"/>
    <s v="Mid-Market"/>
    <n v="37500"/>
    <n v="23458.28"/>
    <n v="0.626"/>
    <s v="Below Target"/>
    <n v="2024"/>
    <n v="1"/>
  </r>
  <r>
    <s v="SR038"/>
    <x v="36"/>
    <s v="Preeti"/>
    <s v="Rao"/>
    <s v="preeti.rao74@techmart.com"/>
    <n v="9753849689"/>
    <s v="East"/>
    <s v="Channel Sales"/>
    <s v="3-5 yrs"/>
    <s v="BBA"/>
    <d v="2020-02-28T00:00:00"/>
    <n v="43130"/>
    <d v="2022-07-14T00:00:00"/>
    <s v="Negotiation"/>
    <n v="90000"/>
    <n v="0.11799999999999999"/>
    <n v="0"/>
    <s v="Email Campaign"/>
    <s v="Headphones"/>
    <n v="87"/>
    <s v="SMB"/>
    <n v="35000"/>
    <n v="71895.77"/>
    <n v="2.0539999999999998"/>
    <s v="Exceeded"/>
    <n v="2022"/>
    <n v="0"/>
  </r>
  <r>
    <s v="SR038"/>
    <x v="36"/>
    <s v="Preeti"/>
    <s v="Rao"/>
    <s v="preeti.rao74@techmart.com"/>
    <n v="9753849689"/>
    <s v="East"/>
    <s v="Channel Sales"/>
    <s v="3-5 yrs"/>
    <s v="BBA"/>
    <d v="2020-02-28T00:00:00"/>
    <n v="43130"/>
    <d v="2023-03-12T00:00:00"/>
    <s v="Closed Lost"/>
    <n v="62700"/>
    <n v="3.5999999999999997E-2"/>
    <n v="0"/>
    <s v="Walk-in"/>
    <s v="Tablets"/>
    <n v="84"/>
    <s v="Mid-Market"/>
    <n v="35000"/>
    <n v="33829.47"/>
    <n v="0.96699999999999997"/>
    <s v="Met"/>
    <n v="2023"/>
    <n v="0"/>
  </r>
  <r>
    <s v="SR038"/>
    <x v="36"/>
    <s v="Preeti"/>
    <s v="Rao"/>
    <s v="preeti.rao74@techmart.com"/>
    <n v="9753849689"/>
    <s v="East"/>
    <s v="Channel Sales"/>
    <s v="3-5 yrs"/>
    <s v="BBA"/>
    <d v="2020-02-28T00:00:00"/>
    <n v="43130"/>
    <d v="2023-03-14T00:00:00"/>
    <s v="Closed Won"/>
    <n v="98500"/>
    <n v="5.8999999999999997E-2"/>
    <n v="5811.5"/>
    <s v="Cold Call"/>
    <s v="Headphones"/>
    <n v="84"/>
    <s v="Mid-Market"/>
    <n v="35000"/>
    <n v="50312.15"/>
    <n v="1.4370000000000001"/>
    <s v="Exceeded"/>
    <n v="2023"/>
    <n v="1"/>
  </r>
  <r>
    <s v="SR038"/>
    <x v="36"/>
    <s v="Preeti"/>
    <s v="Rao"/>
    <s v="preeti.rao74@techmart.com"/>
    <n v="9753849689"/>
    <s v="East"/>
    <s v="Channel Sales"/>
    <s v="3-5 yrs"/>
    <s v="BBA"/>
    <d v="2020-02-28T00:00:00"/>
    <n v="43130"/>
    <d v="2023-03-24T00:00:00"/>
    <s v="Closed Lost"/>
    <n v="84000"/>
    <n v="9.9000000000000005E-2"/>
    <n v="0"/>
    <s v="Trade Show"/>
    <s v="Smartphones"/>
    <n v="69"/>
    <s v="SMB"/>
    <n v="35000"/>
    <n v="61046.68"/>
    <n v="1.744"/>
    <s v="Exceeded"/>
    <n v="2023"/>
    <n v="0"/>
  </r>
  <r>
    <s v="SR038"/>
    <x v="36"/>
    <s v="Preeti"/>
    <s v="Rao"/>
    <s v="preeti.rao74@techmart.com"/>
    <n v="9753849689"/>
    <s v="East"/>
    <s v="Channel Sales"/>
    <s v="3-5 yrs"/>
    <s v="BBA"/>
    <d v="2020-02-28T00:00:00"/>
    <n v="43130"/>
    <d v="2023-04-15T00:00:00"/>
    <s v="Proposal Sent"/>
    <n v="91800"/>
    <n v="6.0999999999999999E-2"/>
    <n v="0"/>
    <s v="Referral"/>
    <s v="Smart TVs"/>
    <n v="7"/>
    <s v="SMB"/>
    <n v="35000"/>
    <n v="112115.95"/>
    <n v="3.2029999999999998"/>
    <s v="Exceeded"/>
    <n v="2023"/>
    <n v="0"/>
  </r>
  <r>
    <s v="SR038"/>
    <x v="36"/>
    <s v="Preeti"/>
    <s v="Rao"/>
    <s v="preeti.rao74@techmart.com"/>
    <n v="9753849689"/>
    <s v="East"/>
    <s v="Channel Sales"/>
    <s v="3-5 yrs"/>
    <s v="BBA"/>
    <d v="2020-02-28T00:00:00"/>
    <n v="43130"/>
    <d v="2023-04-22T00:00:00"/>
    <s v="Negotiation"/>
    <n v="159000"/>
    <n v="9.2999999999999999E-2"/>
    <n v="0"/>
    <s v="Cold Call"/>
    <s v="Laptops"/>
    <n v="3"/>
    <s v="Individual"/>
    <n v="35000"/>
    <n v="123696.24"/>
    <n v="3.5339999999999998"/>
    <s v="Exceeded"/>
    <n v="2023"/>
    <n v="0"/>
  </r>
  <r>
    <s v="SR038"/>
    <x v="36"/>
    <s v="Preeti"/>
    <s v="Rao"/>
    <s v="preeti.rao74@techmart.com"/>
    <n v="9753849689"/>
    <s v="East"/>
    <s v="Channel Sales"/>
    <s v="3-5 yrs"/>
    <s v="BBA"/>
    <d v="2020-02-28T00:00:00"/>
    <n v="43130"/>
    <d v="2023-10-13T00:00:00"/>
    <s v="Proposal Sent"/>
    <n v="211300"/>
    <n v="9.8000000000000004E-2"/>
    <n v="0"/>
    <s v="LinkedIn"/>
    <s v="Cameras"/>
    <n v="54"/>
    <s v="Mid-Market"/>
    <n v="35000"/>
    <n v="248382.27"/>
    <n v="7.0970000000000004"/>
    <s v="Exceeded"/>
    <n v="2023"/>
    <n v="0"/>
  </r>
  <r>
    <s v="SR038"/>
    <x v="36"/>
    <s v="Preeti"/>
    <s v="Rao"/>
    <s v="preeti.rao74@techmart.com"/>
    <n v="9753849689"/>
    <s v="East"/>
    <s v="Channel Sales"/>
    <s v="3-5 yrs"/>
    <s v="BBA"/>
    <d v="2020-02-28T00:00:00"/>
    <n v="43130"/>
    <d v="2023-10-14T00:00:00"/>
    <s v="Proposal Sent"/>
    <n v="131400"/>
    <n v="3.5999999999999997E-2"/>
    <n v="0"/>
    <s v="Cold Call"/>
    <s v="Smart TVs"/>
    <n v="75"/>
    <s v="Enterprise"/>
    <n v="35000"/>
    <n v="110919.24"/>
    <n v="3.169"/>
    <s v="Exceeded"/>
    <n v="2023"/>
    <n v="0"/>
  </r>
  <r>
    <s v="SR038"/>
    <x v="36"/>
    <s v="Preeti"/>
    <s v="Rao"/>
    <s v="preeti.rao74@techmart.com"/>
    <n v="9753849689"/>
    <s v="East"/>
    <s v="Channel Sales"/>
    <s v="3-5 yrs"/>
    <s v="BBA"/>
    <d v="2020-02-28T00:00:00"/>
    <n v="43130"/>
    <d v="2024-02-09T00:00:00"/>
    <s v="Closed Won"/>
    <n v="173300"/>
    <n v="3.3000000000000002E-2"/>
    <n v="5718.9"/>
    <s v="Email Campaign"/>
    <s v="Smart TVs"/>
    <n v="57"/>
    <s v="Mid-Market"/>
    <n v="35000"/>
    <n v="107591.63"/>
    <n v="3.0739999999999998"/>
    <s v="Exceeded"/>
    <n v="2024"/>
    <n v="1"/>
  </r>
  <r>
    <s v="SR038"/>
    <x v="36"/>
    <s v="Preeti"/>
    <s v="Rao"/>
    <s v="preeti.rao74@techmart.com"/>
    <n v="9753849689"/>
    <s v="East"/>
    <s v="Channel Sales"/>
    <s v="3-5 yrs"/>
    <s v="BBA"/>
    <d v="2020-02-28T00:00:00"/>
    <n v="43130"/>
    <d v="2024-05-27T00:00:00"/>
    <s v="Closed Won"/>
    <n v="167500"/>
    <n v="3.6999999999999998E-2"/>
    <n v="6197.5"/>
    <s v="Referral"/>
    <s v="Tablets"/>
    <n v="64"/>
    <s v="Mid-Market"/>
    <n v="35000"/>
    <n v="114203.28"/>
    <n v="3.2629999999999999"/>
    <s v="Exceeded"/>
    <n v="2024"/>
    <n v="1"/>
  </r>
  <r>
    <s v="SR039"/>
    <x v="37"/>
    <s v="Manish"/>
    <s v="Banerjee"/>
    <s v="manish.banerjee86@techmart.com"/>
    <n v="9661450458"/>
    <s v="North"/>
    <s v="Enterprise Sales"/>
    <s v="1-3 yrs"/>
    <s v="BBA"/>
    <d v="2021-01-25T00:00:00"/>
    <n v="25999"/>
    <d v="2022-10-07T00:00:00"/>
    <s v="Proposal Sent"/>
    <n v="128000"/>
    <n v="4.8000000000000001E-2"/>
    <n v="0"/>
    <s v="Referral"/>
    <s v="Smartphones"/>
    <n v="2"/>
    <s v="Mid-Market"/>
    <n v="37500"/>
    <n v="120615.47"/>
    <n v="3.2160000000000002"/>
    <s v="Exceeded"/>
    <n v="2022"/>
    <n v="0"/>
  </r>
  <r>
    <s v="SR039"/>
    <x v="37"/>
    <s v="Manish"/>
    <s v="Banerjee"/>
    <s v="manish.banerjee86@techmart.com"/>
    <n v="9661450458"/>
    <s v="North"/>
    <s v="Enterprise Sales"/>
    <s v="1-3 yrs"/>
    <s v="BBA"/>
    <d v="2021-01-25T00:00:00"/>
    <n v="25999"/>
    <d v="2022-12-26T00:00:00"/>
    <s v="Closed Won"/>
    <n v="104700"/>
    <n v="7.1999999999999995E-2"/>
    <n v="7538.4"/>
    <s v="Trade Show"/>
    <s v="Tablets"/>
    <n v="49"/>
    <s v="Enterprise"/>
    <n v="37500"/>
    <n v="59128.87"/>
    <n v="1.577"/>
    <s v="Exceeded"/>
    <n v="2022"/>
    <n v="1"/>
  </r>
  <r>
    <s v="SR039"/>
    <x v="37"/>
    <s v="Manish"/>
    <s v="Banerjee"/>
    <s v="manish.banerjee86@techmart.com"/>
    <n v="9661450458"/>
    <s v="North"/>
    <s v="Enterprise Sales"/>
    <s v="1-3 yrs"/>
    <s v="BBA"/>
    <d v="2021-01-25T00:00:00"/>
    <n v="25999"/>
    <d v="2023-02-17T00:00:00"/>
    <s v="Closed Won"/>
    <n v="231100"/>
    <n v="0.1"/>
    <n v="23110"/>
    <s v="Cold Call"/>
    <s v="Tablets"/>
    <n v="51"/>
    <s v="Enterprise"/>
    <n v="37500"/>
    <n v="150443.66"/>
    <n v="4.0119999999999996"/>
    <s v="Exceeded"/>
    <n v="2023"/>
    <n v="1"/>
  </r>
  <r>
    <s v="SR039"/>
    <x v="37"/>
    <s v="Manish"/>
    <s v="Banerjee"/>
    <s v="manish.banerjee86@techmart.com"/>
    <n v="9661450458"/>
    <s v="North"/>
    <s v="Enterprise Sales"/>
    <s v="1-3 yrs"/>
    <s v="BBA"/>
    <d v="2021-01-25T00:00:00"/>
    <n v="25999"/>
    <d v="2023-02-23T00:00:00"/>
    <s v="Closed Won"/>
    <n v="138000"/>
    <n v="3.6999999999999998E-2"/>
    <n v="5106"/>
    <s v="Email Campaign"/>
    <s v="Headphones"/>
    <n v="40"/>
    <s v="SMB"/>
    <n v="37500"/>
    <n v="158631.88"/>
    <n v="4.2300000000000004"/>
    <s v="Exceeded"/>
    <n v="2023"/>
    <n v="1"/>
  </r>
  <r>
    <s v="SR039"/>
    <x v="37"/>
    <s v="Manish"/>
    <s v="Banerjee"/>
    <s v="manish.banerjee86@techmart.com"/>
    <n v="9661450458"/>
    <s v="North"/>
    <s v="Enterprise Sales"/>
    <s v="1-3 yrs"/>
    <s v="BBA"/>
    <d v="2021-01-25T00:00:00"/>
    <n v="25999"/>
    <d v="2023-04-01T00:00:00"/>
    <s v="Negotiation"/>
    <n v="233800"/>
    <n v="6.4000000000000001E-2"/>
    <n v="0"/>
    <s v="Inbound Lead"/>
    <s v="Laptops"/>
    <n v="57"/>
    <s v="Individual"/>
    <n v="37500"/>
    <n v="130496.68"/>
    <n v="3.48"/>
    <s v="Exceeded"/>
    <n v="2023"/>
    <n v="0"/>
  </r>
  <r>
    <s v="SR039"/>
    <x v="37"/>
    <s v="Manish"/>
    <s v="Banerjee"/>
    <s v="manish.banerjee86@techmart.com"/>
    <n v="9661450458"/>
    <s v="North"/>
    <s v="Enterprise Sales"/>
    <s v="1-3 yrs"/>
    <s v="BBA"/>
    <d v="2021-01-25T00:00:00"/>
    <n v="25999"/>
    <d v="2023-05-17T00:00:00"/>
    <s v="Closed Lost"/>
    <n v="51300"/>
    <n v="8.5000000000000006E-2"/>
    <n v="0"/>
    <s v="Inbound Lead"/>
    <s v="Tablets"/>
    <n v="74"/>
    <s v="Enterprise"/>
    <n v="37500"/>
    <n v="70329.899999999994"/>
    <n v="1.875"/>
    <s v="Exceeded"/>
    <n v="2023"/>
    <n v="0"/>
  </r>
  <r>
    <s v="SR039"/>
    <x v="37"/>
    <s v="Manish"/>
    <s v="Banerjee"/>
    <s v="manish.banerjee86@techmart.com"/>
    <n v="9661450458"/>
    <s v="North"/>
    <s v="Enterprise Sales"/>
    <s v="1-3 yrs"/>
    <s v="BBA"/>
    <d v="2021-01-25T00:00:00"/>
    <n v="25999"/>
    <d v="2024-02-21T00:00:00"/>
    <s v="Closed Lost"/>
    <n v="228900"/>
    <n v="3.6999999999999998E-2"/>
    <n v="0"/>
    <s v="Inbound Lead"/>
    <s v="Smart TVs"/>
    <n v="69"/>
    <s v="SMB"/>
    <n v="37500"/>
    <n v="228343.07"/>
    <n v="6.0890000000000004"/>
    <s v="Exceeded"/>
    <n v="2024"/>
    <n v="0"/>
  </r>
  <r>
    <s v="SR039"/>
    <x v="37"/>
    <s v="Manish"/>
    <s v="Banerjee"/>
    <s v="manish.banerjee86@techmart.com"/>
    <n v="9661450458"/>
    <s v="North"/>
    <s v="Enterprise Sales"/>
    <s v="1-3 yrs"/>
    <s v="BBA"/>
    <d v="2021-01-25T00:00:00"/>
    <n v="25999"/>
    <d v="2024-05-01T00:00:00"/>
    <s v="Closed Lost"/>
    <n v="199600"/>
    <n v="6.4000000000000001E-2"/>
    <n v="0"/>
    <s v="Trade Show"/>
    <s v="Tablets"/>
    <n v="83"/>
    <s v="Individual"/>
    <n v="37500"/>
    <n v="173234.6"/>
    <n v="4.62"/>
    <s v="Exceeded"/>
    <n v="2024"/>
    <n v="0"/>
  </r>
  <r>
    <s v="SR039"/>
    <x v="37"/>
    <s v="Manish"/>
    <s v="Banerjee"/>
    <s v="manish.banerjee86@techmart.com"/>
    <n v="9661450458"/>
    <s v="North"/>
    <s v="Enterprise Sales"/>
    <s v="1-3 yrs"/>
    <s v="BBA"/>
    <d v="2021-01-25T00:00:00"/>
    <n v="25999"/>
    <d v="2024-06-22T00:00:00"/>
    <s v="Closed Lost"/>
    <n v="137500"/>
    <n v="8.5000000000000006E-2"/>
    <n v="0"/>
    <s v="Trade Show"/>
    <s v="Cameras"/>
    <n v="20"/>
    <s v="Enterprise"/>
    <n v="37500"/>
    <n v="71201.62"/>
    <n v="1.899"/>
    <s v="Exceeded"/>
    <n v="2024"/>
    <n v="0"/>
  </r>
  <r>
    <s v="SR039"/>
    <x v="37"/>
    <s v="Manish"/>
    <s v="Banerjee"/>
    <s v="manish.banerjee86@techmart.com"/>
    <n v="9661450458"/>
    <s v="North"/>
    <s v="Enterprise Sales"/>
    <s v="1-3 yrs"/>
    <s v="BBA"/>
    <d v="2021-01-25T00:00:00"/>
    <n v="25999"/>
    <d v="2024-10-03T00:00:00"/>
    <s v="Closed Won"/>
    <n v="55500"/>
    <n v="3.5000000000000003E-2"/>
    <n v="1942.5"/>
    <s v="Referral"/>
    <s v="Laptops"/>
    <n v="17"/>
    <s v="Individual"/>
    <n v="37500"/>
    <n v="36425.11"/>
    <n v="0.97099999999999997"/>
    <s v="Met"/>
    <n v="2024"/>
    <n v="1"/>
  </r>
  <r>
    <s v="SR040"/>
    <x v="38"/>
    <s v="Amit"/>
    <s v="Mehta"/>
    <s v="amit.mehta70@techmart.com"/>
    <n v="9978147010"/>
    <s v="East"/>
    <s v="Retail Sales"/>
    <s v="3-5 yrs"/>
    <s v="MBA"/>
    <d v="2019-08-03T00:00:00"/>
    <n v="77691"/>
    <d v="2022-03-21T00:00:00"/>
    <s v="Closed Won"/>
    <n v="105900"/>
    <n v="0.114"/>
    <n v="12072.6"/>
    <s v="Referral"/>
    <s v="Laptops"/>
    <n v="56"/>
    <s v="Mid-Market"/>
    <n v="35000"/>
    <n v="126459.78"/>
    <n v="3.613"/>
    <s v="Exceeded"/>
    <n v="2022"/>
    <n v="1"/>
  </r>
  <r>
    <s v="SR040"/>
    <x v="38"/>
    <s v="Amit"/>
    <s v="Mehta"/>
    <s v="amit.mehta70@techmart.com"/>
    <n v="9978147010"/>
    <s v="East"/>
    <s v="Retail Sales"/>
    <s v="3-5 yrs"/>
    <s v="MBA"/>
    <d v="2019-08-03T00:00:00"/>
    <n v="77691"/>
    <d v="2022-06-14T00:00:00"/>
    <s v="Negotiation"/>
    <n v="243500"/>
    <n v="4.7E-2"/>
    <n v="0"/>
    <s v="Trade Show"/>
    <s v="Laptops"/>
    <n v="55"/>
    <s v="Mid-Market"/>
    <n v="35000"/>
    <n v="273366.03000000003"/>
    <n v="7.81"/>
    <s v="Exceeded"/>
    <n v="2022"/>
    <n v="0"/>
  </r>
  <r>
    <s v="SR040"/>
    <x v="38"/>
    <s v="Amit"/>
    <s v="Mehta"/>
    <s v="amit.mehta70@techmart.com"/>
    <n v="9978147010"/>
    <s v="East"/>
    <s v="Retail Sales"/>
    <s v="3-5 yrs"/>
    <s v="MBA"/>
    <d v="2019-08-03T00:00:00"/>
    <n v="77691"/>
    <d v="2022-10-30T00:00:00"/>
    <s v="Closed Won"/>
    <n v="163700"/>
    <n v="7.0999999999999994E-2"/>
    <n v="11622.7"/>
    <s v="Email Campaign"/>
    <s v="Laptops"/>
    <n v="33"/>
    <s v="SMB"/>
    <n v="35000"/>
    <n v="170564.66"/>
    <n v="4.8730000000000002"/>
    <s v="Exceeded"/>
    <n v="2022"/>
    <n v="1"/>
  </r>
  <r>
    <s v="SR040"/>
    <x v="38"/>
    <s v="Amit"/>
    <s v="Mehta"/>
    <s v="amit.mehta70@techmart.com"/>
    <n v="9978147010"/>
    <s v="East"/>
    <s v="Retail Sales"/>
    <s v="3-5 yrs"/>
    <s v="MBA"/>
    <d v="2019-08-03T00:00:00"/>
    <n v="77691"/>
    <d v="2022-11-27T00:00:00"/>
    <s v="Closed Won"/>
    <n v="35600"/>
    <n v="9.9000000000000005E-2"/>
    <n v="3524.4"/>
    <s v="Email Campaign"/>
    <s v="Monitors"/>
    <n v="50"/>
    <s v="Enterprise"/>
    <n v="35000"/>
    <n v="40422.480000000003"/>
    <n v="1.155"/>
    <s v="Exceeded"/>
    <n v="2022"/>
    <n v="1"/>
  </r>
  <r>
    <s v="SR040"/>
    <x v="38"/>
    <s v="Amit"/>
    <s v="Mehta"/>
    <s v="amit.mehta70@techmart.com"/>
    <n v="9978147010"/>
    <s v="East"/>
    <s v="Retail Sales"/>
    <s v="3-5 yrs"/>
    <s v="MBA"/>
    <d v="2019-08-03T00:00:00"/>
    <n v="77691"/>
    <d v="2022-12-11T00:00:00"/>
    <s v="Closed Lost"/>
    <n v="5400"/>
    <n v="3.9E-2"/>
    <n v="0"/>
    <s v="Walk-in"/>
    <s v="Monitors"/>
    <n v="54"/>
    <s v="Enterprise"/>
    <n v="35000"/>
    <n v="5880.97"/>
    <n v="0.16800000000000001"/>
    <s v="Below Target"/>
    <n v="2022"/>
    <n v="0"/>
  </r>
  <r>
    <s v="SR040"/>
    <x v="38"/>
    <s v="Amit"/>
    <s v="Mehta"/>
    <s v="amit.mehta70@techmart.com"/>
    <n v="9978147010"/>
    <s v="East"/>
    <s v="Retail Sales"/>
    <s v="3-5 yrs"/>
    <s v="MBA"/>
    <d v="2019-08-03T00:00:00"/>
    <n v="77691"/>
    <d v="2023-12-07T00:00:00"/>
    <s v="Closed Won"/>
    <n v="75500"/>
    <n v="9.7000000000000003E-2"/>
    <n v="7323.5"/>
    <s v="Email Campaign"/>
    <s v="Headphones"/>
    <n v="90"/>
    <s v="Mid-Market"/>
    <n v="35000"/>
    <n v="38186.26"/>
    <n v="1.091"/>
    <s v="Met"/>
    <n v="2023"/>
    <n v="1"/>
  </r>
  <r>
    <s v="SR040"/>
    <x v="38"/>
    <s v="Amit"/>
    <s v="Mehta"/>
    <s v="amit.mehta70@techmart.com"/>
    <n v="9978147010"/>
    <s v="East"/>
    <s v="Retail Sales"/>
    <s v="3-5 yrs"/>
    <s v="MBA"/>
    <d v="2019-08-03T00:00:00"/>
    <n v="77691"/>
    <d v="2023-12-15T00:00:00"/>
    <s v="Negotiation"/>
    <n v="190900"/>
    <n v="7.3999999999999996E-2"/>
    <n v="0"/>
    <s v="Email Campaign"/>
    <s v="Tablets"/>
    <n v="90"/>
    <s v="Individual"/>
    <n v="35000"/>
    <n v="207282.22"/>
    <n v="5.9219999999999997"/>
    <s v="Exceeded"/>
    <n v="2023"/>
    <n v="0"/>
  </r>
  <r>
    <s v="SR040"/>
    <x v="38"/>
    <s v="Amit"/>
    <s v="Mehta"/>
    <s v="amit.mehta70@techmart.com"/>
    <n v="9978147010"/>
    <s v="East"/>
    <s v="Retail Sales"/>
    <s v="3-5 yrs"/>
    <s v="MBA"/>
    <d v="2019-08-03T00:00:00"/>
    <n v="77691"/>
    <d v="2024-05-18T00:00:00"/>
    <s v="Proposal Sent"/>
    <n v="69700"/>
    <n v="5.1999999999999998E-2"/>
    <n v="0"/>
    <s v="Cold Call"/>
    <s v="Cameras"/>
    <n v="47"/>
    <s v="Individual"/>
    <n v="35000"/>
    <n v="78602.38"/>
    <n v="2.246"/>
    <s v="Exceeded"/>
    <n v="2024"/>
    <n v="0"/>
  </r>
  <r>
    <s v="SR040"/>
    <x v="38"/>
    <s v="Amit"/>
    <s v="Mehta"/>
    <s v="amit.mehta70@techmart.com"/>
    <n v="9978147010"/>
    <s v="East"/>
    <s v="Retail Sales"/>
    <s v="3-5 yrs"/>
    <s v="MBA"/>
    <d v="2019-08-03T00:00:00"/>
    <n v="77691"/>
    <d v="2024-06-01T00:00:00"/>
    <s v="Closed Won"/>
    <n v="51200"/>
    <n v="6.4000000000000001E-2"/>
    <n v="3276.8"/>
    <s v="Email Campaign"/>
    <s v="Laptops"/>
    <n v="26"/>
    <s v="Enterprise"/>
    <n v="35000"/>
    <n v="33985.839999999997"/>
    <n v="0.97099999999999997"/>
    <s v="Met"/>
    <n v="2024"/>
    <n v="1"/>
  </r>
  <r>
    <s v="SR040"/>
    <x v="38"/>
    <s v="Amit"/>
    <s v="Mehta"/>
    <s v="amit.mehta70@techmart.com"/>
    <n v="9978147010"/>
    <s v="East"/>
    <s v="Retail Sales"/>
    <s v="3-5 yrs"/>
    <s v="MBA"/>
    <d v="2019-08-03T00:00:00"/>
    <n v="77691"/>
    <d v="2024-10-22T00:00:00"/>
    <s v="Negotiation"/>
    <n v="177600"/>
    <n v="0.11"/>
    <n v="0"/>
    <s v="LinkedIn"/>
    <s v="Tablets"/>
    <n v="53"/>
    <s v="Individual"/>
    <n v="35000"/>
    <n v="106266.37"/>
    <n v="3.036"/>
    <s v="Exceeded"/>
    <n v="2024"/>
    <n v="0"/>
  </r>
  <r>
    <s v="SR041"/>
    <x v="39"/>
    <s v="Gaurav"/>
    <s v="Iyer"/>
    <s v="gaurav.iyer22@techmart.com"/>
    <n v="9627233412"/>
    <s v="North"/>
    <s v="Enterprise Sales"/>
    <s v="10+ yrs"/>
    <s v="MBA"/>
    <d v="2022-12-23T00:00:00"/>
    <n v="33524"/>
    <d v="2022-12-30T00:00:00"/>
    <s v="Proposal Sent"/>
    <n v="157700"/>
    <n v="0.10100000000000001"/>
    <n v="0"/>
    <s v="Cold Call"/>
    <s v="Smartphones"/>
    <n v="28"/>
    <s v="Individual"/>
    <n v="37500"/>
    <n v="132168.25"/>
    <n v="3.524"/>
    <s v="Exceeded"/>
    <n v="2022"/>
    <n v="0"/>
  </r>
  <r>
    <s v="SR041"/>
    <x v="39"/>
    <s v="Gaurav"/>
    <s v="Iyer"/>
    <s v="gaurav.iyer22@techmart.com"/>
    <n v="9627233412"/>
    <s v="North"/>
    <s v="Enterprise Sales"/>
    <s v="10+ yrs"/>
    <s v="MBA"/>
    <d v="2022-12-23T00:00:00"/>
    <n v="33524"/>
    <d v="2023-04-14T00:00:00"/>
    <s v="Closed Lost"/>
    <n v="153700"/>
    <n v="0.10299999999999999"/>
    <n v="0"/>
    <s v="Referral"/>
    <s v="Laptops"/>
    <n v="8"/>
    <s v="SMB"/>
    <n v="37500"/>
    <n v="188783.68"/>
    <n v="5.0339999999999998"/>
    <s v="Exceeded"/>
    <n v="2023"/>
    <n v="0"/>
  </r>
  <r>
    <s v="SR041"/>
    <x v="39"/>
    <s v="Gaurav"/>
    <s v="Iyer"/>
    <s v="gaurav.iyer22@techmart.com"/>
    <n v="9627233412"/>
    <s v="North"/>
    <s v="Enterprise Sales"/>
    <s v="10+ yrs"/>
    <s v="MBA"/>
    <d v="2022-12-23T00:00:00"/>
    <n v="33524"/>
    <d v="2023-05-14T00:00:00"/>
    <s v="Closed Won"/>
    <n v="162800"/>
    <n v="4.1000000000000002E-2"/>
    <n v="6674.8"/>
    <s v="LinkedIn"/>
    <s v="Tablets"/>
    <n v="90"/>
    <s v="SMB"/>
    <n v="37500"/>
    <n v="135382.35"/>
    <n v="3.61"/>
    <s v="Exceeded"/>
    <n v="2023"/>
    <n v="1"/>
  </r>
  <r>
    <s v="SR041"/>
    <x v="39"/>
    <s v="Gaurav"/>
    <s v="Iyer"/>
    <s v="gaurav.iyer22@techmart.com"/>
    <n v="9627233412"/>
    <s v="North"/>
    <s v="Enterprise Sales"/>
    <s v="10+ yrs"/>
    <s v="MBA"/>
    <d v="2022-12-23T00:00:00"/>
    <n v="33524"/>
    <d v="2023-06-11T00:00:00"/>
    <s v="Closed Won"/>
    <n v="81800"/>
    <n v="3.7999999999999999E-2"/>
    <n v="3108.4"/>
    <s v="Cold Call"/>
    <s v="Tablets"/>
    <n v="9"/>
    <s v="Mid-Market"/>
    <n v="37500"/>
    <n v="43084.06"/>
    <n v="1.149"/>
    <s v="Exceeded"/>
    <n v="2023"/>
    <n v="1"/>
  </r>
  <r>
    <s v="SR041"/>
    <x v="39"/>
    <s v="Gaurav"/>
    <s v="Iyer"/>
    <s v="gaurav.iyer22@techmart.com"/>
    <n v="9627233412"/>
    <s v="North"/>
    <s v="Enterprise Sales"/>
    <s v="10+ yrs"/>
    <s v="MBA"/>
    <d v="2022-12-23T00:00:00"/>
    <n v="33524"/>
    <d v="2023-07-07T00:00:00"/>
    <s v="Closed Won"/>
    <n v="241500"/>
    <n v="0.108"/>
    <n v="26082"/>
    <s v="Trade Show"/>
    <s v="Monitors"/>
    <n v="80"/>
    <s v="Individual"/>
    <n v="37500"/>
    <n v="309488.48"/>
    <n v="8.2530000000000001"/>
    <s v="Exceeded"/>
    <n v="2023"/>
    <n v="1"/>
  </r>
  <r>
    <s v="SR041"/>
    <x v="39"/>
    <s v="Gaurav"/>
    <s v="Iyer"/>
    <s v="gaurav.iyer22@techmart.com"/>
    <n v="9627233412"/>
    <s v="North"/>
    <s v="Enterprise Sales"/>
    <s v="10+ yrs"/>
    <s v="MBA"/>
    <d v="2022-12-23T00:00:00"/>
    <n v="33524"/>
    <d v="2023-08-20T00:00:00"/>
    <s v="Closed Lost"/>
    <n v="132200"/>
    <n v="9.0999999999999998E-2"/>
    <n v="0"/>
    <s v="Cold Call"/>
    <s v="Smartphones"/>
    <n v="8"/>
    <s v="Mid-Market"/>
    <n v="37500"/>
    <n v="155549.01"/>
    <n v="4.1479999999999997"/>
    <s v="Exceeded"/>
    <n v="2023"/>
    <n v="0"/>
  </r>
  <r>
    <s v="SR041"/>
    <x v="39"/>
    <s v="Gaurav"/>
    <s v="Iyer"/>
    <s v="gaurav.iyer22@techmart.com"/>
    <n v="9627233412"/>
    <s v="North"/>
    <s v="Enterprise Sales"/>
    <s v="10+ yrs"/>
    <s v="MBA"/>
    <d v="2022-12-23T00:00:00"/>
    <n v="33524"/>
    <d v="2023-12-22T00:00:00"/>
    <s v="Closed Won"/>
    <n v="216400"/>
    <n v="3.9E-2"/>
    <n v="8439.6"/>
    <s v="Trade Show"/>
    <s v="Cameras"/>
    <n v="90"/>
    <s v="Enterprise"/>
    <n v="37500"/>
    <n v="249443.88"/>
    <n v="6.6520000000000001"/>
    <s v="Exceeded"/>
    <n v="2023"/>
    <n v="1"/>
  </r>
  <r>
    <s v="SR041"/>
    <x v="39"/>
    <s v="Gaurav"/>
    <s v="Iyer"/>
    <s v="gaurav.iyer22@techmart.com"/>
    <n v="9627233412"/>
    <s v="North"/>
    <s v="Enterprise Sales"/>
    <s v="10+ yrs"/>
    <s v="MBA"/>
    <d v="2022-12-23T00:00:00"/>
    <n v="33524"/>
    <d v="2024-06-07T00:00:00"/>
    <s v="Closed Won"/>
    <n v="249400"/>
    <n v="7.3999999999999996E-2"/>
    <n v="18455.599999999999"/>
    <s v="Walk-in"/>
    <s v="Tablets"/>
    <n v="78"/>
    <s v="Enterprise"/>
    <n v="37500"/>
    <n v="200242.06"/>
    <n v="5.34"/>
    <s v="Exceeded"/>
    <n v="2024"/>
    <n v="1"/>
  </r>
  <r>
    <s v="SR041"/>
    <x v="39"/>
    <s v="Gaurav"/>
    <s v="Iyer"/>
    <s v="gaurav.iyer22@techmart.com"/>
    <n v="9627233412"/>
    <s v="North"/>
    <s v="Enterprise Sales"/>
    <s v="10+ yrs"/>
    <s v="MBA"/>
    <d v="2022-12-23T00:00:00"/>
    <n v="33524"/>
    <d v="2024-09-16T00:00:00"/>
    <s v="Proposal Sent"/>
    <n v="177700"/>
    <n v="0.108"/>
    <n v="0"/>
    <s v="LinkedIn"/>
    <s v="Headphones"/>
    <n v="85"/>
    <s v="SMB"/>
    <n v="37500"/>
    <n v="89350.44"/>
    <n v="2.383"/>
    <s v="Exceeded"/>
    <n v="2024"/>
    <n v="0"/>
  </r>
  <r>
    <s v="SR041"/>
    <x v="39"/>
    <s v="Gaurav"/>
    <s v="Iyer"/>
    <s v="gaurav.iyer22@techmart.com"/>
    <n v="9627233412"/>
    <s v="North"/>
    <s v="Enterprise Sales"/>
    <s v="10+ yrs"/>
    <s v="MBA"/>
    <d v="2022-12-23T00:00:00"/>
    <n v="33524"/>
    <d v="2024-11-20T00:00:00"/>
    <s v="Closed Won"/>
    <n v="87600"/>
    <n v="0.104"/>
    <n v="9110.4"/>
    <s v="Inbound Lead"/>
    <s v="Monitors"/>
    <n v="52"/>
    <s v="Enterprise"/>
    <n v="37500"/>
    <n v="91956.19"/>
    <n v="2.452"/>
    <s v="Exceeded"/>
    <n v="2024"/>
    <n v="1"/>
  </r>
  <r>
    <s v="SR042"/>
    <x v="40"/>
    <s v="Sunita"/>
    <s v="Sen"/>
    <s v="sunita.sen87@techmart.com"/>
    <n v="9828957055"/>
    <s v="North"/>
    <s v="Direct Sales"/>
    <s v="5-10 yrs"/>
    <s v="B.Com"/>
    <d v="2018-12-19T00:00:00"/>
    <n v="50684"/>
    <d v="2022-03-01T00:00:00"/>
    <s v="Closed Won"/>
    <n v="248500"/>
    <n v="0.114"/>
    <n v="28329"/>
    <s v="Trade Show"/>
    <s v="Cameras"/>
    <n v="36"/>
    <s v="SMB"/>
    <n v="37500"/>
    <n v="285093.48"/>
    <n v="7.6020000000000003"/>
    <s v="Exceeded"/>
    <n v="2022"/>
    <n v="1"/>
  </r>
  <r>
    <s v="SR042"/>
    <x v="40"/>
    <s v="Sunita"/>
    <s v="Sen"/>
    <s v="sunita.sen87@techmart.com"/>
    <n v="9828957055"/>
    <s v="North"/>
    <s v="Direct Sales"/>
    <s v="5-10 yrs"/>
    <s v="B.Com"/>
    <d v="2018-12-19T00:00:00"/>
    <n v="50684"/>
    <d v="2022-06-28T00:00:00"/>
    <s v="Closed Won"/>
    <n v="223200"/>
    <n v="9.0999999999999998E-2"/>
    <n v="20311.2"/>
    <s v="LinkedIn"/>
    <s v="Cameras"/>
    <n v="60"/>
    <s v="SMB"/>
    <n v="37500"/>
    <n v="291670.55"/>
    <n v="7.7779999999999996"/>
    <s v="Exceeded"/>
    <n v="2022"/>
    <n v="1"/>
  </r>
  <r>
    <s v="SR042"/>
    <x v="40"/>
    <s v="Sunita"/>
    <s v="Sen"/>
    <s v="sunita.sen87@techmart.com"/>
    <n v="9828957055"/>
    <s v="North"/>
    <s v="Direct Sales"/>
    <s v="5-10 yrs"/>
    <s v="B.Com"/>
    <d v="2018-12-19T00:00:00"/>
    <n v="50684"/>
    <d v="2022-07-25T00:00:00"/>
    <s v="Proposal Sent"/>
    <n v="105900"/>
    <n v="5.6000000000000001E-2"/>
    <n v="0"/>
    <s v="Referral"/>
    <s v="Monitors"/>
    <n v="19"/>
    <s v="Individual"/>
    <n v="37500"/>
    <n v="65136.47"/>
    <n v="1.7370000000000001"/>
    <s v="Exceeded"/>
    <n v="2022"/>
    <n v="0"/>
  </r>
  <r>
    <s v="SR042"/>
    <x v="40"/>
    <s v="Sunita"/>
    <s v="Sen"/>
    <s v="sunita.sen87@techmart.com"/>
    <n v="9828957055"/>
    <s v="North"/>
    <s v="Direct Sales"/>
    <s v="5-10 yrs"/>
    <s v="B.Com"/>
    <d v="2018-12-19T00:00:00"/>
    <n v="50684"/>
    <d v="2022-08-25T00:00:00"/>
    <s v="Closed Lost"/>
    <n v="178700"/>
    <n v="7.9000000000000001E-2"/>
    <n v="0"/>
    <s v="Referral"/>
    <s v="Laptops"/>
    <n v="22"/>
    <s v="Individual"/>
    <n v="37500"/>
    <n v="106312.69"/>
    <n v="2.835"/>
    <s v="Exceeded"/>
    <n v="2022"/>
    <n v="0"/>
  </r>
  <r>
    <s v="SR042"/>
    <x v="40"/>
    <s v="Sunita"/>
    <s v="Sen"/>
    <s v="sunita.sen87@techmart.com"/>
    <n v="9828957055"/>
    <s v="North"/>
    <s v="Direct Sales"/>
    <s v="5-10 yrs"/>
    <s v="B.Com"/>
    <d v="2018-12-19T00:00:00"/>
    <n v="50684"/>
    <d v="2023-08-19T00:00:00"/>
    <s v="Closed Won"/>
    <n v="34200"/>
    <n v="3.7999999999999999E-2"/>
    <n v="1299.5999999999999"/>
    <s v="Email Campaign"/>
    <s v="Smart TVs"/>
    <n v="25"/>
    <s v="Individual"/>
    <n v="37500"/>
    <n v="34731.980000000003"/>
    <n v="0.92600000000000005"/>
    <s v="Met"/>
    <n v="2023"/>
    <n v="1"/>
  </r>
  <r>
    <s v="SR042"/>
    <x v="40"/>
    <s v="Sunita"/>
    <s v="Sen"/>
    <s v="sunita.sen87@techmart.com"/>
    <n v="9828957055"/>
    <s v="North"/>
    <s v="Direct Sales"/>
    <s v="5-10 yrs"/>
    <s v="B.Com"/>
    <d v="2018-12-19T00:00:00"/>
    <n v="50684"/>
    <d v="2023-10-22T00:00:00"/>
    <s v="Closed Won"/>
    <n v="171100"/>
    <n v="6.2E-2"/>
    <n v="10608.2"/>
    <s v="Cold Call"/>
    <s v="Cameras"/>
    <n v="42"/>
    <s v="Enterprise"/>
    <n v="37500"/>
    <n v="121515.7"/>
    <n v="3.24"/>
    <s v="Exceeded"/>
    <n v="2023"/>
    <n v="1"/>
  </r>
  <r>
    <s v="SR042"/>
    <x v="40"/>
    <s v="Sunita"/>
    <s v="Sen"/>
    <s v="sunita.sen87@techmart.com"/>
    <n v="9828957055"/>
    <s v="North"/>
    <s v="Direct Sales"/>
    <s v="5-10 yrs"/>
    <s v="B.Com"/>
    <d v="2018-12-19T00:00:00"/>
    <n v="50684"/>
    <d v="2023-11-13T00:00:00"/>
    <s v="Closed Won"/>
    <n v="249300"/>
    <n v="8.2000000000000003E-2"/>
    <n v="20442.599999999999"/>
    <s v="LinkedIn"/>
    <s v="Smartphones"/>
    <n v="83"/>
    <s v="Mid-Market"/>
    <n v="37500"/>
    <n v="209239.81"/>
    <n v="5.58"/>
    <s v="Exceeded"/>
    <n v="2023"/>
    <n v="1"/>
  </r>
  <r>
    <s v="SR042"/>
    <x v="40"/>
    <s v="Sunita"/>
    <s v="Sen"/>
    <s v="sunita.sen87@techmart.com"/>
    <n v="9828957055"/>
    <s v="North"/>
    <s v="Direct Sales"/>
    <s v="5-10 yrs"/>
    <s v="B.Com"/>
    <d v="2018-12-19T00:00:00"/>
    <n v="50684"/>
    <d v="2024-02-21T00:00:00"/>
    <s v="Proposal Sent"/>
    <n v="173300"/>
    <n v="0.10100000000000001"/>
    <n v="0"/>
    <s v="Walk-in"/>
    <s v="Headphones"/>
    <n v="30"/>
    <s v="SMB"/>
    <n v="37500"/>
    <n v="127060.88"/>
    <n v="3.3879999999999999"/>
    <s v="Exceeded"/>
    <n v="2024"/>
    <n v="0"/>
  </r>
  <r>
    <s v="SR042"/>
    <x v="40"/>
    <s v="Sunita"/>
    <s v="Sen"/>
    <s v="sunita.sen87@techmart.com"/>
    <n v="9828957055"/>
    <s v="North"/>
    <s v="Direct Sales"/>
    <s v="5-10 yrs"/>
    <s v="B.Com"/>
    <d v="2018-12-19T00:00:00"/>
    <n v="50684"/>
    <d v="2024-09-02T00:00:00"/>
    <s v="Proposal Sent"/>
    <n v="37300"/>
    <n v="0.09"/>
    <n v="0"/>
    <s v="LinkedIn"/>
    <s v="Monitors"/>
    <n v="63"/>
    <s v="Individual"/>
    <n v="37500"/>
    <n v="45356.29"/>
    <n v="1.21"/>
    <s v="Exceeded"/>
    <n v="2024"/>
    <n v="0"/>
  </r>
  <r>
    <s v="SR042"/>
    <x v="40"/>
    <s v="Sunita"/>
    <s v="Sen"/>
    <s v="sunita.sen87@techmart.com"/>
    <n v="9828957055"/>
    <s v="North"/>
    <s v="Direct Sales"/>
    <s v="5-10 yrs"/>
    <s v="B.Com"/>
    <d v="2018-12-19T00:00:00"/>
    <n v="50684"/>
    <d v="2024-09-19T00:00:00"/>
    <s v="Closed Lost"/>
    <n v="198800"/>
    <n v="8.5000000000000006E-2"/>
    <n v="0"/>
    <s v="Cold Call"/>
    <s v="Tablets"/>
    <n v="55"/>
    <s v="Enterprise"/>
    <n v="37500"/>
    <n v="275971.03999999998"/>
    <n v="7.359"/>
    <s v="Exceeded"/>
    <n v="2024"/>
    <n v="0"/>
  </r>
  <r>
    <s v="SR043"/>
    <x v="4"/>
    <s v="Anita"/>
    <s v="Banerjee"/>
    <s v="anita.banerjee464@techmart.com"/>
    <n v="9642168851"/>
    <s v="East"/>
    <s v="Enterprise Sales"/>
    <s v="1-3 yrs"/>
    <s v="M.Com"/>
    <d v="2023-12-26T00:00:00"/>
    <n v="74528"/>
    <d v="2023-12-30T00:00:00"/>
    <s v="Negotiation"/>
    <n v="228400"/>
    <n v="7.0999999999999994E-2"/>
    <n v="0"/>
    <s v="Referral"/>
    <s v="Cameras"/>
    <n v="38"/>
    <s v="SMB"/>
    <n v="35000"/>
    <n v="216945.6"/>
    <n v="6.1980000000000004"/>
    <s v="Exceeded"/>
    <n v="2023"/>
    <n v="0"/>
  </r>
  <r>
    <s v="SR043"/>
    <x v="4"/>
    <s v="Anita"/>
    <s v="Banerjee"/>
    <s v="anita.banerjee464@techmart.com"/>
    <n v="9642168851"/>
    <s v="East"/>
    <s v="Enterprise Sales"/>
    <s v="1-3 yrs"/>
    <s v="M.Com"/>
    <d v="2023-12-26T00:00:00"/>
    <n v="74528"/>
    <d v="2024-02-29T00:00:00"/>
    <s v="Closed Won"/>
    <n v="104700"/>
    <n v="8.2000000000000003E-2"/>
    <n v="8585.4"/>
    <s v="Cold Call"/>
    <s v="Tablets"/>
    <n v="8"/>
    <s v="SMB"/>
    <n v="35000"/>
    <n v="132173.99"/>
    <n v="3.7759999999999998"/>
    <s v="Exceeded"/>
    <n v="2024"/>
    <n v="1"/>
  </r>
  <r>
    <s v="SR043"/>
    <x v="4"/>
    <s v="Anita"/>
    <s v="Banerjee"/>
    <s v="anita.banerjee464@techmart.com"/>
    <n v="9642168851"/>
    <s v="East"/>
    <s v="Enterprise Sales"/>
    <s v="1-3 yrs"/>
    <s v="M.Com"/>
    <d v="2023-12-26T00:00:00"/>
    <n v="74528"/>
    <d v="2024-04-03T00:00:00"/>
    <s v="Proposal Sent"/>
    <n v="229500"/>
    <n v="7.9000000000000001E-2"/>
    <n v="0"/>
    <s v="Cold Call"/>
    <s v="Laptops"/>
    <n v="42"/>
    <s v="Individual"/>
    <n v="35000"/>
    <n v="290278.2"/>
    <n v="8.2940000000000005"/>
    <s v="Exceeded"/>
    <n v="2024"/>
    <n v="0"/>
  </r>
  <r>
    <s v="SR043"/>
    <x v="4"/>
    <s v="Anita"/>
    <s v="Banerjee"/>
    <s v="anita.banerjee464@techmart.com"/>
    <n v="9642168851"/>
    <s v="East"/>
    <s v="Enterprise Sales"/>
    <s v="1-3 yrs"/>
    <s v="M.Com"/>
    <d v="2023-12-26T00:00:00"/>
    <n v="74528"/>
    <d v="2024-04-11T00:00:00"/>
    <s v="Proposal Sent"/>
    <n v="250000"/>
    <n v="0.10299999999999999"/>
    <n v="0"/>
    <s v="Email Campaign"/>
    <s v="Monitors"/>
    <n v="7"/>
    <s v="SMB"/>
    <n v="35000"/>
    <n v="317775.23"/>
    <n v="9.0790000000000006"/>
    <s v="Exceeded"/>
    <n v="2024"/>
    <n v="0"/>
  </r>
  <r>
    <s v="SR043"/>
    <x v="4"/>
    <s v="Anita"/>
    <s v="Banerjee"/>
    <s v="anita.banerjee464@techmart.com"/>
    <n v="9642168851"/>
    <s v="East"/>
    <s v="Enterprise Sales"/>
    <s v="1-3 yrs"/>
    <s v="M.Com"/>
    <d v="2023-12-26T00:00:00"/>
    <n v="74528"/>
    <d v="2024-04-14T00:00:00"/>
    <s v="Closed Lost"/>
    <n v="81400"/>
    <n v="9.2999999999999999E-2"/>
    <n v="0"/>
    <s v="Trade Show"/>
    <s v="Smartphones"/>
    <n v="43"/>
    <s v="SMB"/>
    <n v="35000"/>
    <n v="101350.83"/>
    <n v="2.8959999999999999"/>
    <s v="Exceeded"/>
    <n v="2024"/>
    <n v="0"/>
  </r>
  <r>
    <s v="SR043"/>
    <x v="4"/>
    <s v="Anita"/>
    <s v="Banerjee"/>
    <s v="anita.banerjee464@techmart.com"/>
    <n v="9642168851"/>
    <s v="East"/>
    <s v="Enterprise Sales"/>
    <s v="1-3 yrs"/>
    <s v="M.Com"/>
    <d v="2023-12-26T00:00:00"/>
    <n v="74528"/>
    <d v="2024-06-01T00:00:00"/>
    <s v="Negotiation"/>
    <n v="185500"/>
    <n v="4.1000000000000002E-2"/>
    <n v="0"/>
    <s v="Walk-in"/>
    <s v="Monitors"/>
    <n v="74"/>
    <s v="Enterprise"/>
    <n v="35000"/>
    <n v="198108.32"/>
    <n v="5.66"/>
    <s v="Exceeded"/>
    <n v="2024"/>
    <n v="0"/>
  </r>
  <r>
    <s v="SR043"/>
    <x v="4"/>
    <s v="Anita"/>
    <s v="Banerjee"/>
    <s v="anita.banerjee464@techmart.com"/>
    <n v="9642168851"/>
    <s v="East"/>
    <s v="Enterprise Sales"/>
    <s v="1-3 yrs"/>
    <s v="M.Com"/>
    <d v="2023-12-26T00:00:00"/>
    <n v="74528"/>
    <d v="2024-07-13T00:00:00"/>
    <s v="Closed Won"/>
    <n v="218600"/>
    <n v="8.8999999999999996E-2"/>
    <n v="19455.400000000001"/>
    <s v="Walk-in"/>
    <s v="Laptops"/>
    <n v="3"/>
    <s v="Enterprise"/>
    <n v="35000"/>
    <n v="175682.07"/>
    <n v="5.0190000000000001"/>
    <s v="Exceeded"/>
    <n v="2024"/>
    <n v="1"/>
  </r>
  <r>
    <s v="SR043"/>
    <x v="4"/>
    <s v="Anita"/>
    <s v="Banerjee"/>
    <s v="anita.banerjee464@techmart.com"/>
    <n v="9642168851"/>
    <s v="East"/>
    <s v="Enterprise Sales"/>
    <s v="1-3 yrs"/>
    <s v="M.Com"/>
    <d v="2023-12-26T00:00:00"/>
    <n v="74528"/>
    <d v="2024-07-29T00:00:00"/>
    <s v="Closed Won"/>
    <n v="207200"/>
    <n v="6.3E-2"/>
    <n v="13053.6"/>
    <s v="Email Campaign"/>
    <s v="Cameras"/>
    <n v="17"/>
    <s v="SMB"/>
    <n v="35000"/>
    <n v="123476.14"/>
    <n v="3.528"/>
    <s v="Exceeded"/>
    <n v="2024"/>
    <n v="1"/>
  </r>
  <r>
    <s v="SR043"/>
    <x v="4"/>
    <s v="Anita"/>
    <s v="Banerjee"/>
    <s v="anita.banerjee464@techmart.com"/>
    <n v="9642168851"/>
    <s v="East"/>
    <s v="Enterprise Sales"/>
    <s v="1-3 yrs"/>
    <s v="M.Com"/>
    <d v="2023-12-26T00:00:00"/>
    <n v="74528"/>
    <d v="2024-08-15T00:00:00"/>
    <s v="Closed Won"/>
    <n v="162700"/>
    <n v="5.6000000000000001E-2"/>
    <n v="9111.2000000000007"/>
    <s v="Email Campaign"/>
    <s v="Monitors"/>
    <n v="90"/>
    <s v="Individual"/>
    <n v="35000"/>
    <n v="169044.04"/>
    <n v="4.83"/>
    <s v="Exceeded"/>
    <n v="2024"/>
    <n v="1"/>
  </r>
  <r>
    <s v="SR043"/>
    <x v="4"/>
    <s v="Anita"/>
    <s v="Banerjee"/>
    <s v="anita.banerjee464@techmart.com"/>
    <n v="9642168851"/>
    <s v="East"/>
    <s v="Enterprise Sales"/>
    <s v="1-3 yrs"/>
    <s v="M.Com"/>
    <d v="2023-12-26T00:00:00"/>
    <n v="74528"/>
    <d v="2024-12-07T00:00:00"/>
    <s v="Closed Lost"/>
    <n v="96300"/>
    <n v="9.8000000000000004E-2"/>
    <n v="0"/>
    <s v="Trade Show"/>
    <s v="Smartphones"/>
    <n v="68"/>
    <s v="Mid-Market"/>
    <n v="35000"/>
    <n v="72622.5"/>
    <n v="2.0750000000000002"/>
    <s v="Exceeded"/>
    <n v="2024"/>
    <n v="0"/>
  </r>
  <r>
    <s v="SR044"/>
    <x v="41"/>
    <s v="Jyoti"/>
    <s v="Sharma"/>
    <s v="jyoti.sharma12@techmart.com"/>
    <n v="9852622392"/>
    <s v="West"/>
    <s v="Direct Sales"/>
    <s v="5-10 yrs"/>
    <s v="MBA"/>
    <d v="2023-03-22T00:00:00"/>
    <n v="40184"/>
    <d v="2023-06-21T00:00:00"/>
    <s v="Closed Lost"/>
    <n v="231700"/>
    <n v="0.104"/>
    <n v="0"/>
    <s v="Trade Show"/>
    <s v="Tablets"/>
    <n v="81"/>
    <s v="Enterprise"/>
    <n v="41666.67"/>
    <n v="192447.88"/>
    <n v="4.6189999999999998"/>
    <s v="Exceeded"/>
    <n v="2023"/>
    <n v="0"/>
  </r>
  <r>
    <s v="SR044"/>
    <x v="41"/>
    <s v="Jyoti"/>
    <s v="Sharma"/>
    <s v="jyoti.sharma12@techmart.com"/>
    <n v="9852622392"/>
    <s v="West"/>
    <s v="Direct Sales"/>
    <s v="5-10 yrs"/>
    <s v="MBA"/>
    <d v="2023-03-22T00:00:00"/>
    <n v="40184"/>
    <d v="2023-07-22T00:00:00"/>
    <s v="Closed Won"/>
    <n v="26700"/>
    <n v="4.1000000000000002E-2"/>
    <n v="1094.7"/>
    <s v="Email Campaign"/>
    <s v="Monitors"/>
    <n v="66"/>
    <s v="SMB"/>
    <n v="41666.67"/>
    <n v="13903.33"/>
    <n v="0.33400000000000002"/>
    <s v="Below Target"/>
    <n v="2023"/>
    <n v="1"/>
  </r>
  <r>
    <s v="SR044"/>
    <x v="41"/>
    <s v="Jyoti"/>
    <s v="Sharma"/>
    <s v="jyoti.sharma12@techmart.com"/>
    <n v="9852622392"/>
    <s v="West"/>
    <s v="Direct Sales"/>
    <s v="5-10 yrs"/>
    <s v="MBA"/>
    <d v="2023-03-22T00:00:00"/>
    <n v="40184"/>
    <d v="2023-08-17T00:00:00"/>
    <s v="Closed Won"/>
    <n v="62200"/>
    <n v="0.10199999999999999"/>
    <n v="6344.4"/>
    <s v="Referral"/>
    <s v="Monitors"/>
    <n v="84"/>
    <s v="Individual"/>
    <n v="41666.67"/>
    <n v="51377.4"/>
    <n v="1.2330000000000001"/>
    <s v="Exceeded"/>
    <n v="2023"/>
    <n v="1"/>
  </r>
  <r>
    <s v="SR044"/>
    <x v="41"/>
    <s v="Jyoti"/>
    <s v="Sharma"/>
    <s v="jyoti.sharma12@techmart.com"/>
    <n v="9852622392"/>
    <s v="West"/>
    <s v="Direct Sales"/>
    <s v="5-10 yrs"/>
    <s v="MBA"/>
    <d v="2023-03-22T00:00:00"/>
    <n v="40184"/>
    <d v="2023-09-10T00:00:00"/>
    <s v="Closed Won"/>
    <n v="30200"/>
    <n v="6.2E-2"/>
    <n v="1872.4"/>
    <s v="Trade Show"/>
    <s v="Laptops"/>
    <n v="7"/>
    <s v="Individual"/>
    <n v="41666.67"/>
    <n v="41743.919999999998"/>
    <n v="1.002"/>
    <s v="Met"/>
    <n v="2023"/>
    <n v="1"/>
  </r>
  <r>
    <s v="SR044"/>
    <x v="41"/>
    <s v="Jyoti"/>
    <s v="Sharma"/>
    <s v="jyoti.sharma12@techmart.com"/>
    <n v="9852622392"/>
    <s v="West"/>
    <s v="Direct Sales"/>
    <s v="5-10 yrs"/>
    <s v="MBA"/>
    <d v="2023-03-22T00:00:00"/>
    <n v="40184"/>
    <d v="2023-11-23T00:00:00"/>
    <s v="Closed Lost"/>
    <n v="133100"/>
    <n v="5.7000000000000002E-2"/>
    <n v="0"/>
    <s v="LinkedIn"/>
    <s v="Laptops"/>
    <n v="84"/>
    <s v="Enterprise"/>
    <n v="41666.67"/>
    <n v="159489.04999999999"/>
    <n v="3.8279999999999998"/>
    <s v="Exceeded"/>
    <n v="2023"/>
    <n v="0"/>
  </r>
  <r>
    <s v="SR044"/>
    <x v="41"/>
    <s v="Jyoti"/>
    <s v="Sharma"/>
    <s v="jyoti.sharma12@techmart.com"/>
    <n v="9852622392"/>
    <s v="West"/>
    <s v="Direct Sales"/>
    <s v="5-10 yrs"/>
    <s v="MBA"/>
    <d v="2023-03-22T00:00:00"/>
    <n v="40184"/>
    <d v="2024-01-27T00:00:00"/>
    <s v="Closed Lost"/>
    <n v="176600"/>
    <n v="4.4999999999999998E-2"/>
    <n v="0"/>
    <s v="Referral"/>
    <s v="Headphones"/>
    <n v="90"/>
    <s v="Enterprise"/>
    <n v="41666.67"/>
    <n v="134564.5"/>
    <n v="3.23"/>
    <s v="Exceeded"/>
    <n v="2024"/>
    <n v="0"/>
  </r>
  <r>
    <s v="SR044"/>
    <x v="41"/>
    <s v="Jyoti"/>
    <s v="Sharma"/>
    <s v="jyoti.sharma12@techmart.com"/>
    <n v="9852622392"/>
    <s v="West"/>
    <s v="Direct Sales"/>
    <s v="5-10 yrs"/>
    <s v="MBA"/>
    <d v="2023-03-22T00:00:00"/>
    <n v="40184"/>
    <d v="2024-03-02T00:00:00"/>
    <s v="Negotiation"/>
    <n v="118700"/>
    <n v="0.11700000000000001"/>
    <n v="0"/>
    <s v="Email Campaign"/>
    <s v="Monitors"/>
    <n v="52"/>
    <s v="SMB"/>
    <n v="41666.67"/>
    <n v="62981.45"/>
    <n v="1.512"/>
    <s v="Exceeded"/>
    <n v="2024"/>
    <n v="0"/>
  </r>
  <r>
    <s v="SR044"/>
    <x v="41"/>
    <s v="Jyoti"/>
    <s v="Sharma"/>
    <s v="jyoti.sharma12@techmart.com"/>
    <n v="9852622392"/>
    <s v="West"/>
    <s v="Direct Sales"/>
    <s v="5-10 yrs"/>
    <s v="MBA"/>
    <d v="2023-03-22T00:00:00"/>
    <n v="40184"/>
    <d v="2024-06-08T00:00:00"/>
    <s v="Closed Won"/>
    <n v="154800"/>
    <n v="4.1000000000000002E-2"/>
    <n v="6346.8"/>
    <s v="Inbound Lead"/>
    <s v="Smartphones"/>
    <n v="69"/>
    <s v="SMB"/>
    <n v="41666.67"/>
    <n v="133870.65"/>
    <n v="3.2130000000000001"/>
    <s v="Exceeded"/>
    <n v="2024"/>
    <n v="1"/>
  </r>
  <r>
    <s v="SR044"/>
    <x v="41"/>
    <s v="Jyoti"/>
    <s v="Sharma"/>
    <s v="jyoti.sharma12@techmart.com"/>
    <n v="9852622392"/>
    <s v="West"/>
    <s v="Direct Sales"/>
    <s v="5-10 yrs"/>
    <s v="MBA"/>
    <d v="2023-03-22T00:00:00"/>
    <n v="40184"/>
    <d v="2024-10-28T00:00:00"/>
    <s v="Negotiation"/>
    <n v="130700"/>
    <n v="5.5E-2"/>
    <n v="0"/>
    <s v="Email Campaign"/>
    <s v="Smartphones"/>
    <n v="76"/>
    <s v="SMB"/>
    <n v="41666.67"/>
    <n v="110515.2"/>
    <n v="2.6520000000000001"/>
    <s v="Exceeded"/>
    <n v="2024"/>
    <n v="0"/>
  </r>
  <r>
    <s v="SR044"/>
    <x v="41"/>
    <s v="Jyoti"/>
    <s v="Sharma"/>
    <s v="jyoti.sharma12@techmart.com"/>
    <n v="9852622392"/>
    <s v="West"/>
    <s v="Direct Sales"/>
    <s v="5-10 yrs"/>
    <s v="MBA"/>
    <d v="2023-03-22T00:00:00"/>
    <n v="40184"/>
    <d v="2024-10-31T00:00:00"/>
    <s v="Closed Won"/>
    <n v="182800"/>
    <n v="0.10100000000000001"/>
    <n v="18462.8"/>
    <s v="Walk-in"/>
    <s v="Laptops"/>
    <n v="49"/>
    <s v="Enterprise"/>
    <n v="41666.67"/>
    <n v="203182.34"/>
    <n v="4.8760000000000003"/>
    <s v="Exceeded"/>
    <n v="2024"/>
    <n v="1"/>
  </r>
  <r>
    <s v="SR045"/>
    <x v="42"/>
    <s v="Suresh"/>
    <s v="Verma"/>
    <s v="suresh.verma79@techmart.com"/>
    <n v="9774354783"/>
    <s v="East"/>
    <s v="Enterprise Sales"/>
    <s v="5-10 yrs"/>
    <s v="BBA"/>
    <d v="2021-09-15T00:00:00"/>
    <n v="54706"/>
    <d v="2022-01-01T00:00:00"/>
    <s v="Closed Won"/>
    <n v="83800"/>
    <n v="3.4000000000000002E-2"/>
    <n v="2849.2"/>
    <s v="LinkedIn"/>
    <s v="Cameras"/>
    <n v="38"/>
    <s v="Enterprise"/>
    <n v="35000"/>
    <n v="52447.87"/>
    <n v="1.4990000000000001"/>
    <s v="Exceeded"/>
    <n v="2022"/>
    <n v="1"/>
  </r>
  <r>
    <s v="SR045"/>
    <x v="42"/>
    <s v="Suresh"/>
    <s v="Verma"/>
    <s v="suresh.verma79@techmart.com"/>
    <n v="9774354783"/>
    <s v="East"/>
    <s v="Enterprise Sales"/>
    <s v="5-10 yrs"/>
    <s v="BBA"/>
    <d v="2021-09-15T00:00:00"/>
    <n v="54706"/>
    <d v="2022-02-10T00:00:00"/>
    <s v="Closed Lost"/>
    <n v="150800"/>
    <n v="0.104"/>
    <n v="0"/>
    <s v="Walk-in"/>
    <s v="Cameras"/>
    <n v="68"/>
    <s v="Enterprise"/>
    <n v="35000"/>
    <n v="84076.81"/>
    <n v="2.4020000000000001"/>
    <s v="Exceeded"/>
    <n v="2022"/>
    <n v="0"/>
  </r>
  <r>
    <s v="SR045"/>
    <x v="42"/>
    <s v="Suresh"/>
    <s v="Verma"/>
    <s v="suresh.verma79@techmart.com"/>
    <n v="9774354783"/>
    <s v="East"/>
    <s v="Enterprise Sales"/>
    <s v="5-10 yrs"/>
    <s v="BBA"/>
    <d v="2021-09-15T00:00:00"/>
    <n v="54706"/>
    <d v="2022-04-02T00:00:00"/>
    <s v="Closed Won"/>
    <n v="14600"/>
    <n v="4.7E-2"/>
    <n v="686.2"/>
    <s v="Inbound Lead"/>
    <s v="Cameras"/>
    <n v="28"/>
    <s v="SMB"/>
    <n v="35000"/>
    <n v="15212.18"/>
    <n v="0.435"/>
    <s v="Below Target"/>
    <n v="2022"/>
    <n v="1"/>
  </r>
  <r>
    <s v="SR045"/>
    <x v="42"/>
    <s v="Suresh"/>
    <s v="Verma"/>
    <s v="suresh.verma79@techmart.com"/>
    <n v="9774354783"/>
    <s v="East"/>
    <s v="Enterprise Sales"/>
    <s v="5-10 yrs"/>
    <s v="BBA"/>
    <d v="2021-09-15T00:00:00"/>
    <n v="54706"/>
    <d v="2022-09-12T00:00:00"/>
    <s v="Closed Won"/>
    <n v="177600"/>
    <n v="0.111"/>
    <n v="19713.599999999999"/>
    <s v="Referral"/>
    <s v="Cameras"/>
    <n v="77"/>
    <s v="SMB"/>
    <n v="35000"/>
    <n v="89650.99"/>
    <n v="2.5609999999999999"/>
    <s v="Exceeded"/>
    <n v="2022"/>
    <n v="1"/>
  </r>
  <r>
    <s v="SR045"/>
    <x v="42"/>
    <s v="Suresh"/>
    <s v="Verma"/>
    <s v="suresh.verma79@techmart.com"/>
    <n v="9774354783"/>
    <s v="East"/>
    <s v="Enterprise Sales"/>
    <s v="5-10 yrs"/>
    <s v="BBA"/>
    <d v="2021-09-15T00:00:00"/>
    <n v="54706"/>
    <d v="2022-10-21T00:00:00"/>
    <s v="Negotiation"/>
    <n v="58400"/>
    <n v="3.5999999999999997E-2"/>
    <n v="0"/>
    <s v="Email Campaign"/>
    <s v="Tablets"/>
    <n v="82"/>
    <s v="SMB"/>
    <n v="35000"/>
    <n v="66751.23"/>
    <n v="1.907"/>
    <s v="Exceeded"/>
    <n v="2022"/>
    <n v="0"/>
  </r>
  <r>
    <s v="SR045"/>
    <x v="42"/>
    <s v="Suresh"/>
    <s v="Verma"/>
    <s v="suresh.verma79@techmart.com"/>
    <n v="9774354783"/>
    <s v="East"/>
    <s v="Enterprise Sales"/>
    <s v="5-10 yrs"/>
    <s v="BBA"/>
    <d v="2021-09-15T00:00:00"/>
    <n v="54706"/>
    <d v="2023-03-19T00:00:00"/>
    <s v="Negotiation"/>
    <n v="99100"/>
    <n v="5.5E-2"/>
    <n v="0"/>
    <s v="Email Campaign"/>
    <s v="Smart TVs"/>
    <n v="55"/>
    <s v="Individual"/>
    <n v="35000"/>
    <n v="98591"/>
    <n v="2.8170000000000002"/>
    <s v="Exceeded"/>
    <n v="2023"/>
    <n v="0"/>
  </r>
  <r>
    <s v="SR045"/>
    <x v="42"/>
    <s v="Suresh"/>
    <s v="Verma"/>
    <s v="suresh.verma79@techmart.com"/>
    <n v="9774354783"/>
    <s v="East"/>
    <s v="Enterprise Sales"/>
    <s v="5-10 yrs"/>
    <s v="BBA"/>
    <d v="2021-09-15T00:00:00"/>
    <n v="54706"/>
    <d v="2023-06-10T00:00:00"/>
    <s v="Closed Won"/>
    <n v="27200"/>
    <n v="0.11799999999999999"/>
    <n v="3209.6"/>
    <s v="LinkedIn"/>
    <s v="Tablets"/>
    <n v="47"/>
    <s v="SMB"/>
    <n v="35000"/>
    <n v="23956.3"/>
    <n v="0.68400000000000005"/>
    <s v="Below Target"/>
    <n v="2023"/>
    <n v="1"/>
  </r>
  <r>
    <s v="SR045"/>
    <x v="42"/>
    <s v="Suresh"/>
    <s v="Verma"/>
    <s v="suresh.verma79@techmart.com"/>
    <n v="9774354783"/>
    <s v="East"/>
    <s v="Enterprise Sales"/>
    <s v="5-10 yrs"/>
    <s v="BBA"/>
    <d v="2021-09-15T00:00:00"/>
    <n v="54706"/>
    <d v="2023-06-18T00:00:00"/>
    <s v="Closed Lost"/>
    <n v="175300"/>
    <n v="0.111"/>
    <n v="0"/>
    <s v="Trade Show"/>
    <s v="Headphones"/>
    <n v="11"/>
    <s v="Mid-Market"/>
    <n v="35000"/>
    <n v="194385.46"/>
    <n v="5.5540000000000003"/>
    <s v="Exceeded"/>
    <n v="2023"/>
    <n v="0"/>
  </r>
  <r>
    <s v="SR045"/>
    <x v="42"/>
    <s v="Suresh"/>
    <s v="Verma"/>
    <s v="suresh.verma79@techmart.com"/>
    <n v="9774354783"/>
    <s v="East"/>
    <s v="Enterprise Sales"/>
    <s v="5-10 yrs"/>
    <s v="BBA"/>
    <d v="2021-09-15T00:00:00"/>
    <n v="54706"/>
    <d v="2024-07-04T00:00:00"/>
    <s v="Closed Won"/>
    <n v="37300"/>
    <n v="3.4000000000000002E-2"/>
    <n v="1268.2"/>
    <s v="LinkedIn"/>
    <s v="Laptops"/>
    <n v="84"/>
    <s v="SMB"/>
    <n v="35000"/>
    <n v="21598.15"/>
    <n v="0.61699999999999999"/>
    <s v="Below Target"/>
    <n v="2024"/>
    <n v="1"/>
  </r>
  <r>
    <s v="SR045"/>
    <x v="42"/>
    <s v="Suresh"/>
    <s v="Verma"/>
    <s v="suresh.verma79@techmart.com"/>
    <n v="9774354783"/>
    <s v="East"/>
    <s v="Enterprise Sales"/>
    <s v="5-10 yrs"/>
    <s v="BBA"/>
    <d v="2021-09-15T00:00:00"/>
    <n v="54706"/>
    <d v="2024-10-01T00:00:00"/>
    <s v="Proposal Sent"/>
    <n v="87000"/>
    <n v="7.6999999999999999E-2"/>
    <n v="0"/>
    <s v="Inbound Lead"/>
    <s v="Smart TVs"/>
    <n v="69"/>
    <s v="SMB"/>
    <n v="35000"/>
    <n v="97364.94"/>
    <n v="2.782"/>
    <s v="Exceeded"/>
    <n v="2024"/>
    <n v="0"/>
  </r>
  <r>
    <s v="SR046"/>
    <x v="43"/>
    <s v="Usha"/>
    <s v="Rao"/>
    <s v="usha.rao9@techmart.com"/>
    <n v="9691698380"/>
    <s v="West"/>
    <s v="Direct Sales"/>
    <s v="3-5 yrs"/>
    <s v="B.Tech"/>
    <d v="2023-03-05T00:00:00"/>
    <n v="43498"/>
    <d v="2023-10-22T00:00:00"/>
    <s v="Closed Won"/>
    <n v="7600"/>
    <n v="3.9E-2"/>
    <n v="296.39999999999998"/>
    <s v="Referral"/>
    <s v="Headphones"/>
    <n v="14"/>
    <s v="Individual"/>
    <n v="41666.67"/>
    <n v="5002"/>
    <n v="0.12"/>
    <s v="Below Target"/>
    <n v="2023"/>
    <n v="1"/>
  </r>
  <r>
    <s v="SR046"/>
    <x v="43"/>
    <s v="Usha"/>
    <s v="Rao"/>
    <s v="usha.rao9@techmart.com"/>
    <n v="9691698380"/>
    <s v="West"/>
    <s v="Direct Sales"/>
    <s v="3-5 yrs"/>
    <s v="B.Tech"/>
    <d v="2023-03-05T00:00:00"/>
    <n v="43498"/>
    <d v="2024-01-12T00:00:00"/>
    <s v="Negotiation"/>
    <n v="220300"/>
    <n v="0.10299999999999999"/>
    <n v="0"/>
    <s v="Cold Call"/>
    <s v="Smart TVs"/>
    <n v="45"/>
    <s v="Mid-Market"/>
    <n v="41666.67"/>
    <n v="219504.28"/>
    <n v="5.2679999999999998"/>
    <s v="Exceeded"/>
    <n v="2024"/>
    <n v="0"/>
  </r>
  <r>
    <s v="SR046"/>
    <x v="43"/>
    <s v="Usha"/>
    <s v="Rao"/>
    <s v="usha.rao9@techmart.com"/>
    <n v="9691698380"/>
    <s v="West"/>
    <s v="Direct Sales"/>
    <s v="3-5 yrs"/>
    <s v="B.Tech"/>
    <d v="2023-03-05T00:00:00"/>
    <n v="43498"/>
    <d v="2024-03-01T00:00:00"/>
    <s v="Closed Lost"/>
    <n v="136700"/>
    <n v="5.6000000000000001E-2"/>
    <n v="0"/>
    <s v="Trade Show"/>
    <s v="Smart TVs"/>
    <n v="30"/>
    <s v="Mid-Market"/>
    <n v="41666.67"/>
    <n v="146552.20000000001"/>
    <n v="3.5169999999999999"/>
    <s v="Exceeded"/>
    <n v="2024"/>
    <n v="0"/>
  </r>
  <r>
    <s v="SR046"/>
    <x v="43"/>
    <s v="Usha"/>
    <s v="Rao"/>
    <s v="usha.rao9@techmart.com"/>
    <n v="9691698380"/>
    <s v="West"/>
    <s v="Direct Sales"/>
    <s v="3-5 yrs"/>
    <s v="B.Tech"/>
    <d v="2023-03-05T00:00:00"/>
    <n v="43498"/>
    <d v="2024-05-22T00:00:00"/>
    <s v="Closed Lost"/>
    <n v="11800"/>
    <n v="0.11700000000000001"/>
    <n v="0"/>
    <s v="Referral"/>
    <s v="Smartphones"/>
    <n v="35"/>
    <s v="Individual"/>
    <n v="41666.67"/>
    <n v="11544.21"/>
    <n v="0.27700000000000002"/>
    <s v="Below Target"/>
    <n v="2024"/>
    <n v="0"/>
  </r>
  <r>
    <s v="SR046"/>
    <x v="43"/>
    <s v="Usha"/>
    <s v="Rao"/>
    <s v="usha.rao9@techmart.com"/>
    <n v="9691698380"/>
    <s v="West"/>
    <s v="Direct Sales"/>
    <s v="3-5 yrs"/>
    <s v="B.Tech"/>
    <d v="2023-03-05T00:00:00"/>
    <n v="43498"/>
    <d v="2024-08-11T00:00:00"/>
    <s v="Proposal Sent"/>
    <n v="45800"/>
    <n v="8.8999999999999996E-2"/>
    <n v="0"/>
    <s v="Referral"/>
    <s v="Headphones"/>
    <n v="73"/>
    <s v="Mid-Market"/>
    <n v="41666.67"/>
    <n v="25079.08"/>
    <n v="0.60199999999999998"/>
    <s v="Below Target"/>
    <n v="2024"/>
    <n v="0"/>
  </r>
  <r>
    <s v="SR046"/>
    <x v="43"/>
    <s v="Usha"/>
    <s v="Rao"/>
    <s v="usha.rao9@techmart.com"/>
    <n v="9691698380"/>
    <s v="West"/>
    <s v="Direct Sales"/>
    <s v="3-5 yrs"/>
    <s v="B.Tech"/>
    <d v="2023-03-05T00:00:00"/>
    <n v="43498"/>
    <d v="2024-08-30T00:00:00"/>
    <s v="Negotiation"/>
    <n v="160900"/>
    <n v="0.109"/>
    <n v="0"/>
    <s v="Trade Show"/>
    <s v="Headphones"/>
    <n v="76"/>
    <s v="SMB"/>
    <n v="41666.67"/>
    <n v="117964.63"/>
    <n v="2.831"/>
    <s v="Exceeded"/>
    <n v="2024"/>
    <n v="0"/>
  </r>
  <r>
    <s v="SR046"/>
    <x v="43"/>
    <s v="Usha"/>
    <s v="Rao"/>
    <s v="usha.rao9@techmart.com"/>
    <n v="9691698380"/>
    <s v="West"/>
    <s v="Direct Sales"/>
    <s v="3-5 yrs"/>
    <s v="B.Tech"/>
    <d v="2023-03-05T00:00:00"/>
    <n v="43498"/>
    <d v="2024-09-16T00:00:00"/>
    <s v="Closed Lost"/>
    <n v="22300"/>
    <n v="0.06"/>
    <n v="0"/>
    <s v="Cold Call"/>
    <s v="Tablets"/>
    <n v="43"/>
    <s v="Mid-Market"/>
    <n v="41666.67"/>
    <n v="14086.84"/>
    <n v="0.33800000000000002"/>
    <s v="Below Target"/>
    <n v="2024"/>
    <n v="0"/>
  </r>
  <r>
    <s v="SR046"/>
    <x v="43"/>
    <s v="Usha"/>
    <s v="Rao"/>
    <s v="usha.rao9@techmart.com"/>
    <n v="9691698380"/>
    <s v="West"/>
    <s v="Direct Sales"/>
    <s v="3-5 yrs"/>
    <s v="B.Tech"/>
    <d v="2023-03-05T00:00:00"/>
    <n v="43498"/>
    <d v="2024-10-02T00:00:00"/>
    <s v="Proposal Sent"/>
    <n v="174800"/>
    <n v="0.104"/>
    <n v="0"/>
    <s v="LinkedIn"/>
    <s v="Laptops"/>
    <n v="54"/>
    <s v="SMB"/>
    <n v="41666.67"/>
    <n v="137169.81"/>
    <n v="3.2919999999999998"/>
    <s v="Exceeded"/>
    <n v="2024"/>
    <n v="0"/>
  </r>
  <r>
    <s v="SR046"/>
    <x v="43"/>
    <s v="Usha"/>
    <s v="Rao"/>
    <s v="usha.rao9@techmart.com"/>
    <n v="9691698380"/>
    <s v="West"/>
    <s v="Direct Sales"/>
    <s v="3-5 yrs"/>
    <s v="B.Tech"/>
    <d v="2023-03-05T00:00:00"/>
    <n v="43498"/>
    <d v="2024-11-16T00:00:00"/>
    <s v="Closed Won"/>
    <n v="240000"/>
    <n v="3.4000000000000002E-2"/>
    <n v="8160"/>
    <s v="Inbound Lead"/>
    <s v="Cameras"/>
    <n v="50"/>
    <s v="SMB"/>
    <n v="41666.67"/>
    <n v="194557.34"/>
    <n v="4.6689999999999996"/>
    <s v="Exceeded"/>
    <n v="2024"/>
    <n v="1"/>
  </r>
  <r>
    <s v="SR046"/>
    <x v="43"/>
    <s v="Usha"/>
    <s v="Rao"/>
    <s v="usha.rao9@techmart.com"/>
    <n v="9691698380"/>
    <s v="West"/>
    <s v="Direct Sales"/>
    <s v="3-5 yrs"/>
    <s v="B.Tech"/>
    <d v="2023-03-05T00:00:00"/>
    <n v="43498"/>
    <d v="2024-12-18T00:00:00"/>
    <s v="Closed Won"/>
    <n v="190500"/>
    <n v="0.1"/>
    <n v="19050"/>
    <s v="Email Campaign"/>
    <s v="Smart TVs"/>
    <n v="54"/>
    <s v="Enterprise"/>
    <n v="41666.67"/>
    <n v="126643.27"/>
    <n v="3.0390000000000001"/>
    <s v="Exceeded"/>
    <n v="2024"/>
    <n v="1"/>
  </r>
  <r>
    <s v="SR047"/>
    <x v="22"/>
    <s v="Arun"/>
    <s v="Sharma"/>
    <s v="arun.sharma66@techmart.com"/>
    <n v="9762198432"/>
    <s v="North"/>
    <s v="Online Sales"/>
    <s v="0-1 yr"/>
    <s v="MBA"/>
    <d v="2018-10-18T00:00:00"/>
    <n v="59914"/>
    <d v="2022-01-22T00:00:00"/>
    <s v="Closed Lost"/>
    <n v="182500"/>
    <n v="7.5999999999999998E-2"/>
    <n v="0"/>
    <s v="Email Campaign"/>
    <s v="Laptops"/>
    <n v="62"/>
    <s v="Enterprise"/>
    <n v="37500"/>
    <n v="175840.64000000001"/>
    <n v="4.6890000000000001"/>
    <s v="Exceeded"/>
    <n v="2022"/>
    <n v="0"/>
  </r>
  <r>
    <s v="SR047"/>
    <x v="22"/>
    <s v="Arun"/>
    <s v="Sharma"/>
    <s v="arun.sharma66@techmart.com"/>
    <n v="9762198432"/>
    <s v="North"/>
    <s v="Online Sales"/>
    <s v="0-1 yr"/>
    <s v="MBA"/>
    <d v="2018-10-18T00:00:00"/>
    <n v="59914"/>
    <d v="2022-06-28T00:00:00"/>
    <s v="Closed Won"/>
    <n v="111600"/>
    <n v="9.9000000000000005E-2"/>
    <n v="11048.4"/>
    <s v="Walk-in"/>
    <s v="Smartphones"/>
    <n v="82"/>
    <s v="Individual"/>
    <n v="37500"/>
    <n v="63503.07"/>
    <n v="1.6930000000000001"/>
    <s v="Exceeded"/>
    <n v="2022"/>
    <n v="1"/>
  </r>
  <r>
    <s v="SR047"/>
    <x v="22"/>
    <s v="Arun"/>
    <s v="Sharma"/>
    <s v="arun.sharma66@techmart.com"/>
    <n v="9762198432"/>
    <s v="North"/>
    <s v="Online Sales"/>
    <s v="0-1 yr"/>
    <s v="MBA"/>
    <d v="2018-10-18T00:00:00"/>
    <n v="59914"/>
    <d v="2022-08-20T00:00:00"/>
    <s v="Closed Won"/>
    <n v="244600"/>
    <n v="9.0999999999999998E-2"/>
    <n v="22258.6"/>
    <s v="Walk-in"/>
    <s v="Smart TVs"/>
    <n v="16"/>
    <s v="Mid-Market"/>
    <n v="37500"/>
    <n v="188161.04"/>
    <n v="5.0179999999999998"/>
    <s v="Exceeded"/>
    <n v="2022"/>
    <n v="1"/>
  </r>
  <r>
    <s v="SR047"/>
    <x v="22"/>
    <s v="Arun"/>
    <s v="Sharma"/>
    <s v="arun.sharma66@techmart.com"/>
    <n v="9762198432"/>
    <s v="North"/>
    <s v="Online Sales"/>
    <s v="0-1 yr"/>
    <s v="MBA"/>
    <d v="2018-10-18T00:00:00"/>
    <n v="59914"/>
    <d v="2022-10-01T00:00:00"/>
    <s v="Negotiation"/>
    <n v="97600"/>
    <n v="0.11600000000000001"/>
    <n v="0"/>
    <s v="Trade Show"/>
    <s v="Headphones"/>
    <n v="49"/>
    <s v="SMB"/>
    <n v="37500"/>
    <n v="81589.240000000005"/>
    <n v="2.1760000000000002"/>
    <s v="Exceeded"/>
    <n v="2022"/>
    <n v="0"/>
  </r>
  <r>
    <s v="SR047"/>
    <x v="22"/>
    <s v="Arun"/>
    <s v="Sharma"/>
    <s v="arun.sharma66@techmart.com"/>
    <n v="9762198432"/>
    <s v="North"/>
    <s v="Online Sales"/>
    <s v="0-1 yr"/>
    <s v="MBA"/>
    <d v="2018-10-18T00:00:00"/>
    <n v="59914"/>
    <d v="2022-12-12T00:00:00"/>
    <s v="Proposal Sent"/>
    <n v="248800"/>
    <n v="0.109"/>
    <n v="0"/>
    <s v="LinkedIn"/>
    <s v="Laptops"/>
    <n v="23"/>
    <s v="Individual"/>
    <n v="37500"/>
    <n v="206590.05"/>
    <n v="5.5090000000000003"/>
    <s v="Exceeded"/>
    <n v="2022"/>
    <n v="0"/>
  </r>
  <r>
    <s v="SR047"/>
    <x v="22"/>
    <s v="Arun"/>
    <s v="Sharma"/>
    <s v="arun.sharma66@techmart.com"/>
    <n v="9762198432"/>
    <s v="North"/>
    <s v="Online Sales"/>
    <s v="0-1 yr"/>
    <s v="MBA"/>
    <d v="2018-10-18T00:00:00"/>
    <n v="59914"/>
    <d v="2023-05-07T00:00:00"/>
    <s v="Closed Won"/>
    <n v="48300"/>
    <n v="8.2000000000000003E-2"/>
    <n v="3960.6"/>
    <s v="Cold Call"/>
    <s v="Monitors"/>
    <n v="37"/>
    <s v="Enterprise"/>
    <n v="37500"/>
    <n v="59288.84"/>
    <n v="1.581"/>
    <s v="Exceeded"/>
    <n v="2023"/>
    <n v="1"/>
  </r>
  <r>
    <s v="SR047"/>
    <x v="22"/>
    <s v="Arun"/>
    <s v="Sharma"/>
    <s v="arun.sharma66@techmart.com"/>
    <n v="9762198432"/>
    <s v="North"/>
    <s v="Online Sales"/>
    <s v="0-1 yr"/>
    <s v="MBA"/>
    <d v="2018-10-18T00:00:00"/>
    <n v="59914"/>
    <d v="2023-08-25T00:00:00"/>
    <s v="Closed Won"/>
    <n v="60900"/>
    <n v="0.03"/>
    <n v="1827"/>
    <s v="Email Campaign"/>
    <s v="Smart TVs"/>
    <n v="51"/>
    <s v="SMB"/>
    <n v="37500"/>
    <n v="81042.720000000001"/>
    <n v="2.161"/>
    <s v="Exceeded"/>
    <n v="2023"/>
    <n v="1"/>
  </r>
  <r>
    <s v="SR047"/>
    <x v="22"/>
    <s v="Arun"/>
    <s v="Sharma"/>
    <s v="arun.sharma66@techmart.com"/>
    <n v="9762198432"/>
    <s v="North"/>
    <s v="Online Sales"/>
    <s v="0-1 yr"/>
    <s v="MBA"/>
    <d v="2018-10-18T00:00:00"/>
    <n v="59914"/>
    <d v="2023-12-08T00:00:00"/>
    <s v="Closed Won"/>
    <n v="198700"/>
    <n v="0.09"/>
    <n v="17883"/>
    <s v="Walk-in"/>
    <s v="Smart TVs"/>
    <n v="88"/>
    <s v="Individual"/>
    <n v="37500"/>
    <n v="207966.61"/>
    <n v="5.5460000000000003"/>
    <s v="Exceeded"/>
    <n v="2023"/>
    <n v="1"/>
  </r>
  <r>
    <s v="SR047"/>
    <x v="22"/>
    <s v="Arun"/>
    <s v="Sharma"/>
    <s v="arun.sharma66@techmart.com"/>
    <n v="9762198432"/>
    <s v="North"/>
    <s v="Online Sales"/>
    <s v="0-1 yr"/>
    <s v="MBA"/>
    <d v="2018-10-18T00:00:00"/>
    <n v="59914"/>
    <d v="2024-11-21T00:00:00"/>
    <s v="Closed Won"/>
    <n v="126400"/>
    <n v="0.11"/>
    <n v="13904"/>
    <s v="Walk-in"/>
    <s v="Headphones"/>
    <n v="8"/>
    <s v="Mid-Market"/>
    <n v="37500"/>
    <n v="63870.17"/>
    <n v="1.7030000000000001"/>
    <s v="Exceeded"/>
    <n v="2024"/>
    <n v="1"/>
  </r>
  <r>
    <s v="SR047"/>
    <x v="22"/>
    <s v="Arun"/>
    <s v="Sharma"/>
    <s v="arun.sharma66@techmart.com"/>
    <n v="9762198432"/>
    <s v="North"/>
    <s v="Online Sales"/>
    <s v="0-1 yr"/>
    <s v="MBA"/>
    <d v="2018-10-18T00:00:00"/>
    <n v="59914"/>
    <d v="2024-12-26T00:00:00"/>
    <s v="Proposal Sent"/>
    <n v="37700"/>
    <n v="6.6000000000000003E-2"/>
    <n v="0"/>
    <s v="LinkedIn"/>
    <s v="Laptops"/>
    <n v="1"/>
    <s v="Enterprise"/>
    <n v="37500"/>
    <n v="42688.94"/>
    <n v="1.1379999999999999"/>
    <s v="Exceeded"/>
    <n v="2024"/>
    <n v="0"/>
  </r>
  <r>
    <s v="SR048"/>
    <x v="44"/>
    <s v="Jyoti"/>
    <s v="Dubey"/>
    <s v="jyoti.dubey76@techmart.com"/>
    <n v="9858972921"/>
    <s v="West"/>
    <s v="Channel Sales"/>
    <s v="10+ yrs"/>
    <s v="BBA"/>
    <d v="2019-10-14T00:00:00"/>
    <n v="50153"/>
    <d v="2022-07-27T00:00:00"/>
    <s v="Closed Lost"/>
    <n v="134000"/>
    <n v="4.8000000000000001E-2"/>
    <n v="0"/>
    <s v="LinkedIn"/>
    <s v="Smart TVs"/>
    <n v="20"/>
    <s v="Enterprise"/>
    <n v="41666.67"/>
    <n v="81935.42"/>
    <n v="1.966"/>
    <s v="Exceeded"/>
    <n v="2022"/>
    <n v="0"/>
  </r>
  <r>
    <s v="SR048"/>
    <x v="44"/>
    <s v="Jyoti"/>
    <s v="Dubey"/>
    <s v="jyoti.dubey76@techmart.com"/>
    <n v="9858972921"/>
    <s v="West"/>
    <s v="Channel Sales"/>
    <s v="10+ yrs"/>
    <s v="BBA"/>
    <d v="2019-10-14T00:00:00"/>
    <n v="50153"/>
    <d v="2022-08-09T00:00:00"/>
    <s v="Closed Won"/>
    <n v="38100"/>
    <n v="4.3999999999999997E-2"/>
    <n v="1676.4"/>
    <s v="LinkedIn"/>
    <s v="Smartphones"/>
    <n v="88"/>
    <s v="SMB"/>
    <n v="41666.67"/>
    <n v="20834.45"/>
    <n v="0.5"/>
    <s v="Below Target"/>
    <n v="2022"/>
    <n v="1"/>
  </r>
  <r>
    <s v="SR048"/>
    <x v="44"/>
    <s v="Jyoti"/>
    <s v="Dubey"/>
    <s v="jyoti.dubey76@techmart.com"/>
    <n v="9858972921"/>
    <s v="West"/>
    <s v="Channel Sales"/>
    <s v="10+ yrs"/>
    <s v="BBA"/>
    <d v="2019-10-14T00:00:00"/>
    <n v="50153"/>
    <d v="2023-08-07T00:00:00"/>
    <s v="Closed Won"/>
    <n v="40000"/>
    <n v="6.6000000000000003E-2"/>
    <n v="2640"/>
    <s v="Email Campaign"/>
    <s v="Tablets"/>
    <n v="5"/>
    <s v="SMB"/>
    <n v="41666.67"/>
    <n v="43983.37"/>
    <n v="1.056"/>
    <s v="Met"/>
    <n v="2023"/>
    <n v="1"/>
  </r>
  <r>
    <s v="SR048"/>
    <x v="44"/>
    <s v="Jyoti"/>
    <s v="Dubey"/>
    <s v="jyoti.dubey76@techmart.com"/>
    <n v="9858972921"/>
    <s v="West"/>
    <s v="Channel Sales"/>
    <s v="10+ yrs"/>
    <s v="BBA"/>
    <d v="2019-10-14T00:00:00"/>
    <n v="50153"/>
    <d v="2023-12-02T00:00:00"/>
    <s v="Closed Lost"/>
    <n v="161500"/>
    <n v="9.6000000000000002E-2"/>
    <n v="0"/>
    <s v="Trade Show"/>
    <s v="Headphones"/>
    <n v="38"/>
    <s v="Mid-Market"/>
    <n v="41666.67"/>
    <n v="151379.82"/>
    <n v="3.633"/>
    <s v="Exceeded"/>
    <n v="2023"/>
    <n v="0"/>
  </r>
  <r>
    <s v="SR048"/>
    <x v="44"/>
    <s v="Jyoti"/>
    <s v="Dubey"/>
    <s v="jyoti.dubey76@techmart.com"/>
    <n v="9858972921"/>
    <s v="West"/>
    <s v="Channel Sales"/>
    <s v="10+ yrs"/>
    <s v="BBA"/>
    <d v="2019-10-14T00:00:00"/>
    <n v="50153"/>
    <d v="2024-01-17T00:00:00"/>
    <s v="Closed Lost"/>
    <n v="238900"/>
    <n v="4.5999999999999999E-2"/>
    <n v="0"/>
    <s v="Walk-in"/>
    <s v="Tablets"/>
    <n v="14"/>
    <s v="Enterprise"/>
    <n v="41666.67"/>
    <n v="260556.69"/>
    <n v="6.2530000000000001"/>
    <s v="Exceeded"/>
    <n v="2024"/>
    <n v="0"/>
  </r>
  <r>
    <s v="SR048"/>
    <x v="44"/>
    <s v="Jyoti"/>
    <s v="Dubey"/>
    <s v="jyoti.dubey76@techmart.com"/>
    <n v="9858972921"/>
    <s v="West"/>
    <s v="Channel Sales"/>
    <s v="10+ yrs"/>
    <s v="BBA"/>
    <d v="2019-10-14T00:00:00"/>
    <n v="50153"/>
    <d v="2024-03-29T00:00:00"/>
    <s v="Negotiation"/>
    <n v="195300"/>
    <n v="0.113"/>
    <n v="0"/>
    <s v="Walk-in"/>
    <s v="Cameras"/>
    <n v="50"/>
    <s v="SMB"/>
    <n v="41666.67"/>
    <n v="116937.73"/>
    <n v="2.8069999999999999"/>
    <s v="Exceeded"/>
    <n v="2024"/>
    <n v="0"/>
  </r>
  <r>
    <s v="SR048"/>
    <x v="44"/>
    <s v="Jyoti"/>
    <s v="Dubey"/>
    <s v="jyoti.dubey76@techmart.com"/>
    <n v="9858972921"/>
    <s v="West"/>
    <s v="Channel Sales"/>
    <s v="10+ yrs"/>
    <s v="BBA"/>
    <d v="2019-10-14T00:00:00"/>
    <n v="50153"/>
    <d v="2024-06-18T00:00:00"/>
    <s v="Closed Won"/>
    <n v="41700"/>
    <n v="6.2E-2"/>
    <n v="2585.4"/>
    <s v="Trade Show"/>
    <s v="Smartphones"/>
    <n v="46"/>
    <s v="SMB"/>
    <n v="41666.67"/>
    <n v="25003.279999999999"/>
    <n v="0.6"/>
    <s v="Below Target"/>
    <n v="2024"/>
    <n v="1"/>
  </r>
  <r>
    <s v="SR048"/>
    <x v="44"/>
    <s v="Jyoti"/>
    <s v="Dubey"/>
    <s v="jyoti.dubey76@techmart.com"/>
    <n v="9858972921"/>
    <s v="West"/>
    <s v="Channel Sales"/>
    <s v="10+ yrs"/>
    <s v="BBA"/>
    <d v="2019-10-14T00:00:00"/>
    <n v="50153"/>
    <d v="2024-07-31T00:00:00"/>
    <s v="Closed Won"/>
    <n v="83200"/>
    <n v="6.2E-2"/>
    <n v="5158.3999999999996"/>
    <s v="Cold Call"/>
    <s v="Tablets"/>
    <n v="24"/>
    <s v="Enterprise"/>
    <n v="41666.67"/>
    <n v="68147.38"/>
    <n v="1.6359999999999999"/>
    <s v="Exceeded"/>
    <n v="2024"/>
    <n v="1"/>
  </r>
  <r>
    <s v="SR048"/>
    <x v="44"/>
    <s v="Jyoti"/>
    <s v="Dubey"/>
    <s v="jyoti.dubey76@techmart.com"/>
    <n v="9858972921"/>
    <s v="West"/>
    <s v="Channel Sales"/>
    <s v="10+ yrs"/>
    <s v="BBA"/>
    <d v="2019-10-14T00:00:00"/>
    <n v="50153"/>
    <d v="2024-09-08T00:00:00"/>
    <s v="Proposal Sent"/>
    <n v="74700"/>
    <n v="4.1000000000000002E-2"/>
    <n v="0"/>
    <s v="Trade Show"/>
    <s v="Smart TVs"/>
    <n v="64"/>
    <s v="SMB"/>
    <n v="41666.67"/>
    <n v="59192.2"/>
    <n v="1.421"/>
    <s v="Exceeded"/>
    <n v="2024"/>
    <n v="0"/>
  </r>
  <r>
    <s v="SR048"/>
    <x v="44"/>
    <s v="Jyoti"/>
    <s v="Dubey"/>
    <s v="jyoti.dubey76@techmart.com"/>
    <n v="9858972921"/>
    <s v="West"/>
    <s v="Channel Sales"/>
    <s v="10+ yrs"/>
    <s v="BBA"/>
    <d v="2019-10-14T00:00:00"/>
    <n v="50153"/>
    <d v="2024-09-25T00:00:00"/>
    <s v="Closed Won"/>
    <n v="45800"/>
    <n v="9.9000000000000005E-2"/>
    <n v="4534.2"/>
    <s v="Inbound Lead"/>
    <s v="Laptops"/>
    <n v="61"/>
    <s v="Enterprise"/>
    <n v="41666.67"/>
    <n v="38329.040000000001"/>
    <n v="0.92"/>
    <s v="Met"/>
    <n v="2024"/>
    <n v="1"/>
  </r>
  <r>
    <s v="SR049"/>
    <x v="45"/>
    <s v="Vikram"/>
    <s v="Chopra"/>
    <s v="vikram.chopra27@techmart.com"/>
    <n v="9892340643"/>
    <s v="Central"/>
    <s v="Online Sales"/>
    <s v="5-10 yrs"/>
    <s v="B.Sc"/>
    <d v="2021-11-02T00:00:00"/>
    <n v="70490"/>
    <d v="2022-07-06T00:00:00"/>
    <s v="Closed Won"/>
    <n v="104700"/>
    <n v="6.7000000000000004E-2"/>
    <n v="7014.9"/>
    <s v="Inbound Lead"/>
    <s v="Monitors"/>
    <n v="82"/>
    <s v="SMB"/>
    <n v="33333.33"/>
    <n v="73247.88"/>
    <n v="2.1970000000000001"/>
    <s v="Exceeded"/>
    <n v="2022"/>
    <n v="1"/>
  </r>
  <r>
    <s v="SR049"/>
    <x v="45"/>
    <s v="Vikram"/>
    <s v="Chopra"/>
    <s v="vikram.chopra27@techmart.com"/>
    <n v="9892340643"/>
    <s v="Central"/>
    <s v="Online Sales"/>
    <s v="5-10 yrs"/>
    <s v="B.Sc"/>
    <d v="2021-11-02T00:00:00"/>
    <n v="70490"/>
    <d v="2022-09-28T00:00:00"/>
    <s v="Closed Lost"/>
    <n v="15100"/>
    <n v="5.5E-2"/>
    <n v="0"/>
    <s v="Referral"/>
    <s v="Laptops"/>
    <n v="55"/>
    <s v="Individual"/>
    <n v="33333.33"/>
    <n v="15927.79"/>
    <n v="0.47799999999999998"/>
    <s v="Below Target"/>
    <n v="2022"/>
    <n v="0"/>
  </r>
  <r>
    <s v="SR049"/>
    <x v="45"/>
    <s v="Vikram"/>
    <s v="Chopra"/>
    <s v="vikram.chopra27@techmart.com"/>
    <n v="9892340643"/>
    <s v="Central"/>
    <s v="Online Sales"/>
    <s v="5-10 yrs"/>
    <s v="B.Sc"/>
    <d v="2021-11-02T00:00:00"/>
    <n v="70490"/>
    <d v="2023-06-24T00:00:00"/>
    <s v="Proposal Sent"/>
    <n v="69800"/>
    <n v="0.09"/>
    <n v="0"/>
    <s v="Trade Show"/>
    <s v="Laptops"/>
    <n v="61"/>
    <s v="Individual"/>
    <n v="33333.33"/>
    <n v="78945.929999999993"/>
    <n v="2.3679999999999999"/>
    <s v="Exceeded"/>
    <n v="2023"/>
    <n v="0"/>
  </r>
  <r>
    <s v="SR049"/>
    <x v="45"/>
    <s v="Vikram"/>
    <s v="Chopra"/>
    <s v="vikram.chopra27@techmart.com"/>
    <n v="9892340643"/>
    <s v="Central"/>
    <s v="Online Sales"/>
    <s v="5-10 yrs"/>
    <s v="B.Sc"/>
    <d v="2021-11-02T00:00:00"/>
    <n v="70490"/>
    <d v="2023-07-29T00:00:00"/>
    <s v="Closed Won"/>
    <n v="191500"/>
    <n v="6.8000000000000005E-2"/>
    <n v="13022"/>
    <s v="Inbound Lead"/>
    <s v="Smartphones"/>
    <n v="24"/>
    <s v="Individual"/>
    <n v="33333.33"/>
    <n v="95842.37"/>
    <n v="2.875"/>
    <s v="Exceeded"/>
    <n v="2023"/>
    <n v="1"/>
  </r>
  <r>
    <s v="SR049"/>
    <x v="45"/>
    <s v="Vikram"/>
    <s v="Chopra"/>
    <s v="vikram.chopra27@techmart.com"/>
    <n v="9892340643"/>
    <s v="Central"/>
    <s v="Online Sales"/>
    <s v="5-10 yrs"/>
    <s v="B.Sc"/>
    <d v="2021-11-02T00:00:00"/>
    <n v="70490"/>
    <d v="2023-10-21T00:00:00"/>
    <s v="Closed Won"/>
    <n v="79800"/>
    <n v="7.1999999999999995E-2"/>
    <n v="5745.6"/>
    <s v="LinkedIn"/>
    <s v="Smartphones"/>
    <n v="56"/>
    <s v="SMB"/>
    <n v="33333.33"/>
    <n v="58017.53"/>
    <n v="1.7410000000000001"/>
    <s v="Exceeded"/>
    <n v="2023"/>
    <n v="1"/>
  </r>
  <r>
    <s v="SR049"/>
    <x v="45"/>
    <s v="Vikram"/>
    <s v="Chopra"/>
    <s v="vikram.chopra27@techmart.com"/>
    <n v="9892340643"/>
    <s v="Central"/>
    <s v="Online Sales"/>
    <s v="5-10 yrs"/>
    <s v="B.Sc"/>
    <d v="2021-11-02T00:00:00"/>
    <n v="70490"/>
    <d v="2024-01-11T00:00:00"/>
    <s v="Proposal Sent"/>
    <n v="209200"/>
    <n v="8.3000000000000004E-2"/>
    <n v="0"/>
    <s v="LinkedIn"/>
    <s v="Tablets"/>
    <n v="31"/>
    <s v="Mid-Market"/>
    <n v="33333.33"/>
    <n v="144145.07"/>
    <n v="4.3239999999999998"/>
    <s v="Exceeded"/>
    <n v="2024"/>
    <n v="0"/>
  </r>
  <r>
    <s v="SR049"/>
    <x v="45"/>
    <s v="Vikram"/>
    <s v="Chopra"/>
    <s v="vikram.chopra27@techmart.com"/>
    <n v="9892340643"/>
    <s v="Central"/>
    <s v="Online Sales"/>
    <s v="5-10 yrs"/>
    <s v="B.Sc"/>
    <d v="2021-11-02T00:00:00"/>
    <n v="70490"/>
    <d v="2024-05-22T00:00:00"/>
    <s v="Closed Lost"/>
    <n v="21100"/>
    <n v="7.5999999999999998E-2"/>
    <n v="0"/>
    <s v="Email Campaign"/>
    <s v="Smartphones"/>
    <n v="39"/>
    <s v="Individual"/>
    <n v="33333.33"/>
    <n v="15662.98"/>
    <n v="0.47"/>
    <s v="Below Target"/>
    <n v="2024"/>
    <n v="0"/>
  </r>
  <r>
    <s v="SR049"/>
    <x v="45"/>
    <s v="Vikram"/>
    <s v="Chopra"/>
    <s v="vikram.chopra27@techmart.com"/>
    <n v="9892340643"/>
    <s v="Central"/>
    <s v="Online Sales"/>
    <s v="5-10 yrs"/>
    <s v="B.Sc"/>
    <d v="2021-11-02T00:00:00"/>
    <n v="70490"/>
    <d v="2024-05-28T00:00:00"/>
    <s v="Closed Won"/>
    <n v="166900"/>
    <n v="4.3999999999999997E-2"/>
    <n v="7343.6"/>
    <s v="LinkedIn"/>
    <s v="Laptops"/>
    <n v="32"/>
    <s v="Mid-Market"/>
    <n v="33333.33"/>
    <n v="198620.15"/>
    <n v="5.9589999999999996"/>
    <s v="Exceeded"/>
    <n v="2024"/>
    <n v="1"/>
  </r>
  <r>
    <s v="SR049"/>
    <x v="45"/>
    <s v="Vikram"/>
    <s v="Chopra"/>
    <s v="vikram.chopra27@techmart.com"/>
    <n v="9892340643"/>
    <s v="Central"/>
    <s v="Online Sales"/>
    <s v="5-10 yrs"/>
    <s v="B.Sc"/>
    <d v="2021-11-02T00:00:00"/>
    <n v="70490"/>
    <d v="2024-10-03T00:00:00"/>
    <s v="Closed Won"/>
    <n v="92600"/>
    <n v="5.7000000000000002E-2"/>
    <n v="5278.2"/>
    <s v="Cold Call"/>
    <s v="Monitors"/>
    <n v="2"/>
    <s v="SMB"/>
    <n v="33333.33"/>
    <n v="73903.19"/>
    <n v="2.2170000000000001"/>
    <s v="Exceeded"/>
    <n v="2024"/>
    <n v="1"/>
  </r>
  <r>
    <s v="SR049"/>
    <x v="45"/>
    <s v="Vikram"/>
    <s v="Chopra"/>
    <s v="vikram.chopra27@techmart.com"/>
    <n v="9892340643"/>
    <s v="Central"/>
    <s v="Online Sales"/>
    <s v="5-10 yrs"/>
    <s v="B.Sc"/>
    <d v="2021-11-02T00:00:00"/>
    <n v="70490"/>
    <d v="2024-10-25T00:00:00"/>
    <s v="Negotiation"/>
    <n v="52500"/>
    <n v="4.7E-2"/>
    <n v="0"/>
    <s v="Walk-in"/>
    <s v="Smart TVs"/>
    <n v="81"/>
    <s v="SMB"/>
    <n v="33333.33"/>
    <n v="37088.400000000001"/>
    <n v="1.113"/>
    <s v="Exceeded"/>
    <n v="2024"/>
    <n v="0"/>
  </r>
  <r>
    <s v="SR050"/>
    <x v="46"/>
    <s v="Neha"/>
    <s v="Patel"/>
    <s v="neha.patel85@techmart.com"/>
    <n v="9774686032"/>
    <s v="North"/>
    <s v="Retail Sales"/>
    <s v="5-10 yrs"/>
    <s v="B.Com"/>
    <d v="2023-03-12T00:00:00"/>
    <n v="61378"/>
    <d v="2023-07-22T00:00:00"/>
    <s v="Closed Won"/>
    <n v="16900"/>
    <n v="0.11600000000000001"/>
    <n v="1960.4"/>
    <s v="Cold Call"/>
    <s v="Cameras"/>
    <n v="89"/>
    <s v="SMB"/>
    <n v="37500"/>
    <n v="19716.28"/>
    <n v="0.52600000000000002"/>
    <s v="Below Target"/>
    <n v="2023"/>
    <n v="1"/>
  </r>
  <r>
    <s v="SR050"/>
    <x v="46"/>
    <s v="Neha"/>
    <s v="Patel"/>
    <s v="neha.patel85@techmart.com"/>
    <n v="9774686032"/>
    <s v="North"/>
    <s v="Retail Sales"/>
    <s v="5-10 yrs"/>
    <s v="B.Com"/>
    <d v="2023-03-12T00:00:00"/>
    <n v="61378"/>
    <d v="2023-09-23T00:00:00"/>
    <s v="Closed Won"/>
    <n v="189700"/>
    <n v="7.0000000000000007E-2"/>
    <n v="13279"/>
    <s v="Cold Call"/>
    <s v="Smartphones"/>
    <n v="70"/>
    <s v="Mid-Market"/>
    <n v="37500"/>
    <n v="146321.07"/>
    <n v="3.9020000000000001"/>
    <s v="Exceeded"/>
    <n v="2023"/>
    <n v="1"/>
  </r>
  <r>
    <s v="SR050"/>
    <x v="46"/>
    <s v="Neha"/>
    <s v="Patel"/>
    <s v="neha.patel85@techmart.com"/>
    <n v="9774686032"/>
    <s v="North"/>
    <s v="Retail Sales"/>
    <s v="5-10 yrs"/>
    <s v="B.Com"/>
    <d v="2023-03-12T00:00:00"/>
    <n v="61378"/>
    <d v="2023-10-23T00:00:00"/>
    <s v="Closed Won"/>
    <n v="190700"/>
    <n v="5.3999999999999999E-2"/>
    <n v="10297.799999999999"/>
    <s v="Cold Call"/>
    <s v="Laptops"/>
    <n v="29"/>
    <s v="Individual"/>
    <n v="37500"/>
    <n v="186925.9"/>
    <n v="4.9850000000000003"/>
    <s v="Exceeded"/>
    <n v="2023"/>
    <n v="1"/>
  </r>
  <r>
    <s v="SR050"/>
    <x v="46"/>
    <s v="Neha"/>
    <s v="Patel"/>
    <s v="neha.patel85@techmart.com"/>
    <n v="9774686032"/>
    <s v="North"/>
    <s v="Retail Sales"/>
    <s v="5-10 yrs"/>
    <s v="B.Com"/>
    <d v="2023-03-12T00:00:00"/>
    <n v="61378"/>
    <d v="2023-11-25T00:00:00"/>
    <s v="Negotiation"/>
    <n v="96100"/>
    <n v="0.111"/>
    <n v="0"/>
    <s v="Trade Show"/>
    <s v="Monitors"/>
    <n v="16"/>
    <s v="Enterprise"/>
    <n v="37500"/>
    <n v="53906.11"/>
    <n v="1.4370000000000001"/>
    <s v="Exceeded"/>
    <n v="2023"/>
    <n v="0"/>
  </r>
  <r>
    <s v="SR050"/>
    <x v="46"/>
    <s v="Neha"/>
    <s v="Patel"/>
    <s v="neha.patel85@techmart.com"/>
    <n v="9774686032"/>
    <s v="North"/>
    <s v="Retail Sales"/>
    <s v="5-10 yrs"/>
    <s v="B.Com"/>
    <d v="2023-03-12T00:00:00"/>
    <n v="61378"/>
    <d v="2024-04-08T00:00:00"/>
    <s v="Closed Won"/>
    <n v="237600"/>
    <n v="0.04"/>
    <n v="9504"/>
    <s v="Email Campaign"/>
    <s v="Monitors"/>
    <n v="78"/>
    <s v="Individual"/>
    <n v="37500"/>
    <n v="127575.77"/>
    <n v="3.4020000000000001"/>
    <s v="Exceeded"/>
    <n v="2024"/>
    <n v="1"/>
  </r>
  <r>
    <s v="SR050"/>
    <x v="46"/>
    <s v="Neha"/>
    <s v="Patel"/>
    <s v="neha.patel85@techmart.com"/>
    <n v="9774686032"/>
    <s v="North"/>
    <s v="Retail Sales"/>
    <s v="5-10 yrs"/>
    <s v="B.Com"/>
    <d v="2023-03-12T00:00:00"/>
    <n v="61378"/>
    <d v="2024-04-08T00:00:00"/>
    <s v="Negotiation"/>
    <n v="209300"/>
    <n v="6.5000000000000002E-2"/>
    <n v="0"/>
    <s v="LinkedIn"/>
    <s v="Tablets"/>
    <n v="27"/>
    <s v="SMB"/>
    <n v="37500"/>
    <n v="105328.23"/>
    <n v="2.8090000000000002"/>
    <s v="Exceeded"/>
    <n v="2024"/>
    <n v="0"/>
  </r>
  <r>
    <s v="SR050"/>
    <x v="46"/>
    <s v="Neha"/>
    <s v="Patel"/>
    <s v="neha.patel85@techmart.com"/>
    <n v="9774686032"/>
    <s v="North"/>
    <s v="Retail Sales"/>
    <s v="5-10 yrs"/>
    <s v="B.Com"/>
    <d v="2023-03-12T00:00:00"/>
    <n v="61378"/>
    <d v="2024-04-22T00:00:00"/>
    <s v="Closed Lost"/>
    <n v="184500"/>
    <n v="7.8E-2"/>
    <n v="0"/>
    <s v="LinkedIn"/>
    <s v="Smartphones"/>
    <n v="22"/>
    <s v="Enterprise"/>
    <n v="37500"/>
    <n v="216908.35"/>
    <n v="5.7839999999999998"/>
    <s v="Exceeded"/>
    <n v="2024"/>
    <n v="0"/>
  </r>
  <r>
    <s v="SR050"/>
    <x v="46"/>
    <s v="Neha"/>
    <s v="Patel"/>
    <s v="neha.patel85@techmart.com"/>
    <n v="9774686032"/>
    <s v="North"/>
    <s v="Retail Sales"/>
    <s v="5-10 yrs"/>
    <s v="B.Com"/>
    <d v="2023-03-12T00:00:00"/>
    <n v="61378"/>
    <d v="2024-05-14T00:00:00"/>
    <s v="Negotiation"/>
    <n v="249100"/>
    <n v="0.11600000000000001"/>
    <n v="0"/>
    <s v="Walk-in"/>
    <s v="Smartphones"/>
    <n v="22"/>
    <s v="Mid-Market"/>
    <n v="37500"/>
    <n v="280744.57"/>
    <n v="7.4870000000000001"/>
    <s v="Exceeded"/>
    <n v="2024"/>
    <n v="0"/>
  </r>
  <r>
    <s v="SR050"/>
    <x v="46"/>
    <s v="Neha"/>
    <s v="Patel"/>
    <s v="neha.patel85@techmart.com"/>
    <n v="9774686032"/>
    <s v="North"/>
    <s v="Retail Sales"/>
    <s v="5-10 yrs"/>
    <s v="B.Com"/>
    <d v="2023-03-12T00:00:00"/>
    <n v="61378"/>
    <d v="2024-07-09T00:00:00"/>
    <s v="Closed Won"/>
    <n v="144900"/>
    <n v="9.5000000000000001E-2"/>
    <n v="13765.5"/>
    <s v="Cold Call"/>
    <s v="Laptops"/>
    <n v="25"/>
    <s v="Enterprise"/>
    <n v="37500"/>
    <n v="144240.14000000001"/>
    <n v="3.8460000000000001"/>
    <s v="Exceeded"/>
    <n v="2024"/>
    <n v="1"/>
  </r>
  <r>
    <s v="SR050"/>
    <x v="46"/>
    <s v="Neha"/>
    <s v="Patel"/>
    <s v="neha.patel85@techmart.com"/>
    <n v="9774686032"/>
    <s v="North"/>
    <s v="Retail Sales"/>
    <s v="5-10 yrs"/>
    <s v="B.Com"/>
    <d v="2023-03-12T00:00:00"/>
    <n v="61378"/>
    <d v="2024-10-17T00:00:00"/>
    <s v="Closed Won"/>
    <n v="160200"/>
    <n v="9.2999999999999999E-2"/>
    <n v="14898.6"/>
    <s v="Walk-in"/>
    <s v="Smart TVs"/>
    <n v="59"/>
    <s v="Mid-Market"/>
    <n v="37500"/>
    <n v="123845.68"/>
    <n v="3.3029999999999999"/>
    <s v="Exceeded"/>
    <n v="2024"/>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01"/>
    <s v="C0119"/>
    <x v="0"/>
    <s v="2022-03"/>
    <s v="SR03"/>
    <x v="0"/>
    <d v="2022-03-17T00:00:00"/>
    <d v="2022-03-17T00:00:00"/>
    <n v="2"/>
    <n v="3499"/>
    <n v="0"/>
    <n v="0"/>
    <n v="6998"/>
    <n v="3398"/>
    <x v="0"/>
    <x v="0"/>
    <x v="0"/>
    <x v="0"/>
    <n v="3"/>
    <x v="0"/>
    <s v="March"/>
    <s v="Q1"/>
    <n v="2"/>
    <e v="#REF!"/>
    <s v="Normal"/>
    <n v="1507"/>
  </r>
  <r>
    <s v="ORD-00002"/>
    <s v="C0343"/>
    <x v="1"/>
    <s v="2023-02"/>
    <s v="SR07"/>
    <x v="1"/>
    <m/>
    <m/>
    <n v="1"/>
    <n v="19999"/>
    <n v="0"/>
    <n v="0"/>
    <n v="19999"/>
    <n v="6999"/>
    <x v="1"/>
    <x v="1"/>
    <x v="1"/>
    <x v="1"/>
    <m/>
    <x v="1"/>
    <s v="February"/>
    <s v="Q1"/>
    <m/>
    <e v="#REF!"/>
    <s v="Normal"/>
    <n v="1170"/>
  </r>
  <r>
    <s v="ORD-00003"/>
    <s v="C0146"/>
    <x v="2"/>
    <s v="2023-12"/>
    <s v="SR07"/>
    <x v="2"/>
    <d v="2023-12-15T00:00:00"/>
    <d v="2023-12-16T00:00:00"/>
    <n v="4"/>
    <n v="4999"/>
    <n v="10"/>
    <n v="1999.6"/>
    <n v="17996.400000000001"/>
    <n v="6796.4"/>
    <x v="0"/>
    <x v="2"/>
    <x v="2"/>
    <x v="1"/>
    <n v="3"/>
    <x v="1"/>
    <s v="December"/>
    <s v="Q4"/>
    <n v="2"/>
    <e v="#REF!"/>
    <s v="Normal"/>
    <n v="869"/>
  </r>
  <r>
    <s v="ORD-00004"/>
    <s v="C0090"/>
    <x v="3"/>
    <s v="2022-05"/>
    <s v="SR03"/>
    <x v="3"/>
    <m/>
    <m/>
    <n v="3"/>
    <n v="24999"/>
    <n v="10"/>
    <n v="7499.7"/>
    <n v="67497.3"/>
    <n v="16497.3"/>
    <x v="1"/>
    <x v="1"/>
    <x v="1"/>
    <x v="0"/>
    <m/>
    <x v="0"/>
    <s v="May"/>
    <s v="Q2"/>
    <m/>
    <e v="#REF!"/>
    <s v="Normal"/>
    <n v="1432"/>
  </r>
  <r>
    <s v="ORD-00005"/>
    <s v="C0490"/>
    <x v="4"/>
    <s v="2024-06"/>
    <s v="SR06"/>
    <x v="4"/>
    <d v="2024-06-30T00:00:00"/>
    <d v="2024-07-03T00:00:00"/>
    <n v="2"/>
    <n v="29900"/>
    <n v="10"/>
    <n v="5980"/>
    <n v="53820"/>
    <n v="13820"/>
    <x v="0"/>
    <x v="3"/>
    <x v="0"/>
    <x v="2"/>
    <n v="5"/>
    <x v="2"/>
    <s v="June"/>
    <s v="Q2"/>
    <n v="5"/>
    <e v="#REF!"/>
    <s v="Normal"/>
    <n v="674"/>
  </r>
  <r>
    <s v="ORD-00006"/>
    <s v="C0442"/>
    <x v="5"/>
    <s v="2022-08"/>
    <s v="SR07"/>
    <x v="5"/>
    <d v="2022-08-28T00:00:00"/>
    <d v="2022-08-31T00:00:00"/>
    <n v="2"/>
    <n v="79999"/>
    <n v="5"/>
    <n v="7999.9"/>
    <n v="151998.1"/>
    <n v="41998.1"/>
    <x v="0"/>
    <x v="0"/>
    <x v="0"/>
    <x v="1"/>
    <n v="3"/>
    <x v="0"/>
    <s v="August"/>
    <s v="Q3"/>
    <n v="1"/>
    <e v="#REF!"/>
    <s v="Normal"/>
    <n v="1342"/>
  </r>
  <r>
    <s v="ORD-00007"/>
    <s v="C0265"/>
    <x v="6"/>
    <s v="2023-06"/>
    <s v="SR05"/>
    <x v="6"/>
    <d v="2023-06-27T00:00:00"/>
    <d v="2023-06-27T00:00:00"/>
    <n v="4"/>
    <n v="54999"/>
    <n v="10"/>
    <n v="21999.599999999999"/>
    <n v="197996.4"/>
    <n v="45996.4"/>
    <x v="0"/>
    <x v="1"/>
    <x v="1"/>
    <x v="3"/>
    <n v="2"/>
    <x v="1"/>
    <s v="June"/>
    <s v="Q2"/>
    <n v="3"/>
    <e v="#REF!"/>
    <s v="Normal"/>
    <n v="1041"/>
  </r>
  <r>
    <s v="ORD-00008"/>
    <s v="C0244"/>
    <x v="7"/>
    <s v="2023-03"/>
    <s v="SR07"/>
    <x v="7"/>
    <m/>
    <m/>
    <n v="3"/>
    <n v="9999"/>
    <n v="0"/>
    <n v="0"/>
    <n v="29997"/>
    <n v="10497"/>
    <x v="1"/>
    <x v="4"/>
    <x v="3"/>
    <x v="1"/>
    <m/>
    <x v="1"/>
    <s v="March"/>
    <s v="Q1"/>
    <m/>
    <e v="#REF!"/>
    <s v="Normal"/>
    <n v="1133"/>
  </r>
  <r>
    <s v="ORD-00009"/>
    <s v="C0256"/>
    <x v="2"/>
    <s v="2023-04"/>
    <s v="SR03"/>
    <x v="8"/>
    <m/>
    <m/>
    <n v="2"/>
    <n v="4999"/>
    <n v="5"/>
    <n v="499.9"/>
    <n v="9498.1"/>
    <n v="3898.1"/>
    <x v="2"/>
    <x v="5"/>
    <x v="3"/>
    <x v="0"/>
    <m/>
    <x v="1"/>
    <s v="April"/>
    <s v="Q2"/>
    <m/>
    <e v="#REF!"/>
    <s v="Normal"/>
    <n v="1100"/>
  </r>
  <r>
    <s v="ORD-00010"/>
    <s v="C0104"/>
    <x v="8"/>
    <s v="2022-11"/>
    <s v="SR08"/>
    <x v="9"/>
    <d v="2022-11-17T00:00:00"/>
    <d v="2022-11-17T00:00:00"/>
    <n v="4"/>
    <n v="6999"/>
    <n v="0"/>
    <n v="0"/>
    <n v="27996"/>
    <n v="11196"/>
    <x v="0"/>
    <x v="2"/>
    <x v="2"/>
    <x v="0"/>
    <n v="4"/>
    <x v="0"/>
    <s v="November"/>
    <s v="Q4"/>
    <n v="1"/>
    <e v="#REF!"/>
    <s v="Normal"/>
    <n v="1261"/>
  </r>
  <r>
    <s v="ORD-00011"/>
    <s v="C0191"/>
    <x v="0"/>
    <s v="2024-10"/>
    <s v="SR07"/>
    <x v="10"/>
    <m/>
    <m/>
    <n v="3"/>
    <n v="3499"/>
    <n v="15"/>
    <n v="1574.55"/>
    <n v="8922.4500000000007"/>
    <n v="3522.45"/>
    <x v="1"/>
    <x v="5"/>
    <x v="1"/>
    <x v="1"/>
    <m/>
    <x v="2"/>
    <s v="October"/>
    <s v="Q4"/>
    <m/>
    <e v="#REF!"/>
    <s v="Normal"/>
    <n v="572"/>
  </r>
  <r>
    <s v="ORD-00012"/>
    <s v="C0144"/>
    <x v="1"/>
    <s v="2022-09"/>
    <s v="SR05"/>
    <x v="11"/>
    <d v="2022-09-25T00:00:00"/>
    <d v="2022-09-28T00:00:00"/>
    <n v="4"/>
    <n v="19999"/>
    <n v="20"/>
    <n v="15999.2"/>
    <n v="63996.800000000003"/>
    <n v="11996.8"/>
    <x v="0"/>
    <x v="1"/>
    <x v="1"/>
    <x v="3"/>
    <n v="3"/>
    <x v="0"/>
    <s v="September"/>
    <s v="Q3"/>
    <n v="5"/>
    <e v="#REF!"/>
    <s v="Normal"/>
    <n v="1318"/>
  </r>
  <r>
    <s v="ORD-00013"/>
    <s v="C0202"/>
    <x v="9"/>
    <s v="2024-07"/>
    <s v="SR03"/>
    <x v="12"/>
    <d v="2024-07-31T00:00:00"/>
    <d v="2024-08-03T00:00:00"/>
    <n v="3"/>
    <n v="7499"/>
    <n v="0"/>
    <n v="0"/>
    <n v="22497"/>
    <n v="8097"/>
    <x v="0"/>
    <x v="1"/>
    <x v="3"/>
    <x v="0"/>
    <n v="4"/>
    <x v="2"/>
    <s v="July"/>
    <s v="Q3"/>
    <n v="6"/>
    <e v="#REF!"/>
    <s v="Normal"/>
    <n v="644"/>
  </r>
  <r>
    <s v="ORD-00014"/>
    <s v="C0298"/>
    <x v="10"/>
    <s v="2024-01"/>
    <s v="SR07"/>
    <x v="13"/>
    <m/>
    <m/>
    <n v="3"/>
    <n v="55990"/>
    <n v="0"/>
    <n v="0"/>
    <n v="167970"/>
    <n v="47970"/>
    <x v="1"/>
    <x v="2"/>
    <x v="4"/>
    <x v="1"/>
    <m/>
    <x v="2"/>
    <s v="January"/>
    <s v="Q1"/>
    <m/>
    <e v="#REF!"/>
    <s v="Normal"/>
    <n v="840"/>
  </r>
  <r>
    <s v="ORD-00015"/>
    <s v="C0122"/>
    <x v="4"/>
    <s v="2023-12"/>
    <s v="SR08"/>
    <x v="14"/>
    <d v="2023-12-06T00:00:00"/>
    <d v="2023-12-09T00:00:00"/>
    <n v="4"/>
    <n v="29900"/>
    <n v="5"/>
    <n v="5980"/>
    <n v="113620"/>
    <n v="33620"/>
    <x v="0"/>
    <x v="3"/>
    <x v="4"/>
    <x v="0"/>
    <n v="3"/>
    <x v="1"/>
    <s v="December"/>
    <s v="Q4"/>
    <n v="2"/>
    <e v="#REF!"/>
    <s v="Normal"/>
    <n v="878"/>
  </r>
  <r>
    <s v="ORD-00016"/>
    <s v="C0438"/>
    <x v="1"/>
    <s v="2024-07"/>
    <s v="SR06"/>
    <x v="15"/>
    <d v="2024-07-17T00:00:00"/>
    <d v="2024-07-18T00:00:00"/>
    <n v="5"/>
    <n v="19999"/>
    <n v="5"/>
    <n v="4999.75"/>
    <n v="94995.25"/>
    <n v="29995.25"/>
    <x v="0"/>
    <x v="1"/>
    <x v="4"/>
    <x v="2"/>
    <n v="2"/>
    <x v="2"/>
    <s v="July"/>
    <s v="Q3"/>
    <n v="5"/>
    <e v="#REF!"/>
    <s v="Normal"/>
    <n v="657"/>
  </r>
  <r>
    <s v="ORD-00017"/>
    <s v="C0285"/>
    <x v="3"/>
    <s v="2023-02"/>
    <s v="SR06"/>
    <x v="16"/>
    <d v="2023-02-13T00:00:00"/>
    <d v="2023-02-14T00:00:00"/>
    <n v="4"/>
    <n v="24999"/>
    <n v="0"/>
    <n v="0"/>
    <n v="99996"/>
    <n v="31996"/>
    <x v="0"/>
    <x v="5"/>
    <x v="0"/>
    <x v="2"/>
    <n v="4"/>
    <x v="1"/>
    <s v="February"/>
    <s v="Q1"/>
    <n v="7"/>
    <e v="#REF!"/>
    <s v="Normal"/>
    <n v="1179"/>
  </r>
  <r>
    <s v="ORD-00018"/>
    <s v="C0069"/>
    <x v="11"/>
    <s v="2024-09"/>
    <s v="SR08"/>
    <x v="17"/>
    <d v="2024-09-26T00:00:00"/>
    <d v="2024-09-26T00:00:00"/>
    <n v="4"/>
    <n v="8495"/>
    <n v="0"/>
    <n v="0"/>
    <n v="33980"/>
    <n v="11980"/>
    <x v="0"/>
    <x v="4"/>
    <x v="3"/>
    <x v="0"/>
    <n v="1"/>
    <x v="2"/>
    <s v="September"/>
    <s v="Q3"/>
    <n v="3"/>
    <e v="#REF!"/>
    <s v="Normal"/>
    <n v="584"/>
  </r>
  <r>
    <s v="ORD-00019"/>
    <s v="C0111"/>
    <x v="4"/>
    <s v="2022-07"/>
    <s v="SR06"/>
    <x v="18"/>
    <d v="2022-07-23T00:00:00"/>
    <d v="2022-07-25T00:00:00"/>
    <n v="3"/>
    <n v="29900"/>
    <n v="10"/>
    <n v="8970"/>
    <n v="80730"/>
    <n v="20730"/>
    <x v="0"/>
    <x v="0"/>
    <x v="1"/>
    <x v="2"/>
    <n v="5"/>
    <x v="0"/>
    <s v="July"/>
    <s v="Q3"/>
    <n v="6"/>
    <e v="#REF!"/>
    <s v="Normal"/>
    <n v="1383"/>
  </r>
  <r>
    <s v="ORD-00020"/>
    <s v="C0478"/>
    <x v="4"/>
    <s v="2022-02"/>
    <s v="SR07"/>
    <x v="19"/>
    <d v="2022-02-11T00:00:00"/>
    <d v="2022-02-13T00:00:00"/>
    <n v="5"/>
    <n v="29900"/>
    <n v="5"/>
    <n v="7475"/>
    <n v="142025"/>
    <n v="42025"/>
    <x v="0"/>
    <x v="2"/>
    <x v="1"/>
    <x v="1"/>
    <n v="5"/>
    <x v="0"/>
    <s v="February"/>
    <s v="Q1"/>
    <n v="1"/>
    <e v="#REF!"/>
    <s v="Normal"/>
    <n v="1540"/>
  </r>
  <r>
    <s v="ORD-00021"/>
    <s v="C0090"/>
    <x v="12"/>
    <s v="2023-12"/>
    <s v="SR08"/>
    <x v="20"/>
    <d v="2024-01-04T00:00:00"/>
    <d v="2024-01-07T00:00:00"/>
    <n v="4"/>
    <n v="1599"/>
    <n v="0"/>
    <n v="0"/>
    <n v="6396"/>
    <n v="3196"/>
    <x v="0"/>
    <x v="3"/>
    <x v="1"/>
    <x v="0"/>
    <n v="3"/>
    <x v="1"/>
    <s v="December"/>
    <s v="Q4"/>
    <n v="6"/>
    <e v="#REF!"/>
    <s v="Normal"/>
    <n v="853"/>
  </r>
  <r>
    <s v="ORD-00022"/>
    <s v="C0238"/>
    <x v="11"/>
    <s v="2022-12"/>
    <s v="SR01"/>
    <x v="21"/>
    <m/>
    <m/>
    <n v="3"/>
    <n v="8495"/>
    <n v="10"/>
    <n v="2548.5"/>
    <n v="22936.5"/>
    <n v="6436.5"/>
    <x v="2"/>
    <x v="4"/>
    <x v="1"/>
    <x v="2"/>
    <m/>
    <x v="0"/>
    <s v="December"/>
    <s v="Q4"/>
    <m/>
    <e v="#REF!"/>
    <s v="Normal"/>
    <n v="1237"/>
  </r>
  <r>
    <s v="ORD-00023"/>
    <s v="C0293"/>
    <x v="1"/>
    <s v="2022-06"/>
    <s v="SR01"/>
    <x v="22"/>
    <d v="2022-06-15T00:00:00"/>
    <d v="2022-06-16T00:00:00"/>
    <n v="3"/>
    <n v="19999"/>
    <n v="10"/>
    <n v="5999.7"/>
    <n v="53997.3"/>
    <n v="14997.3"/>
    <x v="0"/>
    <x v="4"/>
    <x v="4"/>
    <x v="2"/>
    <n v="3"/>
    <x v="0"/>
    <s v="June"/>
    <s v="Q2"/>
    <n v="3"/>
    <e v="#REF!"/>
    <s v="Normal"/>
    <n v="1418"/>
  </r>
  <r>
    <s v="ORD-00024"/>
    <s v="C0310"/>
    <x v="11"/>
    <s v="2023-07"/>
    <s v="SR06"/>
    <x v="23"/>
    <d v="2023-07-17T00:00:00"/>
    <d v="2023-07-19T00:00:00"/>
    <n v="5"/>
    <n v="8495"/>
    <n v="20"/>
    <n v="8495"/>
    <n v="33980"/>
    <n v="6480"/>
    <x v="0"/>
    <x v="3"/>
    <x v="0"/>
    <x v="2"/>
    <n v="2"/>
    <x v="1"/>
    <s v="July"/>
    <s v="Q3"/>
    <n v="7"/>
    <e v="#REF!"/>
    <s v="Normal"/>
    <n v="1025"/>
  </r>
  <r>
    <s v="ORD-00025"/>
    <s v="C0095"/>
    <x v="5"/>
    <s v="2023-04"/>
    <s v="SR01"/>
    <x v="8"/>
    <m/>
    <m/>
    <n v="3"/>
    <n v="79999"/>
    <n v="0"/>
    <n v="0"/>
    <n v="239997"/>
    <n v="74997"/>
    <x v="2"/>
    <x v="5"/>
    <x v="3"/>
    <x v="2"/>
    <m/>
    <x v="1"/>
    <s v="April"/>
    <s v="Q2"/>
    <m/>
    <e v="#REF!"/>
    <s v="Normal"/>
    <n v="1100"/>
  </r>
  <r>
    <s v="ORD-00026"/>
    <s v="C0204"/>
    <x v="10"/>
    <s v="2022-05"/>
    <s v="SR02"/>
    <x v="24"/>
    <d v="2022-05-16T00:00:00"/>
    <d v="2022-05-16T00:00:00"/>
    <n v="1"/>
    <n v="55990"/>
    <n v="10"/>
    <n v="5599"/>
    <n v="50391"/>
    <n v="10391"/>
    <x v="0"/>
    <x v="2"/>
    <x v="2"/>
    <x v="1"/>
    <n v="1"/>
    <x v="0"/>
    <s v="May"/>
    <s v="Q2"/>
    <n v="5"/>
    <e v="#REF!"/>
    <s v="Normal"/>
    <n v="1450"/>
  </r>
  <r>
    <s v="ORD-00027"/>
    <s v="C0135"/>
    <x v="0"/>
    <s v="2022-06"/>
    <s v="SR01"/>
    <x v="25"/>
    <m/>
    <m/>
    <n v="4"/>
    <n v="3499"/>
    <n v="5"/>
    <n v="699.8"/>
    <n v="13296.2"/>
    <n v="6096.2"/>
    <x v="2"/>
    <x v="5"/>
    <x v="3"/>
    <x v="2"/>
    <m/>
    <x v="0"/>
    <s v="June"/>
    <s v="Q2"/>
    <m/>
    <e v="#REF!"/>
    <s v="Normal"/>
    <n v="1408"/>
  </r>
  <r>
    <s v="ORD-00028"/>
    <s v="C0378"/>
    <x v="13"/>
    <s v="2022-09"/>
    <s v="SR06"/>
    <x v="26"/>
    <d v="2022-09-21T00:00:00"/>
    <d v="2022-09-22T00:00:00"/>
    <n v="1"/>
    <n v="12999"/>
    <n v="0"/>
    <n v="0"/>
    <n v="12999"/>
    <n v="4999"/>
    <x v="0"/>
    <x v="4"/>
    <x v="4"/>
    <x v="2"/>
    <n v="3"/>
    <x v="0"/>
    <s v="September"/>
    <s v="Q3"/>
    <n v="5"/>
    <e v="#REF!"/>
    <s v="Normal"/>
    <n v="1322"/>
  </r>
  <r>
    <s v="ORD-00029"/>
    <s v="C0443"/>
    <x v="14"/>
    <s v="2023-07"/>
    <s v="SR04"/>
    <x v="27"/>
    <m/>
    <m/>
    <n v="4"/>
    <n v="29999"/>
    <n v="0"/>
    <n v="0"/>
    <n v="119996"/>
    <n v="39996"/>
    <x v="1"/>
    <x v="4"/>
    <x v="1"/>
    <x v="4"/>
    <m/>
    <x v="1"/>
    <s v="July"/>
    <s v="Q3"/>
    <m/>
    <e v="#REF!"/>
    <s v="Normal"/>
    <n v="1023"/>
  </r>
  <r>
    <s v="ORD-00030"/>
    <s v="C0091"/>
    <x v="15"/>
    <s v="2024-06"/>
    <s v="SR07"/>
    <x v="28"/>
    <m/>
    <m/>
    <n v="5"/>
    <n v="2499"/>
    <n v="5"/>
    <n v="624.75"/>
    <n v="11870.25"/>
    <n v="5870.25"/>
    <x v="1"/>
    <x v="0"/>
    <x v="0"/>
    <x v="1"/>
    <m/>
    <x v="2"/>
    <s v="June"/>
    <s v="Q2"/>
    <m/>
    <e v="#REF!"/>
    <s v="Normal"/>
    <n v="690"/>
  </r>
  <r>
    <s v="ORD-00031"/>
    <s v="C0277"/>
    <x v="8"/>
    <s v="2024-06"/>
    <s v="SR02"/>
    <x v="29"/>
    <d v="2024-06-26T00:00:00"/>
    <d v="2024-06-29T00:00:00"/>
    <n v="3"/>
    <n v="6999"/>
    <n v="0"/>
    <n v="0"/>
    <n v="20997"/>
    <n v="8397"/>
    <x v="0"/>
    <x v="0"/>
    <x v="2"/>
    <x v="1"/>
    <n v="1"/>
    <x v="2"/>
    <s v="June"/>
    <s v="Q2"/>
    <n v="3"/>
    <e v="#REF!"/>
    <s v="Normal"/>
    <n v="676"/>
  </r>
  <r>
    <s v="ORD-00032"/>
    <s v="C0268"/>
    <x v="12"/>
    <s v="2023-12"/>
    <s v="SR01"/>
    <x v="30"/>
    <d v="2023-12-10T00:00:00"/>
    <d v="2023-12-10T00:00:00"/>
    <n v="4"/>
    <n v="1599"/>
    <n v="15"/>
    <n v="959.4"/>
    <n v="5436.6"/>
    <n v="2236.6"/>
    <x v="0"/>
    <x v="0"/>
    <x v="2"/>
    <x v="2"/>
    <n v="4"/>
    <x v="1"/>
    <s v="December"/>
    <s v="Q4"/>
    <n v="4"/>
    <e v="#REF!"/>
    <s v="Normal"/>
    <n v="876"/>
  </r>
  <r>
    <s v="ORD-00033"/>
    <s v="C0409"/>
    <x v="13"/>
    <s v="2022-01"/>
    <s v="SR02"/>
    <x v="31"/>
    <m/>
    <m/>
    <n v="3"/>
    <n v="12999"/>
    <n v="5"/>
    <n v="1949.85"/>
    <n v="37047.15"/>
    <n v="13047.15"/>
    <x v="1"/>
    <x v="3"/>
    <x v="1"/>
    <x v="1"/>
    <m/>
    <x v="0"/>
    <s v="January"/>
    <s v="Q1"/>
    <m/>
    <e v="#REF!"/>
    <s v="Normal"/>
    <n v="1566"/>
  </r>
  <r>
    <s v="ORD-00034"/>
    <s v="C0224"/>
    <x v="1"/>
    <s v="2022-12"/>
    <s v="SR05"/>
    <x v="32"/>
    <m/>
    <m/>
    <n v="4"/>
    <n v="19999"/>
    <n v="10"/>
    <n v="7999.6"/>
    <n v="71996.399999999994"/>
    <n v="19996.400000000001"/>
    <x v="2"/>
    <x v="5"/>
    <x v="4"/>
    <x v="3"/>
    <m/>
    <x v="0"/>
    <s v="December"/>
    <s v="Q4"/>
    <m/>
    <e v="#REF!"/>
    <s v="Normal"/>
    <n v="1246"/>
  </r>
  <r>
    <s v="ORD-00035"/>
    <s v="C0041"/>
    <x v="3"/>
    <s v="2024-11"/>
    <s v="SR02"/>
    <x v="33"/>
    <m/>
    <m/>
    <n v="3"/>
    <n v="24999"/>
    <n v="5"/>
    <n v="3749.85"/>
    <n v="71247.149999999994"/>
    <n v="20247.150000000001"/>
    <x v="1"/>
    <x v="4"/>
    <x v="1"/>
    <x v="1"/>
    <m/>
    <x v="2"/>
    <s v="November"/>
    <s v="Q4"/>
    <m/>
    <e v="#REF!"/>
    <s v="Normal"/>
    <n v="522"/>
  </r>
  <r>
    <s v="ORD-00036"/>
    <s v="C0415"/>
    <x v="4"/>
    <s v="2023-01"/>
    <s v="SR04"/>
    <x v="34"/>
    <d v="2023-01-23T00:00:00"/>
    <d v="2023-01-24T00:00:00"/>
    <n v="3"/>
    <n v="29900"/>
    <n v="0"/>
    <n v="0"/>
    <n v="89700"/>
    <n v="29700"/>
    <x v="0"/>
    <x v="4"/>
    <x v="0"/>
    <x v="4"/>
    <n v="5"/>
    <x v="1"/>
    <s v="January"/>
    <s v="Q1"/>
    <n v="2"/>
    <e v="#REF!"/>
    <s v="Normal"/>
    <n v="1195"/>
  </r>
  <r>
    <s v="ORD-00037"/>
    <s v="C0232"/>
    <x v="4"/>
    <s v="2023-01"/>
    <s v="SR07"/>
    <x v="35"/>
    <d v="2023-01-21T00:00:00"/>
    <d v="2023-01-22T00:00:00"/>
    <n v="1"/>
    <n v="29900"/>
    <n v="20"/>
    <n v="5980"/>
    <n v="23920"/>
    <n v="3920"/>
    <x v="0"/>
    <x v="1"/>
    <x v="3"/>
    <x v="1"/>
    <n v="1"/>
    <x v="1"/>
    <s v="January"/>
    <s v="Q1"/>
    <n v="1"/>
    <e v="#REF!"/>
    <s v="Normal"/>
    <n v="1196"/>
  </r>
  <r>
    <s v="ORD-00038"/>
    <s v="C0145"/>
    <x v="4"/>
    <s v="2024-06"/>
    <s v="SR02"/>
    <x v="36"/>
    <m/>
    <m/>
    <n v="1"/>
    <n v="29900"/>
    <n v="5"/>
    <n v="1495"/>
    <n v="28405"/>
    <n v="8405"/>
    <x v="2"/>
    <x v="1"/>
    <x v="3"/>
    <x v="1"/>
    <m/>
    <x v="2"/>
    <s v="June"/>
    <s v="Q2"/>
    <m/>
    <e v="#REF!"/>
    <s v="Normal"/>
    <n v="683"/>
  </r>
  <r>
    <s v="ORD-00039"/>
    <s v="C0008"/>
    <x v="14"/>
    <s v="2023-12"/>
    <s v="SR01"/>
    <x v="37"/>
    <d v="2023-12-05T00:00:00"/>
    <d v="2023-12-08T00:00:00"/>
    <n v="3"/>
    <n v="29999"/>
    <n v="15"/>
    <n v="13499.55"/>
    <n v="76497.45"/>
    <n v="16497.45"/>
    <x v="0"/>
    <x v="4"/>
    <x v="2"/>
    <x v="2"/>
    <n v="3"/>
    <x v="1"/>
    <s v="December"/>
    <s v="Q4"/>
    <n v="3"/>
    <e v="#REF!"/>
    <s v="Normal"/>
    <n v="880"/>
  </r>
  <r>
    <s v="ORD-00040"/>
    <s v="C0042"/>
    <x v="12"/>
    <s v="2022-04"/>
    <s v="SR02"/>
    <x v="38"/>
    <d v="2022-05-02T00:00:00"/>
    <d v="2022-05-05T00:00:00"/>
    <n v="1"/>
    <n v="1599"/>
    <n v="20"/>
    <n v="319.8"/>
    <n v="1279.2"/>
    <n v="479.2"/>
    <x v="0"/>
    <x v="3"/>
    <x v="3"/>
    <x v="1"/>
    <n v="2"/>
    <x v="0"/>
    <s v="April"/>
    <s v="Q2"/>
    <n v="7"/>
    <e v="#REF!"/>
    <s v="Normal"/>
    <n v="1466"/>
  </r>
  <r>
    <s v="ORD-00041"/>
    <s v="C0459"/>
    <x v="4"/>
    <s v="2022-01"/>
    <s v="SR06"/>
    <x v="39"/>
    <d v="2022-02-02T00:00:00"/>
    <d v="2022-02-03T00:00:00"/>
    <n v="4"/>
    <n v="29900"/>
    <n v="15"/>
    <n v="17940"/>
    <n v="101660"/>
    <n v="21660"/>
    <x v="0"/>
    <x v="5"/>
    <x v="2"/>
    <x v="2"/>
    <n v="2"/>
    <x v="0"/>
    <s v="January"/>
    <s v="Q1"/>
    <n v="7"/>
    <e v="#REF!"/>
    <s v="Normal"/>
    <n v="1555"/>
  </r>
  <r>
    <s v="ORD-00042"/>
    <s v="C0236"/>
    <x v="2"/>
    <s v="2024-12"/>
    <s v="SR03"/>
    <x v="40"/>
    <m/>
    <m/>
    <n v="2"/>
    <n v="4999"/>
    <n v="15"/>
    <n v="1499.7"/>
    <n v="8498.2999999999993"/>
    <n v="2898.3"/>
    <x v="2"/>
    <x v="3"/>
    <x v="4"/>
    <x v="0"/>
    <m/>
    <x v="2"/>
    <s v="December"/>
    <s v="Q4"/>
    <m/>
    <e v="#REF!"/>
    <s v="Normal"/>
    <n v="513"/>
  </r>
  <r>
    <s v="ORD-00043"/>
    <s v="C0480"/>
    <x v="7"/>
    <s v="2022-03"/>
    <s v="SR03"/>
    <x v="41"/>
    <m/>
    <m/>
    <n v="5"/>
    <n v="9999"/>
    <n v="20"/>
    <n v="9999"/>
    <n v="39996"/>
    <n v="7496"/>
    <x v="2"/>
    <x v="1"/>
    <x v="4"/>
    <x v="0"/>
    <m/>
    <x v="0"/>
    <s v="March"/>
    <s v="Q1"/>
    <m/>
    <e v="#REF!"/>
    <s v="Normal"/>
    <n v="1494"/>
  </r>
  <r>
    <s v="ORD-00044"/>
    <s v="C0247"/>
    <x v="11"/>
    <s v="2023-02"/>
    <s v="SR07"/>
    <x v="42"/>
    <d v="2023-02-12T00:00:00"/>
    <d v="2023-02-13T00:00:00"/>
    <n v="1"/>
    <n v="8495"/>
    <n v="5"/>
    <n v="424.75"/>
    <n v="8070.25"/>
    <n v="2570.25"/>
    <x v="0"/>
    <x v="4"/>
    <x v="0"/>
    <x v="1"/>
    <n v="3"/>
    <x v="1"/>
    <s v="February"/>
    <s v="Q1"/>
    <n v="1"/>
    <e v="#REF!"/>
    <s v="Normal"/>
    <n v="1174"/>
  </r>
  <r>
    <s v="ORD-00045"/>
    <s v="C0008"/>
    <x v="16"/>
    <s v="2022-09"/>
    <s v="SR06"/>
    <x v="43"/>
    <d v="2022-09-10T00:00:00"/>
    <d v="2022-09-11T00:00:00"/>
    <n v="1"/>
    <n v="38999"/>
    <n v="0"/>
    <n v="0"/>
    <n v="38999"/>
    <n v="11999"/>
    <x v="0"/>
    <x v="2"/>
    <x v="0"/>
    <x v="2"/>
    <n v="5"/>
    <x v="0"/>
    <s v="September"/>
    <s v="Q3"/>
    <n v="7"/>
    <e v="#REF!"/>
    <s v="Normal"/>
    <n v="1335"/>
  </r>
  <r>
    <s v="ORD-00046"/>
    <s v="C0080"/>
    <x v="17"/>
    <s v="2023-05"/>
    <s v="SR02"/>
    <x v="44"/>
    <d v="2023-05-29T00:00:00"/>
    <d v="2023-05-29T00:00:00"/>
    <n v="5"/>
    <n v="41900"/>
    <n v="10"/>
    <n v="20950"/>
    <n v="188550"/>
    <n v="48550"/>
    <x v="0"/>
    <x v="4"/>
    <x v="2"/>
    <x v="1"/>
    <n v="1"/>
    <x v="1"/>
    <s v="May"/>
    <s v="Q2"/>
    <n v="4"/>
    <e v="#REF!"/>
    <s v="Normal"/>
    <n v="1071"/>
  </r>
  <r>
    <s v="ORD-00047"/>
    <s v="C0183"/>
    <x v="11"/>
    <s v="2022-08"/>
    <s v="SR01"/>
    <x v="45"/>
    <d v="2022-08-12T00:00:00"/>
    <d v="2022-08-13T00:00:00"/>
    <n v="3"/>
    <n v="8495"/>
    <n v="20"/>
    <n v="5097"/>
    <n v="20388"/>
    <n v="3888"/>
    <x v="0"/>
    <x v="4"/>
    <x v="4"/>
    <x v="2"/>
    <n v="4"/>
    <x v="0"/>
    <s v="August"/>
    <s v="Q3"/>
    <n v="4"/>
    <e v="#REF!"/>
    <s v="Normal"/>
    <n v="1361"/>
  </r>
  <r>
    <s v="ORD-00048"/>
    <s v="C0376"/>
    <x v="18"/>
    <s v="2024-02"/>
    <s v="SR05"/>
    <x v="46"/>
    <d v="2024-02-19T00:00:00"/>
    <d v="2024-02-20T00:00:00"/>
    <n v="3"/>
    <n v="26990"/>
    <n v="0"/>
    <n v="0"/>
    <n v="80970"/>
    <n v="26970"/>
    <x v="0"/>
    <x v="3"/>
    <x v="0"/>
    <x v="3"/>
    <n v="5"/>
    <x v="2"/>
    <s v="February"/>
    <s v="Q1"/>
    <n v="6"/>
    <e v="#REF!"/>
    <s v="Normal"/>
    <n v="807"/>
  </r>
  <r>
    <s v="ORD-00049"/>
    <s v="C0151"/>
    <x v="6"/>
    <s v="2023-01"/>
    <s v="SR06"/>
    <x v="47"/>
    <m/>
    <m/>
    <n v="2"/>
    <n v="54999"/>
    <n v="20"/>
    <n v="21999.599999999999"/>
    <n v="87998.399999999994"/>
    <n v="11998.4"/>
    <x v="1"/>
    <x v="0"/>
    <x v="4"/>
    <x v="2"/>
    <m/>
    <x v="1"/>
    <s v="January"/>
    <s v="Q1"/>
    <m/>
    <e v="#REF!"/>
    <s v="Normal"/>
    <n v="1192"/>
  </r>
  <r>
    <s v="ORD-00050"/>
    <s v="C0375"/>
    <x v="19"/>
    <s v="2022-11"/>
    <s v="SR07"/>
    <x v="48"/>
    <d v="2022-11-30T00:00:00"/>
    <d v="2022-12-01T00:00:00"/>
    <n v="4"/>
    <n v="64999"/>
    <n v="5"/>
    <n v="12999.8"/>
    <n v="246996.2"/>
    <n v="66996.2"/>
    <x v="0"/>
    <x v="0"/>
    <x v="1"/>
    <x v="1"/>
    <n v="3"/>
    <x v="0"/>
    <s v="November"/>
    <s v="Q4"/>
    <n v="5"/>
    <e v="#REF!"/>
    <s v="Normal"/>
    <n v="1252"/>
  </r>
  <r>
    <s v="ORD-00051"/>
    <s v="C0233"/>
    <x v="5"/>
    <s v="2023-01"/>
    <s v="SR06"/>
    <x v="49"/>
    <d v="2023-01-20T00:00:00"/>
    <d v="2023-01-22T00:00:00"/>
    <n v="5"/>
    <n v="79999"/>
    <n v="5"/>
    <n v="19999.75"/>
    <n v="379995.25"/>
    <n v="104995.25"/>
    <x v="0"/>
    <x v="0"/>
    <x v="2"/>
    <x v="2"/>
    <n v="5"/>
    <x v="1"/>
    <s v="January"/>
    <s v="Q1"/>
    <n v="5"/>
    <e v="#REF!"/>
    <s v="High Outlier"/>
    <n v="1201"/>
  </r>
  <r>
    <s v="ORD-00052"/>
    <s v="C0420"/>
    <x v="1"/>
    <s v="2024-12"/>
    <s v="SR02"/>
    <x v="50"/>
    <m/>
    <m/>
    <n v="4"/>
    <n v="19999"/>
    <n v="20"/>
    <n v="15999.2"/>
    <n v="63996.800000000003"/>
    <n v="11996.8"/>
    <x v="2"/>
    <x v="5"/>
    <x v="1"/>
    <x v="1"/>
    <m/>
    <x v="2"/>
    <s v="December"/>
    <s v="Q4"/>
    <m/>
    <e v="#REF!"/>
    <s v="Normal"/>
    <n v="507"/>
  </r>
  <r>
    <s v="ORD-00053"/>
    <s v="C0145"/>
    <x v="7"/>
    <s v="2023-10"/>
    <s v="SR07"/>
    <x v="51"/>
    <d v="2023-10-23T00:00:00"/>
    <d v="2023-10-23T00:00:00"/>
    <n v="1"/>
    <n v="9999"/>
    <n v="0"/>
    <n v="0"/>
    <n v="9999"/>
    <n v="3499"/>
    <x v="0"/>
    <x v="5"/>
    <x v="2"/>
    <x v="1"/>
    <n v="2"/>
    <x v="1"/>
    <s v="October"/>
    <s v="Q4"/>
    <n v="1"/>
    <e v="#REF!"/>
    <s v="Normal"/>
    <n v="921"/>
  </r>
  <r>
    <s v="ORD-00054"/>
    <s v="C0055"/>
    <x v="14"/>
    <s v="2022-07"/>
    <s v="SR05"/>
    <x v="52"/>
    <d v="2022-07-27T00:00:00"/>
    <d v="2022-07-30T00:00:00"/>
    <n v="4"/>
    <n v="29999"/>
    <n v="20"/>
    <n v="23999.200000000001"/>
    <n v="95996.800000000003"/>
    <n v="15996.8"/>
    <x v="0"/>
    <x v="2"/>
    <x v="1"/>
    <x v="3"/>
    <n v="3"/>
    <x v="0"/>
    <s v="July"/>
    <s v="Q3"/>
    <n v="5"/>
    <e v="#REF!"/>
    <s v="Normal"/>
    <n v="1378"/>
  </r>
  <r>
    <s v="ORD-00055"/>
    <s v="C0026"/>
    <x v="17"/>
    <s v="2022-05"/>
    <s v="SR02"/>
    <x v="53"/>
    <d v="2022-05-28T00:00:00"/>
    <d v="2022-05-31T00:00:00"/>
    <n v="1"/>
    <n v="41900"/>
    <n v="15"/>
    <n v="6285"/>
    <n v="35615"/>
    <n v="7615"/>
    <x v="0"/>
    <x v="4"/>
    <x v="2"/>
    <x v="1"/>
    <n v="3"/>
    <x v="0"/>
    <s v="May"/>
    <s v="Q2"/>
    <n v="2"/>
    <e v="#REF!"/>
    <s v="Normal"/>
    <n v="1435"/>
  </r>
  <r>
    <s v="ORD-00056"/>
    <s v="C0286"/>
    <x v="2"/>
    <s v="2024-01"/>
    <s v="SR07"/>
    <x v="54"/>
    <m/>
    <m/>
    <n v="1"/>
    <n v="4999"/>
    <n v="5"/>
    <n v="249.95"/>
    <n v="4749.05"/>
    <n v="1949.05"/>
    <x v="2"/>
    <x v="2"/>
    <x v="2"/>
    <x v="1"/>
    <m/>
    <x v="2"/>
    <s v="January"/>
    <s v="Q1"/>
    <m/>
    <e v="#REF!"/>
    <s v="Normal"/>
    <n v="825"/>
  </r>
  <r>
    <s v="ORD-00057"/>
    <s v="C0376"/>
    <x v="20"/>
    <s v="2022-06"/>
    <s v="SR05"/>
    <x v="55"/>
    <d v="2022-06-14T00:00:00"/>
    <d v="2022-06-14T00:00:00"/>
    <n v="1"/>
    <n v="114900"/>
    <n v="5"/>
    <n v="5745"/>
    <n v="109155"/>
    <n v="24155"/>
    <x v="0"/>
    <x v="2"/>
    <x v="0"/>
    <x v="3"/>
    <n v="2"/>
    <x v="0"/>
    <s v="June"/>
    <s v="Q2"/>
    <n v="5"/>
    <e v="#REF!"/>
    <s v="Normal"/>
    <n v="1421"/>
  </r>
  <r>
    <s v="ORD-00058"/>
    <s v="C0099"/>
    <x v="21"/>
    <s v="2023-01"/>
    <s v="SR03"/>
    <x v="56"/>
    <m/>
    <m/>
    <n v="5"/>
    <n v="59900"/>
    <n v="10"/>
    <n v="29950"/>
    <n v="269550"/>
    <n v="59550"/>
    <x v="1"/>
    <x v="4"/>
    <x v="2"/>
    <x v="0"/>
    <m/>
    <x v="1"/>
    <s v="January"/>
    <s v="Q1"/>
    <m/>
    <e v="#REF!"/>
    <s v="Normal"/>
    <n v="1214"/>
  </r>
  <r>
    <s v="ORD-00059"/>
    <s v="C0393"/>
    <x v="11"/>
    <s v="2024-07"/>
    <s v="SR08"/>
    <x v="57"/>
    <m/>
    <m/>
    <n v="4"/>
    <n v="8495"/>
    <n v="0"/>
    <n v="0"/>
    <n v="33980"/>
    <n v="11980"/>
    <x v="2"/>
    <x v="5"/>
    <x v="3"/>
    <x v="0"/>
    <m/>
    <x v="2"/>
    <s v="July"/>
    <s v="Q3"/>
    <m/>
    <e v="#REF!"/>
    <s v="Normal"/>
    <n v="641"/>
  </r>
  <r>
    <s v="ORD-00060"/>
    <s v="C0282"/>
    <x v="1"/>
    <s v="2022-11"/>
    <s v="SR08"/>
    <x v="58"/>
    <m/>
    <m/>
    <n v="5"/>
    <n v="19999"/>
    <n v="15"/>
    <n v="14999.25"/>
    <n v="84995.75"/>
    <n v="19995.75"/>
    <x v="1"/>
    <x v="0"/>
    <x v="4"/>
    <x v="0"/>
    <m/>
    <x v="0"/>
    <s v="November"/>
    <s v="Q4"/>
    <m/>
    <e v="#REF!"/>
    <s v="Normal"/>
    <n v="1257"/>
  </r>
  <r>
    <s v="ORD-00061"/>
    <s v="C0282"/>
    <x v="7"/>
    <s v="2024-04"/>
    <s v="SR08"/>
    <x v="59"/>
    <m/>
    <m/>
    <n v="4"/>
    <n v="9999"/>
    <n v="10"/>
    <n v="3999.6"/>
    <n v="35996.400000000001"/>
    <n v="9996.4"/>
    <x v="2"/>
    <x v="2"/>
    <x v="3"/>
    <x v="0"/>
    <m/>
    <x v="2"/>
    <s v="April"/>
    <s v="Q2"/>
    <m/>
    <e v="#REF!"/>
    <s v="Normal"/>
    <n v="736"/>
  </r>
  <r>
    <s v="ORD-00062"/>
    <s v="C0289"/>
    <x v="6"/>
    <s v="2024-02"/>
    <s v="SR01"/>
    <x v="60"/>
    <m/>
    <m/>
    <n v="3"/>
    <n v="54999"/>
    <n v="10"/>
    <n v="16499.7"/>
    <n v="148497.29999999999"/>
    <n v="34497.300000000003"/>
    <x v="1"/>
    <x v="3"/>
    <x v="0"/>
    <x v="2"/>
    <m/>
    <x v="2"/>
    <s v="February"/>
    <s v="Q1"/>
    <m/>
    <e v="#REF!"/>
    <s v="Normal"/>
    <n v="812"/>
  </r>
  <r>
    <s v="ORD-00063"/>
    <s v="C0492"/>
    <x v="1"/>
    <s v="2022-03"/>
    <s v="SR01"/>
    <x v="61"/>
    <d v="2022-03-17T00:00:00"/>
    <d v="2022-03-17T00:00:00"/>
    <n v="5"/>
    <n v="19999"/>
    <n v="0"/>
    <n v="0"/>
    <n v="99995"/>
    <n v="34995"/>
    <x v="0"/>
    <x v="0"/>
    <x v="2"/>
    <x v="2"/>
    <n v="3"/>
    <x v="0"/>
    <s v="March"/>
    <s v="Q1"/>
    <n v="5"/>
    <e v="#REF!"/>
    <s v="Normal"/>
    <n v="1510"/>
  </r>
  <r>
    <s v="ORD-00064"/>
    <s v="C0114"/>
    <x v="18"/>
    <s v="2022-02"/>
    <s v="SR04"/>
    <x v="62"/>
    <m/>
    <m/>
    <n v="3"/>
    <n v="26990"/>
    <n v="20"/>
    <n v="16194"/>
    <n v="64776"/>
    <n v="10776"/>
    <x v="2"/>
    <x v="2"/>
    <x v="1"/>
    <x v="4"/>
    <m/>
    <x v="0"/>
    <s v="February"/>
    <s v="Q1"/>
    <m/>
    <e v="#REF!"/>
    <s v="Normal"/>
    <n v="1536"/>
  </r>
  <r>
    <s v="ORD-00065"/>
    <s v="C0293"/>
    <x v="15"/>
    <s v="2022-07"/>
    <s v="SR01"/>
    <x v="63"/>
    <d v="2022-07-17T00:00:00"/>
    <d v="2022-07-19T00:00:00"/>
    <n v="2"/>
    <n v="2499"/>
    <n v="0"/>
    <n v="0"/>
    <n v="4998"/>
    <n v="2598"/>
    <x v="0"/>
    <x v="0"/>
    <x v="4"/>
    <x v="2"/>
    <n v="5"/>
    <x v="0"/>
    <s v="July"/>
    <s v="Q3"/>
    <n v="4"/>
    <e v="#REF!"/>
    <s v="Normal"/>
    <n v="1387"/>
  </r>
  <r>
    <s v="ORD-00066"/>
    <s v="C0128"/>
    <x v="8"/>
    <s v="2023-09"/>
    <s v="SR07"/>
    <x v="64"/>
    <d v="2023-09-13T00:00:00"/>
    <d v="2023-09-16T00:00:00"/>
    <n v="5"/>
    <n v="6999"/>
    <n v="5"/>
    <n v="1749.75"/>
    <n v="33245.25"/>
    <n v="12245.25"/>
    <x v="0"/>
    <x v="4"/>
    <x v="2"/>
    <x v="1"/>
    <n v="3"/>
    <x v="1"/>
    <s v="September"/>
    <s v="Q3"/>
    <n v="5"/>
    <e v="#REF!"/>
    <s v="Normal"/>
    <n v="965"/>
  </r>
  <r>
    <s v="ORD-00067"/>
    <s v="C0406"/>
    <x v="14"/>
    <s v="2024-09"/>
    <s v="SR01"/>
    <x v="65"/>
    <m/>
    <m/>
    <n v="5"/>
    <n v="29999"/>
    <n v="0"/>
    <n v="0"/>
    <n v="149995"/>
    <n v="49995"/>
    <x v="2"/>
    <x v="2"/>
    <x v="4"/>
    <x v="2"/>
    <m/>
    <x v="2"/>
    <s v="September"/>
    <s v="Q3"/>
    <m/>
    <e v="#REF!"/>
    <s v="Normal"/>
    <n v="581"/>
  </r>
  <r>
    <s v="ORD-00068"/>
    <s v="C0020"/>
    <x v="2"/>
    <s v="2022-06"/>
    <s v="SR07"/>
    <x v="66"/>
    <d v="2022-06-17T00:00:00"/>
    <d v="2022-06-19T00:00:00"/>
    <n v="3"/>
    <n v="4999"/>
    <n v="10"/>
    <n v="1499.7"/>
    <n v="13497.3"/>
    <n v="5097.3"/>
    <x v="0"/>
    <x v="3"/>
    <x v="2"/>
    <x v="1"/>
    <n v="2"/>
    <x v="0"/>
    <s v="June"/>
    <s v="Q2"/>
    <n v="7"/>
    <e v="#REF!"/>
    <s v="Normal"/>
    <n v="1420"/>
  </r>
  <r>
    <s v="ORD-00069"/>
    <s v="C0383"/>
    <x v="11"/>
    <s v="2024-02"/>
    <s v="SR05"/>
    <x v="67"/>
    <d v="2024-02-26T00:00:00"/>
    <d v="2024-02-26T00:00:00"/>
    <n v="3"/>
    <n v="8495"/>
    <n v="20"/>
    <n v="5097"/>
    <n v="20388"/>
    <n v="3888"/>
    <x v="0"/>
    <x v="2"/>
    <x v="3"/>
    <x v="3"/>
    <n v="3"/>
    <x v="2"/>
    <s v="February"/>
    <s v="Q1"/>
    <n v="3"/>
    <e v="#REF!"/>
    <s v="Normal"/>
    <n v="797"/>
  </r>
  <r>
    <s v="ORD-00070"/>
    <s v="C0258"/>
    <x v="22"/>
    <s v="2022-11"/>
    <s v="SR02"/>
    <x v="68"/>
    <d v="2022-11-16T00:00:00"/>
    <d v="2022-11-19T00:00:00"/>
    <n v="4"/>
    <n v="5999"/>
    <n v="20"/>
    <n v="4799.2"/>
    <n v="19196.8"/>
    <n v="3996.8"/>
    <x v="0"/>
    <x v="1"/>
    <x v="3"/>
    <x v="1"/>
    <n v="4"/>
    <x v="0"/>
    <s v="November"/>
    <s v="Q4"/>
    <n v="6"/>
    <e v="#REF!"/>
    <s v="Normal"/>
    <n v="1267"/>
  </r>
  <r>
    <s v="ORD-00071"/>
    <s v="C0149"/>
    <x v="1"/>
    <s v="2022-09"/>
    <s v="SR01"/>
    <x v="69"/>
    <d v="2022-09-29T00:00:00"/>
    <d v="2022-10-02T00:00:00"/>
    <n v="5"/>
    <n v="19999"/>
    <n v="0"/>
    <n v="0"/>
    <n v="99995"/>
    <n v="34995"/>
    <x v="0"/>
    <x v="2"/>
    <x v="0"/>
    <x v="2"/>
    <n v="3"/>
    <x v="0"/>
    <s v="September"/>
    <s v="Q3"/>
    <n v="1"/>
    <e v="#REF!"/>
    <s v="Normal"/>
    <n v="1310"/>
  </r>
  <r>
    <s v="ORD-00072"/>
    <s v="C0044"/>
    <x v="1"/>
    <s v="2022-09"/>
    <s v="SR08"/>
    <x v="70"/>
    <d v="2022-09-29T00:00:00"/>
    <d v="2022-09-30T00:00:00"/>
    <n v="4"/>
    <n v="19999"/>
    <n v="10"/>
    <n v="7999.6"/>
    <n v="71996.399999999994"/>
    <n v="19996.400000000001"/>
    <x v="0"/>
    <x v="4"/>
    <x v="1"/>
    <x v="0"/>
    <n v="2"/>
    <x v="0"/>
    <s v="September"/>
    <s v="Q3"/>
    <n v="4"/>
    <e v="#REF!"/>
    <s v="Normal"/>
    <n v="1313"/>
  </r>
  <r>
    <s v="ORD-00073"/>
    <s v="C0288"/>
    <x v="0"/>
    <s v="2023-05"/>
    <s v="SR03"/>
    <x v="71"/>
    <d v="2023-05-15T00:00:00"/>
    <d v="2023-05-18T00:00:00"/>
    <n v="3"/>
    <n v="3499"/>
    <n v="0"/>
    <n v="0"/>
    <n v="10497"/>
    <n v="5097"/>
    <x v="0"/>
    <x v="1"/>
    <x v="0"/>
    <x v="0"/>
    <n v="4"/>
    <x v="1"/>
    <s v="May"/>
    <s v="Q2"/>
    <n v="3"/>
    <e v="#REF!"/>
    <s v="Normal"/>
    <n v="1084"/>
  </r>
  <r>
    <s v="ORD-00074"/>
    <s v="C0188"/>
    <x v="17"/>
    <s v="2023-10"/>
    <s v="SR01"/>
    <x v="72"/>
    <d v="2023-10-24T00:00:00"/>
    <d v="2023-10-24T00:00:00"/>
    <n v="3"/>
    <n v="41900"/>
    <n v="0"/>
    <n v="0"/>
    <n v="125700"/>
    <n v="41700"/>
    <x v="0"/>
    <x v="0"/>
    <x v="1"/>
    <x v="2"/>
    <n v="4"/>
    <x v="1"/>
    <s v="October"/>
    <s v="Q4"/>
    <n v="5"/>
    <e v="#REF!"/>
    <s v="Normal"/>
    <n v="924"/>
  </r>
  <r>
    <s v="ORD-00075"/>
    <s v="C0320"/>
    <x v="23"/>
    <s v="2022-04"/>
    <s v="SR06"/>
    <x v="73"/>
    <d v="2022-04-04T00:00:00"/>
    <d v="2022-04-06T00:00:00"/>
    <n v="2"/>
    <n v="49990"/>
    <n v="0"/>
    <n v="0"/>
    <n v="99980"/>
    <n v="29980"/>
    <x v="0"/>
    <x v="1"/>
    <x v="2"/>
    <x v="2"/>
    <n v="2"/>
    <x v="0"/>
    <s v="April"/>
    <s v="Q2"/>
    <n v="2"/>
    <e v="#REF!"/>
    <s v="Normal"/>
    <n v="1489"/>
  </r>
  <r>
    <s v="ORD-00076"/>
    <s v="C0486"/>
    <x v="0"/>
    <s v="2023-08"/>
    <s v="SR04"/>
    <x v="74"/>
    <d v="2023-08-16T00:00:00"/>
    <d v="2023-08-16T00:00:00"/>
    <n v="3"/>
    <n v="3499"/>
    <n v="15"/>
    <n v="1574.55"/>
    <n v="8922.4500000000007"/>
    <n v="3522.45"/>
    <x v="0"/>
    <x v="3"/>
    <x v="2"/>
    <x v="4"/>
    <n v="3"/>
    <x v="1"/>
    <s v="August"/>
    <s v="Q3"/>
    <n v="3"/>
    <e v="#REF!"/>
    <s v="Normal"/>
    <n v="991"/>
  </r>
  <r>
    <s v="ORD-00077"/>
    <s v="C0108"/>
    <x v="2"/>
    <s v="2023-02"/>
    <s v="SR02"/>
    <x v="75"/>
    <m/>
    <m/>
    <n v="5"/>
    <n v="4999"/>
    <n v="5"/>
    <n v="1249.75"/>
    <n v="23745.25"/>
    <n v="9745.25"/>
    <x v="1"/>
    <x v="2"/>
    <x v="0"/>
    <x v="1"/>
    <m/>
    <x v="1"/>
    <s v="February"/>
    <s v="Q1"/>
    <m/>
    <e v="#REF!"/>
    <s v="Normal"/>
    <n v="1163"/>
  </r>
  <r>
    <s v="ORD-00078"/>
    <s v="C0319"/>
    <x v="2"/>
    <s v="2022-02"/>
    <s v="SR05"/>
    <x v="76"/>
    <d v="2022-02-12T00:00:00"/>
    <d v="2022-02-12T00:00:00"/>
    <n v="3"/>
    <n v="4999"/>
    <n v="0"/>
    <n v="0"/>
    <n v="14997"/>
    <n v="6597"/>
    <x v="0"/>
    <x v="1"/>
    <x v="4"/>
    <x v="3"/>
    <n v="2"/>
    <x v="0"/>
    <s v="February"/>
    <s v="Q1"/>
    <n v="5"/>
    <e v="#REF!"/>
    <s v="Normal"/>
    <n v="1543"/>
  </r>
  <r>
    <s v="ORD-00079"/>
    <s v="C0405"/>
    <x v="22"/>
    <s v="2022-04"/>
    <s v="SR08"/>
    <x v="77"/>
    <d v="2022-04-25T00:00:00"/>
    <d v="2022-04-25T00:00:00"/>
    <n v="1"/>
    <n v="5999"/>
    <n v="10"/>
    <n v="599.9"/>
    <n v="5399.1"/>
    <n v="1599.1"/>
    <x v="0"/>
    <x v="4"/>
    <x v="4"/>
    <x v="0"/>
    <n v="3"/>
    <x v="0"/>
    <s v="April"/>
    <s v="Q2"/>
    <n v="6"/>
    <e v="#REF!"/>
    <s v="Normal"/>
    <n v="1472"/>
  </r>
  <r>
    <s v="ORD-00080"/>
    <s v="C0443"/>
    <x v="10"/>
    <s v="2023-08"/>
    <s v="SR04"/>
    <x v="78"/>
    <m/>
    <m/>
    <n v="4"/>
    <n v="55990"/>
    <n v="5"/>
    <n v="11198"/>
    <n v="212762"/>
    <n v="52762"/>
    <x v="2"/>
    <x v="3"/>
    <x v="1"/>
    <x v="4"/>
    <m/>
    <x v="1"/>
    <s v="August"/>
    <s v="Q3"/>
    <m/>
    <e v="#REF!"/>
    <s v="Normal"/>
    <n v="981"/>
  </r>
  <r>
    <s v="ORD-00081"/>
    <s v="C0364"/>
    <x v="10"/>
    <s v="2024-09"/>
    <s v="SR05"/>
    <x v="79"/>
    <m/>
    <m/>
    <n v="5"/>
    <n v="55990"/>
    <n v="0"/>
    <n v="0"/>
    <n v="279950"/>
    <n v="79950"/>
    <x v="1"/>
    <x v="5"/>
    <x v="3"/>
    <x v="3"/>
    <m/>
    <x v="2"/>
    <s v="September"/>
    <s v="Q3"/>
    <m/>
    <e v="#REF!"/>
    <s v="Normal"/>
    <n v="588"/>
  </r>
  <r>
    <s v="ORD-00082"/>
    <s v="C0257"/>
    <x v="19"/>
    <s v="2022-03"/>
    <s v="SR03"/>
    <x v="80"/>
    <d v="2022-03-28T00:00:00"/>
    <d v="2022-03-30T00:00:00"/>
    <n v="3"/>
    <n v="64999"/>
    <n v="15"/>
    <n v="29249.55"/>
    <n v="165747.45000000001"/>
    <n v="30747.45"/>
    <x v="0"/>
    <x v="3"/>
    <x v="3"/>
    <x v="0"/>
    <n v="1"/>
    <x v="0"/>
    <s v="March"/>
    <s v="Q1"/>
    <n v="5"/>
    <e v="#REF!"/>
    <s v="Normal"/>
    <n v="1499"/>
  </r>
  <r>
    <s v="ORD-00083"/>
    <s v="C0178"/>
    <x v="9"/>
    <s v="2023-12"/>
    <s v="SR07"/>
    <x v="20"/>
    <m/>
    <m/>
    <n v="3"/>
    <n v="7499"/>
    <n v="5"/>
    <n v="1124.8499999999999"/>
    <n v="21372.15"/>
    <n v="6972.15"/>
    <x v="2"/>
    <x v="2"/>
    <x v="4"/>
    <x v="1"/>
    <m/>
    <x v="1"/>
    <s v="December"/>
    <s v="Q4"/>
    <m/>
    <e v="#REF!"/>
    <s v="Normal"/>
    <n v="853"/>
  </r>
  <r>
    <s v="ORD-00084"/>
    <s v="C0416"/>
    <x v="24"/>
    <s v="2024-03"/>
    <s v="SR07"/>
    <x v="81"/>
    <d v="2024-03-08T00:00:00"/>
    <d v="2024-03-10T00:00:00"/>
    <n v="2"/>
    <n v="69999"/>
    <n v="0"/>
    <n v="0"/>
    <n v="139998"/>
    <n v="43998"/>
    <x v="0"/>
    <x v="0"/>
    <x v="0"/>
    <x v="1"/>
    <n v="2"/>
    <x v="2"/>
    <s v="March"/>
    <s v="Q1"/>
    <n v="5"/>
    <e v="#REF!"/>
    <s v="Normal"/>
    <n v="788"/>
  </r>
  <r>
    <s v="ORD-00085"/>
    <s v="C0045"/>
    <x v="2"/>
    <s v="2024-12"/>
    <s v="SR05"/>
    <x v="82"/>
    <m/>
    <m/>
    <n v="5"/>
    <n v="4999"/>
    <n v="5"/>
    <n v="1249.75"/>
    <n v="23745.25"/>
    <n v="9745.25"/>
    <x v="2"/>
    <x v="3"/>
    <x v="3"/>
    <x v="3"/>
    <m/>
    <x v="2"/>
    <s v="December"/>
    <s v="Q4"/>
    <m/>
    <e v="#REF!"/>
    <s v="Normal"/>
    <n v="514"/>
  </r>
  <r>
    <s v="ORD-00086"/>
    <s v="C0294"/>
    <x v="23"/>
    <s v="2023-10"/>
    <s v="SR04"/>
    <x v="83"/>
    <m/>
    <m/>
    <n v="3"/>
    <n v="49990"/>
    <n v="15"/>
    <n v="22495.5"/>
    <n v="127474.5"/>
    <n v="22474.5"/>
    <x v="1"/>
    <x v="2"/>
    <x v="3"/>
    <x v="4"/>
    <m/>
    <x v="1"/>
    <s v="October"/>
    <s v="Q4"/>
    <m/>
    <e v="#REF!"/>
    <s v="Normal"/>
    <n v="941"/>
  </r>
  <r>
    <s v="ORD-00087"/>
    <s v="C0106"/>
    <x v="11"/>
    <s v="2023-02"/>
    <s v="SR01"/>
    <x v="84"/>
    <d v="2023-02-22T00:00:00"/>
    <d v="2023-02-23T00:00:00"/>
    <n v="4"/>
    <n v="8495"/>
    <n v="0"/>
    <n v="0"/>
    <n v="33980"/>
    <n v="11980"/>
    <x v="0"/>
    <x v="4"/>
    <x v="1"/>
    <x v="2"/>
    <n v="2"/>
    <x v="1"/>
    <s v="February"/>
    <s v="Q1"/>
    <n v="3"/>
    <e v="#REF!"/>
    <s v="Normal"/>
    <n v="1166"/>
  </r>
  <r>
    <s v="ORD-00088"/>
    <s v="C0163"/>
    <x v="20"/>
    <s v="2023-01"/>
    <s v="SR04"/>
    <x v="85"/>
    <d v="2023-01-20T00:00:00"/>
    <d v="2023-01-21T00:00:00"/>
    <n v="1"/>
    <n v="114900"/>
    <n v="10"/>
    <n v="11490"/>
    <n v="103410"/>
    <n v="18410"/>
    <x v="0"/>
    <x v="3"/>
    <x v="0"/>
    <x v="4"/>
    <n v="3"/>
    <x v="1"/>
    <s v="January"/>
    <s v="Q1"/>
    <n v="7"/>
    <e v="#REF!"/>
    <s v="Normal"/>
    <n v="1203"/>
  </r>
  <r>
    <s v="ORD-00089"/>
    <s v="C0227"/>
    <x v="2"/>
    <s v="2022-11"/>
    <s v="SR07"/>
    <x v="86"/>
    <d v="2022-11-09T00:00:00"/>
    <d v="2022-11-10T00:00:00"/>
    <n v="2"/>
    <n v="4999"/>
    <n v="0"/>
    <n v="0"/>
    <n v="9998"/>
    <n v="4398"/>
    <x v="0"/>
    <x v="2"/>
    <x v="1"/>
    <x v="1"/>
    <n v="3"/>
    <x v="0"/>
    <s v="November"/>
    <s v="Q4"/>
    <n v="1"/>
    <e v="#REF!"/>
    <s v="Normal"/>
    <n v="1269"/>
  </r>
  <r>
    <s v="ORD-00090"/>
    <s v="C0311"/>
    <x v="15"/>
    <s v="2023-04"/>
    <s v="SR03"/>
    <x v="87"/>
    <d v="2023-04-27T00:00:00"/>
    <d v="2023-04-27T00:00:00"/>
    <n v="3"/>
    <n v="2499"/>
    <n v="0"/>
    <n v="0"/>
    <n v="7497"/>
    <n v="3897"/>
    <x v="0"/>
    <x v="4"/>
    <x v="0"/>
    <x v="0"/>
    <n v="2"/>
    <x v="1"/>
    <s v="April"/>
    <s v="Q2"/>
    <n v="6"/>
    <e v="#REF!"/>
    <s v="Normal"/>
    <n v="1105"/>
  </r>
  <r>
    <s v="ORD-00091"/>
    <s v="C0258"/>
    <x v="0"/>
    <s v="2024-02"/>
    <s v="SR07"/>
    <x v="88"/>
    <d v="2024-02-12T00:00:00"/>
    <d v="2024-02-15T00:00:00"/>
    <n v="4"/>
    <n v="3499"/>
    <n v="15"/>
    <n v="2099.4"/>
    <n v="11896.6"/>
    <n v="4696.6000000000004"/>
    <x v="0"/>
    <x v="5"/>
    <x v="3"/>
    <x v="1"/>
    <n v="2"/>
    <x v="2"/>
    <s v="February"/>
    <s v="Q1"/>
    <n v="7"/>
    <e v="#REF!"/>
    <s v="Normal"/>
    <n v="815"/>
  </r>
  <r>
    <s v="ORD-00092"/>
    <s v="C0116"/>
    <x v="24"/>
    <s v="2022-01"/>
    <s v="SR07"/>
    <x v="89"/>
    <d v="2022-02-04T00:00:00"/>
    <d v="2022-02-05T00:00:00"/>
    <n v="2"/>
    <n v="69999"/>
    <n v="5"/>
    <n v="6999.9"/>
    <n v="132998.1"/>
    <n v="36998.1"/>
    <x v="0"/>
    <x v="1"/>
    <x v="3"/>
    <x v="1"/>
    <n v="4"/>
    <x v="0"/>
    <s v="January"/>
    <s v="Q1"/>
    <n v="4"/>
    <e v="#REF!"/>
    <s v="Normal"/>
    <n v="1550"/>
  </r>
  <r>
    <s v="ORD-00093"/>
    <s v="C0444"/>
    <x v="0"/>
    <s v="2023-10"/>
    <s v="SR06"/>
    <x v="90"/>
    <d v="2023-10-30T00:00:00"/>
    <d v="2023-11-02T00:00:00"/>
    <n v="4"/>
    <n v="3499"/>
    <n v="0"/>
    <n v="0"/>
    <n v="13996"/>
    <n v="6796"/>
    <x v="0"/>
    <x v="2"/>
    <x v="0"/>
    <x v="2"/>
    <n v="3"/>
    <x v="1"/>
    <s v="October"/>
    <s v="Q4"/>
    <n v="2"/>
    <e v="#REF!"/>
    <s v="Normal"/>
    <n v="915"/>
  </r>
  <r>
    <s v="ORD-00094"/>
    <s v="C0202"/>
    <x v="0"/>
    <s v="2024-12"/>
    <s v="SR03"/>
    <x v="82"/>
    <d v="2024-12-06T00:00:00"/>
    <d v="2024-12-09T00:00:00"/>
    <n v="1"/>
    <n v="3499"/>
    <n v="5"/>
    <n v="174.95"/>
    <n v="3324.05"/>
    <n v="1524.05"/>
    <x v="0"/>
    <x v="2"/>
    <x v="1"/>
    <x v="0"/>
    <n v="4"/>
    <x v="2"/>
    <s v="December"/>
    <s v="Q4"/>
    <n v="4"/>
    <e v="#REF!"/>
    <s v="Normal"/>
    <n v="514"/>
  </r>
  <r>
    <s v="ORD-00095"/>
    <s v="C0377"/>
    <x v="24"/>
    <s v="2024-11"/>
    <s v="SR08"/>
    <x v="91"/>
    <m/>
    <m/>
    <n v="1"/>
    <n v="69999"/>
    <n v="5"/>
    <n v="3499.95"/>
    <n v="66499.05"/>
    <n v="18499.05"/>
    <x v="2"/>
    <x v="0"/>
    <x v="0"/>
    <x v="0"/>
    <m/>
    <x v="2"/>
    <s v="November"/>
    <s v="Q4"/>
    <m/>
    <e v="#REF!"/>
    <s v="Normal"/>
    <n v="523"/>
  </r>
  <r>
    <s v="ORD-00096"/>
    <s v="C0204"/>
    <x v="13"/>
    <s v="2024-08"/>
    <s v="SR07"/>
    <x v="92"/>
    <d v="2024-08-06T00:00:00"/>
    <d v="2024-08-08T00:00:00"/>
    <n v="5"/>
    <n v="12999"/>
    <n v="0"/>
    <n v="0"/>
    <n v="64995"/>
    <n v="24995"/>
    <x v="0"/>
    <x v="4"/>
    <x v="1"/>
    <x v="1"/>
    <n v="2"/>
    <x v="2"/>
    <s v="August"/>
    <s v="Q3"/>
    <n v="4"/>
    <e v="#REF!"/>
    <s v="Normal"/>
    <n v="636"/>
  </r>
  <r>
    <s v="ORD-00097"/>
    <s v="C0238"/>
    <x v="11"/>
    <s v="2022-07"/>
    <s v="SR06"/>
    <x v="93"/>
    <m/>
    <m/>
    <n v="5"/>
    <n v="8495"/>
    <n v="0"/>
    <n v="0"/>
    <n v="42475"/>
    <n v="14975"/>
    <x v="2"/>
    <x v="5"/>
    <x v="1"/>
    <x v="2"/>
    <m/>
    <x v="0"/>
    <s v="July"/>
    <s v="Q3"/>
    <m/>
    <e v="#REF!"/>
    <s v="Normal"/>
    <n v="1395"/>
  </r>
  <r>
    <s v="ORD-00098"/>
    <s v="C0481"/>
    <x v="22"/>
    <s v="2024-03"/>
    <s v="SR04"/>
    <x v="94"/>
    <d v="2024-03-19T00:00:00"/>
    <d v="2024-03-22T00:00:00"/>
    <n v="1"/>
    <n v="5999"/>
    <n v="0"/>
    <n v="0"/>
    <n v="5999"/>
    <n v="2199"/>
    <x v="0"/>
    <x v="3"/>
    <x v="1"/>
    <x v="4"/>
    <n v="2"/>
    <x v="2"/>
    <s v="March"/>
    <s v="Q1"/>
    <n v="3"/>
    <e v="#REF!"/>
    <s v="Normal"/>
    <n v="775"/>
  </r>
  <r>
    <s v="ORD-00099"/>
    <s v="C0452"/>
    <x v="19"/>
    <s v="2023-05"/>
    <s v="SR02"/>
    <x v="95"/>
    <d v="2023-06-03T00:00:00"/>
    <d v="2023-06-04T00:00:00"/>
    <n v="1"/>
    <n v="64999"/>
    <n v="0"/>
    <n v="0"/>
    <n v="64999"/>
    <n v="19999"/>
    <x v="0"/>
    <x v="1"/>
    <x v="0"/>
    <x v="1"/>
    <n v="3"/>
    <x v="1"/>
    <s v="May"/>
    <s v="Q2"/>
    <n v="6"/>
    <e v="#REF!"/>
    <s v="Normal"/>
    <n v="1068"/>
  </r>
  <r>
    <s v="ORD-00100"/>
    <s v="C0044"/>
    <x v="21"/>
    <s v="2024-11"/>
    <s v="SR08"/>
    <x v="96"/>
    <m/>
    <m/>
    <n v="2"/>
    <n v="59900"/>
    <n v="10"/>
    <n v="11980"/>
    <n v="107820"/>
    <n v="23820"/>
    <x v="1"/>
    <x v="2"/>
    <x v="0"/>
    <x v="0"/>
    <m/>
    <x v="2"/>
    <s v="November"/>
    <s v="Q4"/>
    <m/>
    <e v="#REF!"/>
    <s v="Normal"/>
    <n v="533"/>
  </r>
  <r>
    <s v="ORD-00101"/>
    <s v="C0023"/>
    <x v="12"/>
    <s v="2023-11"/>
    <s v="SR01"/>
    <x v="97"/>
    <m/>
    <m/>
    <n v="2"/>
    <n v="1599"/>
    <n v="0"/>
    <n v="0"/>
    <n v="3198"/>
    <n v="1598"/>
    <x v="1"/>
    <x v="5"/>
    <x v="3"/>
    <x v="2"/>
    <m/>
    <x v="1"/>
    <s v="November"/>
    <s v="Q4"/>
    <m/>
    <e v="#REF!"/>
    <s v="Normal"/>
    <n v="894"/>
  </r>
  <r>
    <s v="ORD-00102"/>
    <s v="C0394"/>
    <x v="22"/>
    <s v="2024-05"/>
    <s v="SR01"/>
    <x v="98"/>
    <d v="2024-05-12T00:00:00"/>
    <d v="2024-05-15T00:00:00"/>
    <n v="3"/>
    <n v="5999"/>
    <n v="0"/>
    <n v="0"/>
    <n v="17997"/>
    <n v="6597"/>
    <x v="0"/>
    <x v="1"/>
    <x v="3"/>
    <x v="2"/>
    <n v="2"/>
    <x v="2"/>
    <s v="May"/>
    <s v="Q2"/>
    <n v="3"/>
    <e v="#REF!"/>
    <s v="Normal"/>
    <n v="721"/>
  </r>
  <r>
    <s v="ORD-00103"/>
    <s v="C0002"/>
    <x v="0"/>
    <s v="2022-01"/>
    <s v="SR05"/>
    <x v="39"/>
    <d v="2022-01-30T00:00:00"/>
    <d v="2022-02-02T00:00:00"/>
    <n v="5"/>
    <n v="3499"/>
    <n v="0"/>
    <n v="0"/>
    <n v="17495"/>
    <n v="8495"/>
    <x v="0"/>
    <x v="2"/>
    <x v="0"/>
    <x v="3"/>
    <n v="2"/>
    <x v="0"/>
    <s v="January"/>
    <s v="Q1"/>
    <n v="4"/>
    <e v="#REF!"/>
    <s v="Normal"/>
    <n v="1555"/>
  </r>
  <r>
    <s v="ORD-00104"/>
    <s v="C0112"/>
    <x v="15"/>
    <s v="2024-07"/>
    <s v="SR07"/>
    <x v="99"/>
    <d v="2024-07-22T00:00:00"/>
    <d v="2024-07-22T00:00:00"/>
    <n v="5"/>
    <n v="2499"/>
    <n v="0"/>
    <n v="0"/>
    <n v="12495"/>
    <n v="6495"/>
    <x v="0"/>
    <x v="5"/>
    <x v="1"/>
    <x v="1"/>
    <n v="3"/>
    <x v="2"/>
    <s v="July"/>
    <s v="Q3"/>
    <n v="4"/>
    <e v="#REF!"/>
    <s v="Normal"/>
    <n v="651"/>
  </r>
  <r>
    <s v="ORD-00105"/>
    <s v="C0318"/>
    <x v="11"/>
    <s v="2022-04"/>
    <s v="SR03"/>
    <x v="100"/>
    <d v="2022-04-13T00:00:00"/>
    <d v="2022-04-13T00:00:00"/>
    <n v="3"/>
    <n v="8495"/>
    <n v="0"/>
    <n v="0"/>
    <n v="25485"/>
    <n v="8985"/>
    <x v="0"/>
    <x v="5"/>
    <x v="2"/>
    <x v="0"/>
    <n v="5"/>
    <x v="0"/>
    <s v="April"/>
    <s v="Q2"/>
    <n v="2"/>
    <e v="#REF!"/>
    <s v="Normal"/>
    <n v="1480"/>
  </r>
  <r>
    <s v="ORD-00106"/>
    <s v="C0430"/>
    <x v="0"/>
    <s v="2023-11"/>
    <s v="SR08"/>
    <x v="101"/>
    <d v="2023-11-11T00:00:00"/>
    <d v="2023-11-11T00:00:00"/>
    <n v="4"/>
    <n v="3499"/>
    <n v="0"/>
    <n v="0"/>
    <n v="13996"/>
    <n v="6796"/>
    <x v="0"/>
    <x v="5"/>
    <x v="4"/>
    <x v="0"/>
    <n v="5"/>
    <x v="1"/>
    <s v="November"/>
    <s v="Q4"/>
    <n v="1"/>
    <e v="#REF!"/>
    <s v="Normal"/>
    <n v="902"/>
  </r>
  <r>
    <s v="ORD-00107"/>
    <s v="C0339"/>
    <x v="22"/>
    <s v="2024-07"/>
    <s v="SR03"/>
    <x v="102"/>
    <m/>
    <m/>
    <n v="5"/>
    <n v="5999"/>
    <n v="10"/>
    <n v="2999.5"/>
    <n v="26995.5"/>
    <n v="7995.5"/>
    <x v="2"/>
    <x v="1"/>
    <x v="2"/>
    <x v="0"/>
    <m/>
    <x v="2"/>
    <s v="July"/>
    <s v="Q3"/>
    <m/>
    <e v="#REF!"/>
    <s v="Normal"/>
    <n v="648"/>
  </r>
  <r>
    <s v="ORD-00108"/>
    <s v="C0394"/>
    <x v="13"/>
    <s v="2024-01"/>
    <s v="SR06"/>
    <x v="103"/>
    <d v="2024-02-01T00:00:00"/>
    <d v="2024-02-01T00:00:00"/>
    <n v="4"/>
    <n v="12999"/>
    <n v="20"/>
    <n v="10399.200000000001"/>
    <n v="41596.800000000003"/>
    <n v="9596.7999999999993"/>
    <x v="0"/>
    <x v="1"/>
    <x v="4"/>
    <x v="2"/>
    <n v="4"/>
    <x v="2"/>
    <s v="January"/>
    <s v="Q1"/>
    <n v="7"/>
    <e v="#REF!"/>
    <s v="Normal"/>
    <n v="826"/>
  </r>
  <r>
    <s v="ORD-00109"/>
    <s v="C0069"/>
    <x v="10"/>
    <s v="2023-11"/>
    <s v="SR08"/>
    <x v="104"/>
    <m/>
    <m/>
    <n v="4"/>
    <n v="55990"/>
    <n v="20"/>
    <n v="44792"/>
    <n v="179168"/>
    <n v="19168"/>
    <x v="1"/>
    <x v="5"/>
    <x v="3"/>
    <x v="0"/>
    <m/>
    <x v="1"/>
    <s v="November"/>
    <s v="Q4"/>
    <m/>
    <e v="#REF!"/>
    <s v="Normal"/>
    <n v="906"/>
  </r>
  <r>
    <s v="ORD-00110"/>
    <s v="C0314"/>
    <x v="24"/>
    <s v="2024-12"/>
    <s v="SR02"/>
    <x v="105"/>
    <d v="2024-12-23T00:00:00"/>
    <d v="2024-12-25T00:00:00"/>
    <n v="4"/>
    <n v="69999"/>
    <n v="10"/>
    <n v="27999.599999999999"/>
    <n v="251996.4"/>
    <n v="59996.4"/>
    <x v="0"/>
    <x v="0"/>
    <x v="1"/>
    <x v="1"/>
    <n v="5"/>
    <x v="2"/>
    <s v="December"/>
    <s v="Q4"/>
    <n v="4"/>
    <e v="#REF!"/>
    <s v="Normal"/>
    <n v="497"/>
  </r>
  <r>
    <s v="ORD-00111"/>
    <s v="C0320"/>
    <x v="17"/>
    <s v="2024-10"/>
    <s v="SR01"/>
    <x v="106"/>
    <m/>
    <m/>
    <n v="4"/>
    <n v="41900"/>
    <n v="15"/>
    <n v="25140"/>
    <n v="142460"/>
    <n v="30460"/>
    <x v="1"/>
    <x v="5"/>
    <x v="1"/>
    <x v="2"/>
    <m/>
    <x v="2"/>
    <s v="October"/>
    <s v="Q4"/>
    <m/>
    <e v="#REF!"/>
    <s v="Normal"/>
    <n v="564"/>
  </r>
  <r>
    <s v="ORD-00112"/>
    <s v="C0120"/>
    <x v="22"/>
    <s v="2023-02"/>
    <s v="SR04"/>
    <x v="107"/>
    <d v="2023-02-02T00:00:00"/>
    <d v="2023-02-02T00:00:00"/>
    <n v="4"/>
    <n v="5999"/>
    <n v="0"/>
    <n v="0"/>
    <n v="23996"/>
    <n v="8796"/>
    <x v="0"/>
    <x v="4"/>
    <x v="3"/>
    <x v="4"/>
    <n v="5"/>
    <x v="1"/>
    <s v="February"/>
    <s v="Q1"/>
    <n v="1"/>
    <e v="#REF!"/>
    <s v="Normal"/>
    <n v="1184"/>
  </r>
  <r>
    <s v="ORD-00113"/>
    <s v="C0213"/>
    <x v="3"/>
    <s v="2023-11"/>
    <s v="SR05"/>
    <x v="108"/>
    <d v="2023-11-20T00:00:00"/>
    <d v="2023-11-21T00:00:00"/>
    <n v="1"/>
    <n v="24999"/>
    <n v="5"/>
    <n v="1249.95"/>
    <n v="23749.05"/>
    <n v="6749.05"/>
    <x v="0"/>
    <x v="4"/>
    <x v="4"/>
    <x v="3"/>
    <n v="3"/>
    <x v="1"/>
    <s v="November"/>
    <s v="Q4"/>
    <n v="5"/>
    <e v="#REF!"/>
    <s v="Normal"/>
    <n v="897"/>
  </r>
  <r>
    <s v="ORD-00114"/>
    <s v="C0405"/>
    <x v="20"/>
    <s v="2023-09"/>
    <s v="SR08"/>
    <x v="109"/>
    <m/>
    <m/>
    <n v="5"/>
    <n v="114900"/>
    <n v="10"/>
    <n v="57450"/>
    <n v="517050"/>
    <n v="92050"/>
    <x v="1"/>
    <x v="1"/>
    <x v="2"/>
    <x v="0"/>
    <m/>
    <x v="1"/>
    <s v="September"/>
    <s v="Q3"/>
    <m/>
    <e v="#REF!"/>
    <s v="High Outlier"/>
    <n v="966"/>
  </r>
  <r>
    <s v="ORD-00115"/>
    <s v="C0352"/>
    <x v="7"/>
    <s v="2024-03"/>
    <s v="SR07"/>
    <x v="110"/>
    <m/>
    <m/>
    <n v="5"/>
    <n v="9999"/>
    <n v="0"/>
    <n v="0"/>
    <n v="49995"/>
    <n v="17495"/>
    <x v="2"/>
    <x v="5"/>
    <x v="3"/>
    <x v="1"/>
    <m/>
    <x v="2"/>
    <s v="March"/>
    <s v="Q1"/>
    <m/>
    <e v="#REF!"/>
    <s v="Normal"/>
    <n v="769"/>
  </r>
  <r>
    <s v="ORD-00116"/>
    <s v="C0170"/>
    <x v="7"/>
    <s v="2024-08"/>
    <s v="SR07"/>
    <x v="111"/>
    <d v="2024-09-04T00:00:00"/>
    <d v="2024-09-05T00:00:00"/>
    <n v="4"/>
    <n v="9999"/>
    <n v="0"/>
    <n v="0"/>
    <n v="39996"/>
    <n v="13996"/>
    <x v="0"/>
    <x v="4"/>
    <x v="0"/>
    <x v="1"/>
    <n v="5"/>
    <x v="2"/>
    <s v="August"/>
    <s v="Q3"/>
    <n v="6"/>
    <e v="#REF!"/>
    <s v="Normal"/>
    <n v="609"/>
  </r>
  <r>
    <s v="ORD-00117"/>
    <s v="C0459"/>
    <x v="7"/>
    <s v="2024-04"/>
    <s v="SR06"/>
    <x v="112"/>
    <m/>
    <m/>
    <n v="1"/>
    <n v="9999"/>
    <n v="20"/>
    <n v="1999.8"/>
    <n v="7999.2"/>
    <n v="1499.2"/>
    <x v="2"/>
    <x v="0"/>
    <x v="1"/>
    <x v="2"/>
    <m/>
    <x v="2"/>
    <s v="April"/>
    <s v="Q2"/>
    <m/>
    <e v="#REF!"/>
    <s v="Normal"/>
    <n v="733"/>
  </r>
  <r>
    <s v="ORD-00118"/>
    <s v="C0372"/>
    <x v="9"/>
    <s v="2022-02"/>
    <s v="SR08"/>
    <x v="113"/>
    <d v="2022-02-13T00:00:00"/>
    <d v="2022-02-15T00:00:00"/>
    <n v="3"/>
    <n v="7499"/>
    <n v="0"/>
    <n v="0"/>
    <n v="22497"/>
    <n v="8097"/>
    <x v="0"/>
    <x v="5"/>
    <x v="4"/>
    <x v="0"/>
    <n v="1"/>
    <x v="0"/>
    <s v="February"/>
    <s v="Q1"/>
    <n v="5"/>
    <e v="#REF!"/>
    <s v="Normal"/>
    <n v="1542"/>
  </r>
  <r>
    <s v="ORD-00119"/>
    <s v="C0174"/>
    <x v="1"/>
    <s v="2024-03"/>
    <s v="SR03"/>
    <x v="114"/>
    <d v="2024-03-13T00:00:00"/>
    <d v="2024-03-13T00:00:00"/>
    <n v="3"/>
    <n v="19999"/>
    <n v="10"/>
    <n v="5999.7"/>
    <n v="53997.3"/>
    <n v="14997.3"/>
    <x v="0"/>
    <x v="4"/>
    <x v="2"/>
    <x v="0"/>
    <n v="3"/>
    <x v="2"/>
    <s v="March"/>
    <s v="Q1"/>
    <n v="5"/>
    <e v="#REF!"/>
    <s v="Normal"/>
    <n v="783"/>
  </r>
  <r>
    <s v="ORD-00120"/>
    <s v="C0212"/>
    <x v="20"/>
    <s v="2023-05"/>
    <s v="SR06"/>
    <x v="115"/>
    <d v="2023-05-06T00:00:00"/>
    <d v="2023-05-08T00:00:00"/>
    <n v="2"/>
    <n v="114900"/>
    <n v="20"/>
    <n v="45960"/>
    <n v="183840"/>
    <n v="13840"/>
    <x v="0"/>
    <x v="0"/>
    <x v="3"/>
    <x v="2"/>
    <n v="1"/>
    <x v="1"/>
    <s v="May"/>
    <s v="Q2"/>
    <n v="4"/>
    <e v="#REF!"/>
    <s v="Normal"/>
    <n v="1094"/>
  </r>
  <r>
    <s v="ORD-00121"/>
    <s v="C0192"/>
    <x v="24"/>
    <s v="2022-07"/>
    <s v="SR02"/>
    <x v="116"/>
    <d v="2022-07-14T00:00:00"/>
    <d v="2022-07-14T00:00:00"/>
    <n v="4"/>
    <n v="69999"/>
    <n v="20"/>
    <n v="55999.199999999997"/>
    <n v="223996.79999999999"/>
    <n v="31996.799999999999"/>
    <x v="0"/>
    <x v="5"/>
    <x v="3"/>
    <x v="1"/>
    <n v="3"/>
    <x v="0"/>
    <s v="July"/>
    <s v="Q3"/>
    <n v="5"/>
    <e v="#REF!"/>
    <s v="Normal"/>
    <n v="1391"/>
  </r>
  <r>
    <s v="ORD-00122"/>
    <s v="C0473"/>
    <x v="14"/>
    <s v="2023-11"/>
    <s v="SR06"/>
    <x v="117"/>
    <d v="2023-11-09T00:00:00"/>
    <d v="2023-11-09T00:00:00"/>
    <n v="5"/>
    <n v="29999"/>
    <n v="0"/>
    <n v="0"/>
    <n v="149995"/>
    <n v="49995"/>
    <x v="0"/>
    <x v="5"/>
    <x v="2"/>
    <x v="2"/>
    <n v="4"/>
    <x v="1"/>
    <s v="November"/>
    <s v="Q4"/>
    <n v="7"/>
    <e v="#REF!"/>
    <s v="Normal"/>
    <n v="910"/>
  </r>
  <r>
    <s v="ORD-00123"/>
    <s v="C0199"/>
    <x v="22"/>
    <s v="2022-01"/>
    <s v="SR02"/>
    <x v="118"/>
    <d v="2022-01-10T00:00:00"/>
    <d v="2022-01-10T00:00:00"/>
    <n v="3"/>
    <n v="5999"/>
    <n v="15"/>
    <n v="2699.55"/>
    <n v="15297.45"/>
    <n v="3897.45"/>
    <x v="0"/>
    <x v="1"/>
    <x v="2"/>
    <x v="1"/>
    <n v="5"/>
    <x v="0"/>
    <s v="January"/>
    <s v="Q1"/>
    <n v="1"/>
    <e v="#REF!"/>
    <s v="Normal"/>
    <n v="1572"/>
  </r>
  <r>
    <s v="ORD-00124"/>
    <s v="C0393"/>
    <x v="9"/>
    <s v="2022-02"/>
    <s v="SR08"/>
    <x v="119"/>
    <m/>
    <m/>
    <n v="3"/>
    <n v="7499"/>
    <n v="5"/>
    <n v="1124.8499999999999"/>
    <n v="21372.15"/>
    <n v="6972.15"/>
    <x v="1"/>
    <x v="0"/>
    <x v="3"/>
    <x v="0"/>
    <m/>
    <x v="0"/>
    <s v="February"/>
    <s v="Q1"/>
    <m/>
    <e v="#REF!"/>
    <s v="Normal"/>
    <n v="1534"/>
  </r>
  <r>
    <s v="ORD-00125"/>
    <s v="C0099"/>
    <x v="13"/>
    <s v="2024-12"/>
    <s v="SR08"/>
    <x v="120"/>
    <d v="2025-01-02T00:00:00"/>
    <d v="2025-01-05T00:00:00"/>
    <n v="1"/>
    <n v="12999"/>
    <n v="5"/>
    <n v="649.95000000000005"/>
    <n v="12349.05"/>
    <n v="4349.05"/>
    <x v="0"/>
    <x v="5"/>
    <x v="3"/>
    <x v="0"/>
    <n v="3"/>
    <x v="2"/>
    <s v="December"/>
    <s v="Q4"/>
    <n v="7"/>
    <e v="#REF!"/>
    <s v="Normal"/>
    <n v="490"/>
  </r>
  <r>
    <s v="ORD-00126"/>
    <s v="C0059"/>
    <x v="5"/>
    <s v="2023-02"/>
    <s v="SR02"/>
    <x v="121"/>
    <m/>
    <m/>
    <n v="3"/>
    <n v="79999"/>
    <n v="20"/>
    <n v="47999.4"/>
    <n v="191997.6"/>
    <n v="26997.599999999999"/>
    <x v="1"/>
    <x v="0"/>
    <x v="4"/>
    <x v="1"/>
    <m/>
    <x v="1"/>
    <s v="February"/>
    <s v="Q1"/>
    <m/>
    <e v="#REF!"/>
    <s v="Normal"/>
    <n v="1157"/>
  </r>
  <r>
    <s v="ORD-00127"/>
    <s v="C0073"/>
    <x v="22"/>
    <s v="2023-05"/>
    <s v="SR07"/>
    <x v="122"/>
    <d v="2023-05-18T00:00:00"/>
    <d v="2023-05-20T00:00:00"/>
    <n v="5"/>
    <n v="5999"/>
    <n v="10"/>
    <n v="2999.5"/>
    <n v="26995.5"/>
    <n v="7995.5"/>
    <x v="0"/>
    <x v="2"/>
    <x v="0"/>
    <x v="1"/>
    <n v="1"/>
    <x v="1"/>
    <s v="May"/>
    <s v="Q2"/>
    <n v="1"/>
    <e v="#REF!"/>
    <s v="Normal"/>
    <n v="1079"/>
  </r>
  <r>
    <s v="ORD-00128"/>
    <s v="C0067"/>
    <x v="5"/>
    <s v="2022-04"/>
    <s v="SR07"/>
    <x v="123"/>
    <d v="2022-04-18T00:00:00"/>
    <d v="2022-04-18T00:00:00"/>
    <n v="1"/>
    <n v="79999"/>
    <n v="10"/>
    <n v="7999.9"/>
    <n v="71999.100000000006"/>
    <n v="16999.099999999999"/>
    <x v="0"/>
    <x v="3"/>
    <x v="3"/>
    <x v="1"/>
    <n v="5"/>
    <x v="0"/>
    <s v="April"/>
    <s v="Q2"/>
    <n v="4"/>
    <e v="#REF!"/>
    <s v="Normal"/>
    <n v="1477"/>
  </r>
  <r>
    <s v="ORD-00129"/>
    <s v="C0457"/>
    <x v="15"/>
    <s v="2023-12"/>
    <s v="SR08"/>
    <x v="124"/>
    <d v="2024-01-02T00:00:00"/>
    <d v="2024-01-03T00:00:00"/>
    <n v="5"/>
    <n v="2499"/>
    <n v="0"/>
    <n v="0"/>
    <n v="12495"/>
    <n v="6495"/>
    <x v="0"/>
    <x v="3"/>
    <x v="1"/>
    <x v="0"/>
    <n v="2"/>
    <x v="1"/>
    <s v="December"/>
    <s v="Q4"/>
    <n v="3"/>
    <e v="#REF!"/>
    <s v="Normal"/>
    <n v="852"/>
  </r>
  <r>
    <s v="ORD-00130"/>
    <s v="C0048"/>
    <x v="22"/>
    <s v="2022-07"/>
    <s v="SR07"/>
    <x v="125"/>
    <d v="2022-07-22T00:00:00"/>
    <d v="2022-07-25T00:00:00"/>
    <n v="4"/>
    <n v="5999"/>
    <n v="5"/>
    <n v="1199.8"/>
    <n v="22796.2"/>
    <n v="7596.2"/>
    <x v="0"/>
    <x v="5"/>
    <x v="3"/>
    <x v="1"/>
    <n v="5"/>
    <x v="0"/>
    <s v="July"/>
    <s v="Q3"/>
    <n v="3"/>
    <e v="#REF!"/>
    <s v="Normal"/>
    <n v="1381"/>
  </r>
  <r>
    <s v="ORD-00131"/>
    <s v="C0133"/>
    <x v="17"/>
    <s v="2023-01"/>
    <s v="SR05"/>
    <x v="126"/>
    <m/>
    <m/>
    <n v="3"/>
    <n v="41900"/>
    <n v="10"/>
    <n v="12570"/>
    <n v="113130"/>
    <n v="29130"/>
    <x v="2"/>
    <x v="3"/>
    <x v="0"/>
    <x v="3"/>
    <m/>
    <x v="1"/>
    <s v="January"/>
    <s v="Q1"/>
    <m/>
    <e v="#REF!"/>
    <s v="Normal"/>
    <n v="1205"/>
  </r>
  <r>
    <s v="ORD-00132"/>
    <s v="C0016"/>
    <x v="20"/>
    <s v="2022-08"/>
    <s v="SR04"/>
    <x v="127"/>
    <d v="2022-08-24T00:00:00"/>
    <d v="2022-08-27T00:00:00"/>
    <n v="2"/>
    <n v="114900"/>
    <n v="5"/>
    <n v="11490"/>
    <n v="218310"/>
    <n v="48310"/>
    <x v="0"/>
    <x v="0"/>
    <x v="1"/>
    <x v="4"/>
    <n v="5"/>
    <x v="0"/>
    <s v="August"/>
    <s v="Q3"/>
    <n v="4"/>
    <e v="#REF!"/>
    <s v="Normal"/>
    <n v="1349"/>
  </r>
  <r>
    <s v="ORD-00133"/>
    <s v="C0066"/>
    <x v="21"/>
    <s v="2024-04"/>
    <s v="SR02"/>
    <x v="128"/>
    <m/>
    <m/>
    <n v="1"/>
    <n v="59900"/>
    <n v="10"/>
    <n v="5990"/>
    <n v="53910"/>
    <n v="11910"/>
    <x v="2"/>
    <x v="2"/>
    <x v="2"/>
    <x v="1"/>
    <m/>
    <x v="2"/>
    <s v="April"/>
    <s v="Q2"/>
    <m/>
    <e v="#REF!"/>
    <s v="Normal"/>
    <n v="750"/>
  </r>
  <r>
    <s v="ORD-00134"/>
    <s v="C0406"/>
    <x v="13"/>
    <s v="2024-03"/>
    <s v="SR06"/>
    <x v="129"/>
    <m/>
    <m/>
    <n v="4"/>
    <n v="12999"/>
    <n v="5"/>
    <n v="2599.8000000000002"/>
    <n v="49396.2"/>
    <n v="17396.2"/>
    <x v="1"/>
    <x v="2"/>
    <x v="3"/>
    <x v="2"/>
    <m/>
    <x v="2"/>
    <s v="March"/>
    <s v="Q1"/>
    <m/>
    <e v="#REF!"/>
    <s v="Normal"/>
    <n v="760"/>
  </r>
  <r>
    <s v="ORD-00135"/>
    <s v="C0281"/>
    <x v="16"/>
    <s v="2024-02"/>
    <s v="SR07"/>
    <x v="130"/>
    <d v="2024-02-29T00:00:00"/>
    <d v="2024-03-01T00:00:00"/>
    <n v="5"/>
    <n v="38999"/>
    <n v="10"/>
    <n v="19499.5"/>
    <n v="175495.5"/>
    <n v="40495.5"/>
    <x v="0"/>
    <x v="3"/>
    <x v="1"/>
    <x v="1"/>
    <n v="3"/>
    <x v="2"/>
    <s v="February"/>
    <s v="Q1"/>
    <n v="3"/>
    <e v="#REF!"/>
    <s v="Normal"/>
    <n v="794"/>
  </r>
  <r>
    <s v="ORD-00136"/>
    <s v="C0279"/>
    <x v="22"/>
    <s v="2022-12"/>
    <s v="SR01"/>
    <x v="131"/>
    <m/>
    <m/>
    <n v="1"/>
    <n v="5999"/>
    <n v="15"/>
    <n v="899.85"/>
    <n v="5099.1499999999996"/>
    <n v="1299.1500000000001"/>
    <x v="2"/>
    <x v="1"/>
    <x v="1"/>
    <x v="2"/>
    <m/>
    <x v="0"/>
    <s v="December"/>
    <s v="Q4"/>
    <m/>
    <e v="#REF!"/>
    <s v="Normal"/>
    <n v="1226"/>
  </r>
  <r>
    <s v="ORD-00137"/>
    <s v="C0306"/>
    <x v="19"/>
    <s v="2022-07"/>
    <s v="SR08"/>
    <x v="125"/>
    <d v="2022-07-21T00:00:00"/>
    <d v="2022-07-23T00:00:00"/>
    <n v="4"/>
    <n v="64999"/>
    <n v="0"/>
    <n v="0"/>
    <n v="259996"/>
    <n v="79996"/>
    <x v="0"/>
    <x v="2"/>
    <x v="2"/>
    <x v="0"/>
    <n v="5"/>
    <x v="0"/>
    <s v="July"/>
    <s v="Q3"/>
    <n v="2"/>
    <e v="#REF!"/>
    <s v="Normal"/>
    <n v="1381"/>
  </r>
  <r>
    <s v="ORD-00138"/>
    <s v="C0395"/>
    <x v="1"/>
    <s v="2024-10"/>
    <s v="SR08"/>
    <x v="132"/>
    <m/>
    <m/>
    <n v="1"/>
    <n v="19999"/>
    <n v="0"/>
    <n v="0"/>
    <n v="19999"/>
    <n v="6999"/>
    <x v="2"/>
    <x v="5"/>
    <x v="3"/>
    <x v="0"/>
    <m/>
    <x v="2"/>
    <s v="October"/>
    <s v="Q4"/>
    <m/>
    <e v="#REF!"/>
    <s v="Normal"/>
    <n v="568"/>
  </r>
  <r>
    <s v="ORD-00139"/>
    <s v="C0455"/>
    <x v="15"/>
    <s v="2022-10"/>
    <s v="SR01"/>
    <x v="133"/>
    <m/>
    <m/>
    <n v="2"/>
    <n v="2499"/>
    <n v="15"/>
    <n v="749.7"/>
    <n v="4248.3"/>
    <n v="1848.3"/>
    <x v="2"/>
    <x v="2"/>
    <x v="4"/>
    <x v="2"/>
    <m/>
    <x v="0"/>
    <s v="October"/>
    <s v="Q4"/>
    <m/>
    <e v="#REF!"/>
    <s v="Normal"/>
    <n v="1280"/>
  </r>
  <r>
    <s v="ORD-00140"/>
    <s v="C0200"/>
    <x v="0"/>
    <s v="2023-02"/>
    <s v="SR07"/>
    <x v="134"/>
    <d v="2023-02-11T00:00:00"/>
    <d v="2023-02-13T00:00:00"/>
    <n v="3"/>
    <n v="3499"/>
    <n v="5"/>
    <n v="524.85"/>
    <n v="9972.15"/>
    <n v="4572.1499999999996"/>
    <x v="0"/>
    <x v="3"/>
    <x v="4"/>
    <x v="1"/>
    <n v="1"/>
    <x v="1"/>
    <s v="February"/>
    <s v="Q1"/>
    <n v="6"/>
    <e v="#REF!"/>
    <s v="Normal"/>
    <n v="1180"/>
  </r>
  <r>
    <s v="ORD-00141"/>
    <s v="C0299"/>
    <x v="5"/>
    <s v="2022-09"/>
    <s v="SR07"/>
    <x v="135"/>
    <d v="2022-09-20T00:00:00"/>
    <d v="2022-09-22T00:00:00"/>
    <n v="5"/>
    <n v="79999"/>
    <n v="0"/>
    <n v="0"/>
    <n v="399995"/>
    <n v="124995"/>
    <x v="0"/>
    <x v="1"/>
    <x v="1"/>
    <x v="1"/>
    <n v="3"/>
    <x v="0"/>
    <s v="September"/>
    <s v="Q3"/>
    <n v="1"/>
    <e v="#REF!"/>
    <s v="High Outlier"/>
    <n v="1319"/>
  </r>
  <r>
    <s v="ORD-00142"/>
    <s v="C0057"/>
    <x v="13"/>
    <s v="2023-04"/>
    <s v="SR03"/>
    <x v="136"/>
    <d v="2023-05-03T00:00:00"/>
    <d v="2023-05-06T00:00:00"/>
    <n v="3"/>
    <n v="12999"/>
    <n v="10"/>
    <n v="3899.7"/>
    <n v="35097.300000000003"/>
    <n v="11097.3"/>
    <x v="0"/>
    <x v="3"/>
    <x v="0"/>
    <x v="0"/>
    <n v="4"/>
    <x v="1"/>
    <s v="April"/>
    <s v="Q2"/>
    <n v="6"/>
    <e v="#REF!"/>
    <s v="Normal"/>
    <n v="1099"/>
  </r>
  <r>
    <s v="ORD-00143"/>
    <s v="C0280"/>
    <x v="18"/>
    <s v="2024-08"/>
    <s v="SR02"/>
    <x v="137"/>
    <d v="2024-09-01T00:00:00"/>
    <d v="2024-09-04T00:00:00"/>
    <n v="3"/>
    <n v="26990"/>
    <n v="10"/>
    <n v="8097"/>
    <n v="72873"/>
    <n v="18873"/>
    <x v="0"/>
    <x v="5"/>
    <x v="4"/>
    <x v="1"/>
    <n v="2"/>
    <x v="2"/>
    <s v="August"/>
    <s v="Q3"/>
    <n v="2"/>
    <e v="#REF!"/>
    <s v="Normal"/>
    <n v="608"/>
  </r>
  <r>
    <s v="ORD-00144"/>
    <s v="C0069"/>
    <x v="5"/>
    <s v="2022-02"/>
    <s v="SR03"/>
    <x v="138"/>
    <d v="2022-02-08T00:00:00"/>
    <d v="2022-02-11T00:00:00"/>
    <n v="4"/>
    <n v="79999"/>
    <n v="0"/>
    <n v="0"/>
    <n v="319996"/>
    <n v="99996"/>
    <x v="0"/>
    <x v="1"/>
    <x v="3"/>
    <x v="0"/>
    <n v="4"/>
    <x v="0"/>
    <s v="February"/>
    <s v="Q1"/>
    <n v="6"/>
    <e v="#REF!"/>
    <s v="Normal"/>
    <n v="1548"/>
  </r>
  <r>
    <s v="ORD-00145"/>
    <s v="C0441"/>
    <x v="19"/>
    <s v="2023-01"/>
    <s v="SR05"/>
    <x v="139"/>
    <d v="2023-01-09T00:00:00"/>
    <d v="2023-01-12T00:00:00"/>
    <n v="5"/>
    <n v="64999"/>
    <n v="15"/>
    <n v="48749.25"/>
    <n v="276245.75"/>
    <n v="51245.75"/>
    <x v="0"/>
    <x v="3"/>
    <x v="4"/>
    <x v="3"/>
    <n v="2"/>
    <x v="1"/>
    <s v="January"/>
    <s v="Q1"/>
    <n v="5"/>
    <e v="#REF!"/>
    <s v="Normal"/>
    <n v="1212"/>
  </r>
  <r>
    <s v="ORD-00146"/>
    <s v="C0096"/>
    <x v="3"/>
    <s v="2024-10"/>
    <s v="SR04"/>
    <x v="140"/>
    <m/>
    <m/>
    <n v="2"/>
    <n v="24999"/>
    <n v="20"/>
    <n v="9999.6"/>
    <n v="39998.400000000001"/>
    <n v="5998.4"/>
    <x v="2"/>
    <x v="0"/>
    <x v="0"/>
    <x v="4"/>
    <m/>
    <x v="2"/>
    <s v="October"/>
    <s v="Q4"/>
    <m/>
    <e v="#REF!"/>
    <s v="Normal"/>
    <n v="560"/>
  </r>
  <r>
    <s v="ORD-00147"/>
    <s v="C0475"/>
    <x v="6"/>
    <s v="2022-03"/>
    <s v="SR06"/>
    <x v="141"/>
    <d v="2022-03-15T00:00:00"/>
    <d v="2022-03-18T00:00:00"/>
    <n v="3"/>
    <n v="54999"/>
    <n v="0"/>
    <n v="0"/>
    <n v="164997"/>
    <n v="50997"/>
    <x v="0"/>
    <x v="2"/>
    <x v="0"/>
    <x v="2"/>
    <n v="1"/>
    <x v="0"/>
    <s v="March"/>
    <s v="Q1"/>
    <n v="5"/>
    <e v="#REF!"/>
    <s v="Normal"/>
    <n v="1512"/>
  </r>
  <r>
    <s v="ORD-00148"/>
    <s v="C0073"/>
    <x v="2"/>
    <s v="2024-08"/>
    <s v="SR07"/>
    <x v="142"/>
    <m/>
    <m/>
    <n v="1"/>
    <n v="4999"/>
    <n v="20"/>
    <n v="999.8"/>
    <n v="3999.2"/>
    <n v="1199.2"/>
    <x v="1"/>
    <x v="2"/>
    <x v="2"/>
    <x v="1"/>
    <m/>
    <x v="2"/>
    <s v="August"/>
    <s v="Q3"/>
    <m/>
    <e v="#REF!"/>
    <s v="Normal"/>
    <n v="628"/>
  </r>
  <r>
    <s v="ORD-00149"/>
    <s v="C0126"/>
    <x v="14"/>
    <s v="2023-10"/>
    <s v="SR02"/>
    <x v="83"/>
    <m/>
    <m/>
    <n v="1"/>
    <n v="29999"/>
    <n v="10"/>
    <n v="2999.9"/>
    <n v="26999.1"/>
    <n v="6999.1"/>
    <x v="1"/>
    <x v="2"/>
    <x v="2"/>
    <x v="1"/>
    <m/>
    <x v="1"/>
    <s v="October"/>
    <s v="Q4"/>
    <m/>
    <e v="#REF!"/>
    <s v="Normal"/>
    <n v="941"/>
  </r>
  <r>
    <s v="ORD-00150"/>
    <s v="C0241"/>
    <x v="19"/>
    <s v="2023-11"/>
    <s v="SR07"/>
    <x v="101"/>
    <d v="2023-11-13T00:00:00"/>
    <d v="2023-11-15T00:00:00"/>
    <n v="3"/>
    <n v="64999"/>
    <n v="0"/>
    <n v="0"/>
    <n v="194997"/>
    <n v="59997"/>
    <x v="0"/>
    <x v="1"/>
    <x v="1"/>
    <x v="1"/>
    <n v="3"/>
    <x v="1"/>
    <s v="November"/>
    <s v="Q4"/>
    <n v="3"/>
    <e v="#REF!"/>
    <s v="Normal"/>
    <n v="902"/>
  </r>
  <r>
    <s v="ORD-00151"/>
    <s v="C0373"/>
    <x v="15"/>
    <s v="2022-05"/>
    <s v="SR08"/>
    <x v="143"/>
    <m/>
    <m/>
    <n v="4"/>
    <n v="2499"/>
    <n v="0"/>
    <n v="0"/>
    <n v="9996"/>
    <n v="5196"/>
    <x v="2"/>
    <x v="2"/>
    <x v="2"/>
    <x v="0"/>
    <m/>
    <x v="0"/>
    <s v="May"/>
    <s v="Q2"/>
    <m/>
    <e v="#REF!"/>
    <s v="Normal"/>
    <n v="1455"/>
  </r>
  <r>
    <s v="ORD-00152"/>
    <s v="C0337"/>
    <x v="13"/>
    <s v="2023-08"/>
    <s v="SR03"/>
    <x v="144"/>
    <d v="2023-08-12T00:00:00"/>
    <d v="2023-08-13T00:00:00"/>
    <n v="5"/>
    <n v="12999"/>
    <n v="0"/>
    <n v="0"/>
    <n v="64995"/>
    <n v="24995"/>
    <x v="0"/>
    <x v="0"/>
    <x v="4"/>
    <x v="0"/>
    <n v="2"/>
    <x v="1"/>
    <s v="August"/>
    <s v="Q3"/>
    <n v="1"/>
    <e v="#REF!"/>
    <s v="Normal"/>
    <n v="993"/>
  </r>
  <r>
    <s v="ORD-00153"/>
    <s v="C0316"/>
    <x v="4"/>
    <s v="2023-06"/>
    <s v="SR07"/>
    <x v="145"/>
    <d v="2023-06-17T00:00:00"/>
    <d v="2023-06-17T00:00:00"/>
    <n v="5"/>
    <n v="29900"/>
    <n v="0"/>
    <n v="0"/>
    <n v="149500"/>
    <n v="49500"/>
    <x v="0"/>
    <x v="2"/>
    <x v="3"/>
    <x v="1"/>
    <n v="4"/>
    <x v="1"/>
    <s v="June"/>
    <s v="Q2"/>
    <n v="6"/>
    <e v="#REF!"/>
    <s v="Normal"/>
    <n v="1054"/>
  </r>
  <r>
    <s v="ORD-00154"/>
    <s v="C0190"/>
    <x v="16"/>
    <s v="2023-04"/>
    <s v="SR07"/>
    <x v="146"/>
    <d v="2023-05-01T00:00:00"/>
    <d v="2023-05-01T00:00:00"/>
    <n v="3"/>
    <n v="38999"/>
    <n v="0"/>
    <n v="0"/>
    <n v="116997"/>
    <n v="35997"/>
    <x v="0"/>
    <x v="5"/>
    <x v="1"/>
    <x v="1"/>
    <n v="2"/>
    <x v="1"/>
    <s v="April"/>
    <s v="Q2"/>
    <n v="2"/>
    <e v="#REF!"/>
    <s v="Normal"/>
    <n v="1097"/>
  </r>
  <r>
    <s v="ORD-00155"/>
    <s v="C0429"/>
    <x v="14"/>
    <s v="2024-02"/>
    <s v="SR06"/>
    <x v="147"/>
    <d v="2024-03-01T00:00:00"/>
    <d v="2024-03-04T00:00:00"/>
    <n v="2"/>
    <n v="29999"/>
    <n v="5"/>
    <n v="2999.9"/>
    <n v="56998.1"/>
    <n v="16998.099999999999"/>
    <x v="0"/>
    <x v="2"/>
    <x v="4"/>
    <x v="2"/>
    <n v="1"/>
    <x v="2"/>
    <s v="February"/>
    <s v="Q1"/>
    <n v="6"/>
    <e v="#REF!"/>
    <s v="Normal"/>
    <n v="796"/>
  </r>
  <r>
    <s v="ORD-00156"/>
    <s v="C0329"/>
    <x v="4"/>
    <s v="2022-04"/>
    <s v="SR02"/>
    <x v="148"/>
    <d v="2022-04-22T00:00:00"/>
    <d v="2022-04-25T00:00:00"/>
    <n v="4"/>
    <n v="29900"/>
    <n v="5"/>
    <n v="5980"/>
    <n v="113620"/>
    <n v="33620"/>
    <x v="0"/>
    <x v="3"/>
    <x v="1"/>
    <x v="1"/>
    <n v="2"/>
    <x v="0"/>
    <s v="April"/>
    <s v="Q2"/>
    <n v="4"/>
    <e v="#REF!"/>
    <s v="Normal"/>
    <n v="1473"/>
  </r>
  <r>
    <s v="ORD-00157"/>
    <s v="C0195"/>
    <x v="9"/>
    <s v="2024-08"/>
    <s v="SR07"/>
    <x v="111"/>
    <d v="2024-08-31T00:00:00"/>
    <d v="2024-09-03T00:00:00"/>
    <n v="1"/>
    <n v="7499"/>
    <n v="5"/>
    <n v="374.95"/>
    <n v="7124.05"/>
    <n v="2324.0500000000002"/>
    <x v="0"/>
    <x v="3"/>
    <x v="0"/>
    <x v="1"/>
    <n v="3"/>
    <x v="2"/>
    <s v="August"/>
    <s v="Q3"/>
    <n v="2"/>
    <e v="#REF!"/>
    <s v="Normal"/>
    <n v="609"/>
  </r>
  <r>
    <s v="ORD-00158"/>
    <s v="C0493"/>
    <x v="21"/>
    <s v="2022-07"/>
    <s v="SR05"/>
    <x v="125"/>
    <m/>
    <m/>
    <n v="3"/>
    <n v="59900"/>
    <n v="10"/>
    <n v="17970"/>
    <n v="161730"/>
    <n v="35730"/>
    <x v="1"/>
    <x v="2"/>
    <x v="4"/>
    <x v="3"/>
    <m/>
    <x v="0"/>
    <s v="July"/>
    <s v="Q3"/>
    <m/>
    <e v="#REF!"/>
    <s v="Normal"/>
    <n v="1381"/>
  </r>
  <r>
    <s v="ORD-00159"/>
    <s v="C0172"/>
    <x v="4"/>
    <s v="2022-07"/>
    <s v="SR07"/>
    <x v="149"/>
    <d v="2022-07-27T00:00:00"/>
    <d v="2022-07-30T00:00:00"/>
    <n v="4"/>
    <n v="29900"/>
    <n v="5"/>
    <n v="5980"/>
    <n v="113620"/>
    <n v="33620"/>
    <x v="0"/>
    <x v="4"/>
    <x v="1"/>
    <x v="1"/>
    <n v="2"/>
    <x v="0"/>
    <s v="July"/>
    <s v="Q3"/>
    <n v="6"/>
    <e v="#REF!"/>
    <s v="Normal"/>
    <n v="1379"/>
  </r>
  <r>
    <s v="ORD-00160"/>
    <s v="C0267"/>
    <x v="7"/>
    <s v="2023-10"/>
    <s v="SR05"/>
    <x v="150"/>
    <m/>
    <m/>
    <n v="1"/>
    <n v="9999"/>
    <n v="0"/>
    <n v="0"/>
    <n v="9999"/>
    <n v="3499"/>
    <x v="1"/>
    <x v="1"/>
    <x v="2"/>
    <x v="3"/>
    <m/>
    <x v="1"/>
    <s v="October"/>
    <s v="Q4"/>
    <m/>
    <e v="#REF!"/>
    <s v="Normal"/>
    <n v="939"/>
  </r>
  <r>
    <s v="ORD-00161"/>
    <s v="C0211"/>
    <x v="10"/>
    <s v="2024-07"/>
    <s v="SR03"/>
    <x v="151"/>
    <d v="2024-07-04T00:00:00"/>
    <d v="2024-07-06T00:00:00"/>
    <n v="3"/>
    <n v="55990"/>
    <n v="5"/>
    <n v="8398.5"/>
    <n v="159571.5"/>
    <n v="39571.5"/>
    <x v="0"/>
    <x v="1"/>
    <x v="2"/>
    <x v="0"/>
    <n v="5"/>
    <x v="2"/>
    <s v="July"/>
    <s v="Q3"/>
    <n v="2"/>
    <e v="#REF!"/>
    <s v="Normal"/>
    <n v="667"/>
  </r>
  <r>
    <s v="ORD-00162"/>
    <s v="C0048"/>
    <x v="24"/>
    <s v="2022-09"/>
    <s v="SR02"/>
    <x v="152"/>
    <m/>
    <m/>
    <n v="1"/>
    <n v="69999"/>
    <n v="0"/>
    <n v="0"/>
    <n v="69999"/>
    <n v="21999"/>
    <x v="2"/>
    <x v="2"/>
    <x v="3"/>
    <x v="1"/>
    <m/>
    <x v="0"/>
    <s v="September"/>
    <s v="Q3"/>
    <m/>
    <e v="#REF!"/>
    <s v="Normal"/>
    <n v="1331"/>
  </r>
  <r>
    <s v="ORD-00163"/>
    <s v="C0193"/>
    <x v="9"/>
    <s v="2022-08"/>
    <s v="SR02"/>
    <x v="153"/>
    <m/>
    <m/>
    <n v="2"/>
    <n v="7499"/>
    <n v="5"/>
    <n v="749.9"/>
    <n v="14248.1"/>
    <n v="4648.1000000000004"/>
    <x v="2"/>
    <x v="0"/>
    <x v="0"/>
    <x v="1"/>
    <m/>
    <x v="0"/>
    <s v="August"/>
    <s v="Q3"/>
    <m/>
    <e v="#REF!"/>
    <s v="Normal"/>
    <n v="1353"/>
  </r>
  <r>
    <s v="ORD-00164"/>
    <s v="C0339"/>
    <x v="20"/>
    <s v="2023-07"/>
    <s v="SR08"/>
    <x v="154"/>
    <d v="2023-07-27T00:00:00"/>
    <d v="2023-07-29T00:00:00"/>
    <n v="3"/>
    <n v="114900"/>
    <n v="0"/>
    <n v="0"/>
    <n v="344700"/>
    <n v="89700"/>
    <x v="0"/>
    <x v="1"/>
    <x v="4"/>
    <x v="0"/>
    <n v="1"/>
    <x v="1"/>
    <s v="July"/>
    <s v="Q3"/>
    <n v="6"/>
    <e v="#REF!"/>
    <s v="Normal"/>
    <n v="1014"/>
  </r>
  <r>
    <s v="ORD-00165"/>
    <s v="C0196"/>
    <x v="1"/>
    <s v="2022-05"/>
    <s v="SR05"/>
    <x v="155"/>
    <d v="2022-05-11T00:00:00"/>
    <d v="2022-05-13T00:00:00"/>
    <n v="2"/>
    <n v="19999"/>
    <n v="15"/>
    <n v="5999.7"/>
    <n v="33998.300000000003"/>
    <n v="7998.3"/>
    <x v="0"/>
    <x v="1"/>
    <x v="0"/>
    <x v="3"/>
    <n v="2"/>
    <x v="0"/>
    <s v="May"/>
    <s v="Q2"/>
    <n v="7"/>
    <e v="#REF!"/>
    <s v="Normal"/>
    <n v="1457"/>
  </r>
  <r>
    <s v="ORD-00166"/>
    <s v="C0313"/>
    <x v="1"/>
    <s v="2024-10"/>
    <s v="SR03"/>
    <x v="156"/>
    <d v="2024-10-06T00:00:00"/>
    <d v="2024-10-09T00:00:00"/>
    <n v="2"/>
    <n v="19999"/>
    <n v="0"/>
    <n v="0"/>
    <n v="39998"/>
    <n v="13998"/>
    <x v="0"/>
    <x v="3"/>
    <x v="4"/>
    <x v="0"/>
    <n v="1"/>
    <x v="2"/>
    <s v="October"/>
    <s v="Q4"/>
    <n v="2"/>
    <e v="#REF!"/>
    <s v="Normal"/>
    <n v="573"/>
  </r>
  <r>
    <s v="ORD-00167"/>
    <s v="C0018"/>
    <x v="20"/>
    <s v="2023-05"/>
    <s v="SR05"/>
    <x v="157"/>
    <d v="2023-05-30T00:00:00"/>
    <d v="2023-06-02T00:00:00"/>
    <n v="2"/>
    <n v="114900"/>
    <n v="0"/>
    <n v="0"/>
    <n v="229800"/>
    <n v="59800"/>
    <x v="0"/>
    <x v="1"/>
    <x v="0"/>
    <x v="3"/>
    <n v="3"/>
    <x v="1"/>
    <s v="May"/>
    <s v="Q2"/>
    <n v="1"/>
    <e v="#REF!"/>
    <s v="Normal"/>
    <n v="1067"/>
  </r>
  <r>
    <s v="ORD-00168"/>
    <s v="C0078"/>
    <x v="22"/>
    <s v="2024-03"/>
    <s v="SR08"/>
    <x v="158"/>
    <m/>
    <m/>
    <n v="1"/>
    <n v="5999"/>
    <n v="20"/>
    <n v="1199.8"/>
    <n v="4799.2"/>
    <n v="999.2"/>
    <x v="1"/>
    <x v="4"/>
    <x v="0"/>
    <x v="0"/>
    <m/>
    <x v="2"/>
    <s v="March"/>
    <s v="Q1"/>
    <m/>
    <e v="#REF!"/>
    <s v="Normal"/>
    <n v="779"/>
  </r>
  <r>
    <s v="ORD-00169"/>
    <s v="C0245"/>
    <x v="3"/>
    <s v="2022-05"/>
    <s v="SR04"/>
    <x v="159"/>
    <m/>
    <m/>
    <n v="2"/>
    <n v="24999"/>
    <n v="0"/>
    <n v="0"/>
    <n v="49998"/>
    <n v="15998"/>
    <x v="1"/>
    <x v="3"/>
    <x v="0"/>
    <x v="4"/>
    <m/>
    <x v="0"/>
    <s v="May"/>
    <s v="Q2"/>
    <m/>
    <e v="#REF!"/>
    <s v="Normal"/>
    <n v="1437"/>
  </r>
  <r>
    <s v="ORD-00170"/>
    <s v="C0063"/>
    <x v="15"/>
    <s v="2023-11"/>
    <s v="SR07"/>
    <x v="160"/>
    <m/>
    <m/>
    <n v="3"/>
    <n v="2499"/>
    <n v="10"/>
    <n v="749.7"/>
    <n v="6747.3"/>
    <n v="3147.3"/>
    <x v="2"/>
    <x v="1"/>
    <x v="2"/>
    <x v="1"/>
    <m/>
    <x v="1"/>
    <s v="November"/>
    <s v="Q4"/>
    <m/>
    <e v="#REF!"/>
    <s v="Normal"/>
    <n v="898"/>
  </r>
  <r>
    <s v="ORD-00171"/>
    <s v="C0188"/>
    <x v="6"/>
    <s v="2022-06"/>
    <s v="SR06"/>
    <x v="161"/>
    <d v="2022-06-21T00:00:00"/>
    <d v="2022-06-23T00:00:00"/>
    <n v="2"/>
    <n v="54999"/>
    <n v="0"/>
    <n v="0"/>
    <n v="109998"/>
    <n v="33998"/>
    <x v="0"/>
    <x v="2"/>
    <x v="2"/>
    <x v="2"/>
    <n v="4"/>
    <x v="0"/>
    <s v="June"/>
    <s v="Q2"/>
    <n v="7"/>
    <e v="#REF!"/>
    <s v="Normal"/>
    <n v="1416"/>
  </r>
  <r>
    <s v="ORD-00172"/>
    <s v="C0339"/>
    <x v="18"/>
    <s v="2024-03"/>
    <s v="SR08"/>
    <x v="162"/>
    <d v="2024-03-15T00:00:00"/>
    <d v="2024-03-17T00:00:00"/>
    <n v="4"/>
    <n v="26990"/>
    <n v="0"/>
    <n v="0"/>
    <n v="107960"/>
    <n v="35960"/>
    <x v="0"/>
    <x v="4"/>
    <x v="0"/>
    <x v="0"/>
    <n v="2"/>
    <x v="2"/>
    <s v="March"/>
    <s v="Q1"/>
    <n v="6"/>
    <e v="#REF!"/>
    <s v="Normal"/>
    <n v="782"/>
  </r>
  <r>
    <s v="ORD-00173"/>
    <s v="C0072"/>
    <x v="24"/>
    <s v="2022-02"/>
    <s v="SR03"/>
    <x v="163"/>
    <m/>
    <m/>
    <n v="5"/>
    <n v="69999"/>
    <n v="5"/>
    <n v="17499.75"/>
    <n v="332495.25"/>
    <n v="92495.25"/>
    <x v="2"/>
    <x v="3"/>
    <x v="0"/>
    <x v="0"/>
    <m/>
    <x v="0"/>
    <s v="February"/>
    <s v="Q1"/>
    <m/>
    <e v="#REF!"/>
    <s v="Normal"/>
    <n v="1529"/>
  </r>
  <r>
    <s v="ORD-00174"/>
    <s v="C0033"/>
    <x v="6"/>
    <s v="2024-10"/>
    <s v="SR08"/>
    <x v="164"/>
    <m/>
    <m/>
    <n v="4"/>
    <n v="54999"/>
    <n v="0"/>
    <n v="0"/>
    <n v="219996"/>
    <n v="67996"/>
    <x v="1"/>
    <x v="1"/>
    <x v="4"/>
    <x v="0"/>
    <m/>
    <x v="2"/>
    <s v="October"/>
    <s v="Q4"/>
    <m/>
    <e v="#REF!"/>
    <s v="Normal"/>
    <n v="557"/>
  </r>
  <r>
    <s v="ORD-00175"/>
    <s v="C0029"/>
    <x v="7"/>
    <s v="2024-04"/>
    <s v="SR03"/>
    <x v="128"/>
    <d v="2024-04-12T00:00:00"/>
    <d v="2024-04-15T00:00:00"/>
    <n v="5"/>
    <n v="9999"/>
    <n v="0"/>
    <n v="0"/>
    <n v="49995"/>
    <n v="17495"/>
    <x v="0"/>
    <x v="4"/>
    <x v="1"/>
    <x v="0"/>
    <n v="2"/>
    <x v="2"/>
    <s v="April"/>
    <s v="Q2"/>
    <n v="2"/>
    <e v="#REF!"/>
    <s v="Normal"/>
    <n v="750"/>
  </r>
  <r>
    <s v="ORD-00176"/>
    <s v="C0474"/>
    <x v="20"/>
    <s v="2022-10"/>
    <s v="SR02"/>
    <x v="165"/>
    <d v="2022-10-23T00:00:00"/>
    <d v="2022-10-23T00:00:00"/>
    <n v="4"/>
    <n v="114900"/>
    <n v="0"/>
    <n v="0"/>
    <n v="459600"/>
    <n v="119600"/>
    <x v="0"/>
    <x v="5"/>
    <x v="3"/>
    <x v="1"/>
    <n v="1"/>
    <x v="0"/>
    <s v="October"/>
    <s v="Q4"/>
    <n v="6"/>
    <e v="#REF!"/>
    <s v="High Outlier"/>
    <n v="1291"/>
  </r>
  <r>
    <s v="ORD-00177"/>
    <s v="C0089"/>
    <x v="11"/>
    <s v="2023-09"/>
    <s v="SR02"/>
    <x v="166"/>
    <d v="2023-09-26T00:00:00"/>
    <d v="2023-09-27T00:00:00"/>
    <n v="5"/>
    <n v="8495"/>
    <n v="0"/>
    <n v="0"/>
    <n v="42475"/>
    <n v="14975"/>
    <x v="0"/>
    <x v="1"/>
    <x v="2"/>
    <x v="1"/>
    <n v="4"/>
    <x v="1"/>
    <s v="September"/>
    <s v="Q3"/>
    <n v="4"/>
    <e v="#REF!"/>
    <s v="Normal"/>
    <n v="951"/>
  </r>
  <r>
    <s v="ORD-00178"/>
    <s v="C0305"/>
    <x v="0"/>
    <s v="2022-05"/>
    <s v="SR03"/>
    <x v="167"/>
    <d v="2022-05-14T00:00:00"/>
    <d v="2022-05-16T00:00:00"/>
    <n v="4"/>
    <n v="3499"/>
    <n v="10"/>
    <n v="1399.6"/>
    <n v="12596.4"/>
    <n v="5396.4"/>
    <x v="0"/>
    <x v="1"/>
    <x v="1"/>
    <x v="0"/>
    <n v="5"/>
    <x v="0"/>
    <s v="May"/>
    <s v="Q2"/>
    <n v="4"/>
    <e v="#REF!"/>
    <s v="Normal"/>
    <n v="1451"/>
  </r>
  <r>
    <s v="ORD-00179"/>
    <s v="C0071"/>
    <x v="7"/>
    <s v="2022-04"/>
    <s v="SR01"/>
    <x v="168"/>
    <m/>
    <m/>
    <n v="2"/>
    <n v="9999"/>
    <n v="10"/>
    <n v="1999.8"/>
    <n v="17998.2"/>
    <n v="4998.2"/>
    <x v="1"/>
    <x v="1"/>
    <x v="2"/>
    <x v="2"/>
    <m/>
    <x v="0"/>
    <s v="April"/>
    <s v="Q2"/>
    <m/>
    <e v="#REF!"/>
    <s v="Normal"/>
    <n v="1487"/>
  </r>
  <r>
    <s v="ORD-00180"/>
    <s v="C0141"/>
    <x v="23"/>
    <s v="2022-12"/>
    <s v="SR07"/>
    <x v="169"/>
    <m/>
    <m/>
    <n v="3"/>
    <n v="49990"/>
    <n v="20"/>
    <n v="29994"/>
    <n v="119976"/>
    <n v="14976"/>
    <x v="2"/>
    <x v="5"/>
    <x v="0"/>
    <x v="1"/>
    <m/>
    <x v="0"/>
    <s v="December"/>
    <s v="Q4"/>
    <m/>
    <e v="#REF!"/>
    <s v="Normal"/>
    <n v="1236"/>
  </r>
  <r>
    <s v="ORD-00181"/>
    <s v="C0125"/>
    <x v="15"/>
    <s v="2022-10"/>
    <s v="SR01"/>
    <x v="170"/>
    <d v="2022-10-08T00:00:00"/>
    <d v="2022-10-11T00:00:00"/>
    <n v="2"/>
    <n v="2499"/>
    <n v="0"/>
    <n v="0"/>
    <n v="4998"/>
    <n v="2598"/>
    <x v="0"/>
    <x v="3"/>
    <x v="2"/>
    <x v="2"/>
    <n v="1"/>
    <x v="0"/>
    <s v="October"/>
    <s v="Q4"/>
    <n v="7"/>
    <e v="#REF!"/>
    <s v="Normal"/>
    <n v="1307"/>
  </r>
  <r>
    <s v="ORD-00182"/>
    <s v="C0004"/>
    <x v="16"/>
    <s v="2023-08"/>
    <s v="SR01"/>
    <x v="171"/>
    <d v="2023-08-11T00:00:00"/>
    <d v="2023-08-14T00:00:00"/>
    <n v="2"/>
    <n v="38999"/>
    <n v="5"/>
    <n v="3899.9"/>
    <n v="74098.100000000006"/>
    <n v="20098.099999999999"/>
    <x v="0"/>
    <x v="5"/>
    <x v="4"/>
    <x v="2"/>
    <n v="5"/>
    <x v="1"/>
    <s v="August"/>
    <s v="Q3"/>
    <n v="6"/>
    <e v="#REF!"/>
    <s v="Normal"/>
    <n v="999"/>
  </r>
  <r>
    <s v="ORD-00183"/>
    <s v="C0231"/>
    <x v="3"/>
    <s v="2022-12"/>
    <s v="SR03"/>
    <x v="172"/>
    <m/>
    <m/>
    <n v="1"/>
    <n v="24999"/>
    <n v="0"/>
    <n v="0"/>
    <n v="24999"/>
    <n v="7999"/>
    <x v="1"/>
    <x v="4"/>
    <x v="0"/>
    <x v="0"/>
    <m/>
    <x v="0"/>
    <s v="December"/>
    <s v="Q4"/>
    <m/>
    <e v="#REF!"/>
    <s v="Normal"/>
    <n v="1223"/>
  </r>
  <r>
    <s v="ORD-00184"/>
    <s v="C0314"/>
    <x v="20"/>
    <s v="2023-12"/>
    <s v="SR07"/>
    <x v="173"/>
    <d v="2023-12-15T00:00:00"/>
    <d v="2023-12-16T00:00:00"/>
    <n v="2"/>
    <n v="114900"/>
    <n v="0"/>
    <n v="0"/>
    <n v="229800"/>
    <n v="59800"/>
    <x v="0"/>
    <x v="2"/>
    <x v="2"/>
    <x v="1"/>
    <n v="5"/>
    <x v="1"/>
    <s v="December"/>
    <s v="Q4"/>
    <n v="1"/>
    <e v="#REF!"/>
    <s v="Normal"/>
    <n v="868"/>
  </r>
  <r>
    <s v="ORD-00185"/>
    <s v="C0186"/>
    <x v="12"/>
    <s v="2024-08"/>
    <s v="SR05"/>
    <x v="174"/>
    <m/>
    <m/>
    <n v="2"/>
    <n v="1599"/>
    <n v="5"/>
    <n v="159.9"/>
    <n v="3038.1"/>
    <n v="1438.1"/>
    <x v="2"/>
    <x v="1"/>
    <x v="3"/>
    <x v="3"/>
    <m/>
    <x v="2"/>
    <s v="August"/>
    <s v="Q3"/>
    <m/>
    <e v="#REF!"/>
    <s v="Normal"/>
    <n v="630"/>
  </r>
  <r>
    <s v="ORD-00186"/>
    <s v="C0058"/>
    <x v="23"/>
    <s v="2024-10"/>
    <s v="SR06"/>
    <x v="175"/>
    <d v="2024-10-17T00:00:00"/>
    <d v="2024-10-17T00:00:00"/>
    <n v="1"/>
    <n v="49990"/>
    <n v="10"/>
    <n v="4999"/>
    <n v="44991"/>
    <n v="9991"/>
    <x v="0"/>
    <x v="0"/>
    <x v="3"/>
    <x v="2"/>
    <n v="4"/>
    <x v="2"/>
    <s v="October"/>
    <s v="Q4"/>
    <n v="2"/>
    <e v="#REF!"/>
    <s v="Normal"/>
    <n v="562"/>
  </r>
  <r>
    <s v="ORD-00187"/>
    <s v="C0129"/>
    <x v="7"/>
    <s v="2022-03"/>
    <s v="SR06"/>
    <x v="176"/>
    <d v="2022-04-05T00:00:00"/>
    <d v="2022-04-05T00:00:00"/>
    <n v="5"/>
    <n v="9999"/>
    <n v="0"/>
    <n v="0"/>
    <n v="49995"/>
    <n v="17495"/>
    <x v="0"/>
    <x v="5"/>
    <x v="2"/>
    <x v="2"/>
    <n v="4"/>
    <x v="0"/>
    <s v="March"/>
    <s v="Q1"/>
    <n v="6"/>
    <e v="#REF!"/>
    <s v="Normal"/>
    <n v="1492"/>
  </r>
  <r>
    <s v="ORD-00188"/>
    <s v="C0264"/>
    <x v="10"/>
    <s v="2023-04"/>
    <s v="SR01"/>
    <x v="136"/>
    <m/>
    <m/>
    <n v="4"/>
    <n v="55990"/>
    <n v="10"/>
    <n v="22396"/>
    <n v="201564"/>
    <n v="41564"/>
    <x v="2"/>
    <x v="3"/>
    <x v="3"/>
    <x v="2"/>
    <m/>
    <x v="1"/>
    <s v="April"/>
    <s v="Q2"/>
    <m/>
    <e v="#REF!"/>
    <s v="Normal"/>
    <n v="1099"/>
  </r>
  <r>
    <s v="ORD-00189"/>
    <s v="C0383"/>
    <x v="9"/>
    <s v="2023-04"/>
    <s v="SR05"/>
    <x v="177"/>
    <d v="2023-04-20T00:00:00"/>
    <d v="2023-04-21T00:00:00"/>
    <n v="1"/>
    <n v="7499"/>
    <n v="5"/>
    <n v="374.95"/>
    <n v="7124.05"/>
    <n v="2324.0500000000002"/>
    <x v="0"/>
    <x v="4"/>
    <x v="0"/>
    <x v="3"/>
    <n v="2"/>
    <x v="1"/>
    <s v="April"/>
    <s v="Q2"/>
    <n v="3"/>
    <e v="#REF!"/>
    <s v="Normal"/>
    <n v="1109"/>
  </r>
  <r>
    <s v="ORD-00190"/>
    <s v="C0193"/>
    <x v="8"/>
    <s v="2024-08"/>
    <s v="SR02"/>
    <x v="178"/>
    <m/>
    <m/>
    <n v="4"/>
    <n v="6999"/>
    <n v="0"/>
    <n v="0"/>
    <n v="27996"/>
    <n v="11196"/>
    <x v="1"/>
    <x v="3"/>
    <x v="3"/>
    <x v="1"/>
    <m/>
    <x v="2"/>
    <s v="August"/>
    <s v="Q3"/>
    <m/>
    <e v="#REF!"/>
    <s v="Normal"/>
    <n v="616"/>
  </r>
  <r>
    <s v="ORD-00191"/>
    <s v="C0111"/>
    <x v="0"/>
    <s v="2022-12"/>
    <s v="SR06"/>
    <x v="179"/>
    <d v="2023-01-03T00:00:00"/>
    <d v="2023-01-04T00:00:00"/>
    <n v="4"/>
    <n v="3499"/>
    <n v="5"/>
    <n v="699.8"/>
    <n v="13296.2"/>
    <n v="6096.2"/>
    <x v="0"/>
    <x v="4"/>
    <x v="4"/>
    <x v="2"/>
    <n v="3"/>
    <x v="0"/>
    <s v="December"/>
    <s v="Q4"/>
    <n v="3"/>
    <e v="#REF!"/>
    <s v="Normal"/>
    <n v="1216"/>
  </r>
  <r>
    <s v="ORD-00192"/>
    <s v="C0104"/>
    <x v="7"/>
    <s v="2022-03"/>
    <s v="SR03"/>
    <x v="180"/>
    <m/>
    <m/>
    <n v="5"/>
    <n v="9999"/>
    <n v="0"/>
    <n v="0"/>
    <n v="49995"/>
    <n v="17495"/>
    <x v="2"/>
    <x v="0"/>
    <x v="3"/>
    <x v="0"/>
    <m/>
    <x v="0"/>
    <s v="March"/>
    <s v="Q1"/>
    <m/>
    <e v="#REF!"/>
    <s v="Normal"/>
    <n v="1515"/>
  </r>
  <r>
    <s v="ORD-00193"/>
    <s v="C0057"/>
    <x v="19"/>
    <s v="2024-05"/>
    <s v="SR08"/>
    <x v="181"/>
    <d v="2024-05-13T00:00:00"/>
    <d v="2024-05-15T00:00:00"/>
    <n v="2"/>
    <n v="64999"/>
    <n v="5"/>
    <n v="6499.9"/>
    <n v="123498.1"/>
    <n v="33498.1"/>
    <x v="0"/>
    <x v="2"/>
    <x v="3"/>
    <x v="0"/>
    <n v="5"/>
    <x v="2"/>
    <s v="May"/>
    <s v="Q2"/>
    <n v="7"/>
    <e v="#REF!"/>
    <s v="Normal"/>
    <n v="724"/>
  </r>
  <r>
    <s v="ORD-00194"/>
    <s v="C0464"/>
    <x v="16"/>
    <s v="2022-06"/>
    <s v="SR02"/>
    <x v="182"/>
    <d v="2022-07-04T00:00:00"/>
    <d v="2022-07-07T00:00:00"/>
    <n v="2"/>
    <n v="38999"/>
    <n v="15"/>
    <n v="11699.7"/>
    <n v="66298.3"/>
    <n v="12298.3"/>
    <x v="0"/>
    <x v="3"/>
    <x v="4"/>
    <x v="1"/>
    <n v="1"/>
    <x v="0"/>
    <s v="June"/>
    <s v="Q2"/>
    <n v="7"/>
    <e v="#REF!"/>
    <s v="Normal"/>
    <n v="1403"/>
  </r>
  <r>
    <s v="ORD-00195"/>
    <s v="C0374"/>
    <x v="3"/>
    <s v="2023-05"/>
    <s v="SR01"/>
    <x v="183"/>
    <d v="2023-05-27T00:00:00"/>
    <d v="2023-05-28T00:00:00"/>
    <n v="5"/>
    <n v="24999"/>
    <n v="0"/>
    <n v="0"/>
    <n v="124995"/>
    <n v="39995"/>
    <x v="0"/>
    <x v="2"/>
    <x v="2"/>
    <x v="2"/>
    <n v="4"/>
    <x v="1"/>
    <s v="May"/>
    <s v="Q2"/>
    <n v="4"/>
    <e v="#REF!"/>
    <s v="Normal"/>
    <n v="1073"/>
  </r>
  <r>
    <s v="ORD-00196"/>
    <s v="C0023"/>
    <x v="24"/>
    <s v="2024-10"/>
    <s v="SR06"/>
    <x v="184"/>
    <d v="2024-11-02T00:00:00"/>
    <d v="2024-11-05T00:00:00"/>
    <n v="4"/>
    <n v="69999"/>
    <n v="0"/>
    <n v="0"/>
    <n v="279996"/>
    <n v="87996"/>
    <x v="0"/>
    <x v="3"/>
    <x v="0"/>
    <x v="2"/>
    <n v="2"/>
    <x v="2"/>
    <s v="October"/>
    <s v="Q4"/>
    <n v="4"/>
    <e v="#REF!"/>
    <s v="Normal"/>
    <n v="548"/>
  </r>
  <r>
    <s v="ORD-00197"/>
    <s v="C0043"/>
    <x v="6"/>
    <s v="2024-04"/>
    <s v="SR01"/>
    <x v="185"/>
    <d v="2024-04-14T00:00:00"/>
    <d v="2024-04-16T00:00:00"/>
    <n v="3"/>
    <n v="54999"/>
    <n v="5"/>
    <n v="8249.85"/>
    <n v="156747.15"/>
    <n v="42747.15"/>
    <x v="0"/>
    <x v="4"/>
    <x v="2"/>
    <x v="2"/>
    <n v="1"/>
    <x v="2"/>
    <s v="April"/>
    <s v="Q2"/>
    <n v="2"/>
    <e v="#REF!"/>
    <s v="Normal"/>
    <n v="748"/>
  </r>
  <r>
    <s v="ORD-00198"/>
    <s v="C0246"/>
    <x v="9"/>
    <s v="2022-11"/>
    <s v="SR08"/>
    <x v="186"/>
    <m/>
    <m/>
    <n v="4"/>
    <n v="7499"/>
    <n v="0"/>
    <n v="0"/>
    <n v="29996"/>
    <n v="10796"/>
    <x v="2"/>
    <x v="3"/>
    <x v="0"/>
    <x v="0"/>
    <m/>
    <x v="0"/>
    <s v="November"/>
    <s v="Q4"/>
    <m/>
    <e v="#REF!"/>
    <s v="Normal"/>
    <n v="1249"/>
  </r>
  <r>
    <s v="ORD-00199"/>
    <s v="C0396"/>
    <x v="23"/>
    <s v="2023-01"/>
    <s v="SR04"/>
    <x v="187"/>
    <d v="2023-01-20T00:00:00"/>
    <d v="2023-01-23T00:00:00"/>
    <n v="1"/>
    <n v="49990"/>
    <n v="0"/>
    <n v="0"/>
    <n v="49990"/>
    <n v="14990"/>
    <x v="0"/>
    <x v="3"/>
    <x v="4"/>
    <x v="4"/>
    <n v="5"/>
    <x v="1"/>
    <s v="January"/>
    <s v="Q1"/>
    <n v="6"/>
    <e v="#REF!"/>
    <s v="Normal"/>
    <n v="1202"/>
  </r>
  <r>
    <s v="ORD-00200"/>
    <s v="C0017"/>
    <x v="13"/>
    <s v="2023-07"/>
    <s v="SR05"/>
    <x v="188"/>
    <m/>
    <m/>
    <n v="5"/>
    <n v="12999"/>
    <n v="20"/>
    <n v="12999"/>
    <n v="51996"/>
    <n v="11996"/>
    <x v="2"/>
    <x v="2"/>
    <x v="3"/>
    <x v="3"/>
    <m/>
    <x v="1"/>
    <s v="July"/>
    <s v="Q3"/>
    <m/>
    <e v="#REF!"/>
    <s v="Normal"/>
    <n v="1028"/>
  </r>
  <r>
    <s v="ORD-00201"/>
    <s v="C0404"/>
    <x v="9"/>
    <s v="2023-11"/>
    <s v="SR05"/>
    <x v="189"/>
    <m/>
    <m/>
    <n v="1"/>
    <n v="7499"/>
    <n v="20"/>
    <n v="1499.8"/>
    <n v="5999.2"/>
    <n v="1199.2"/>
    <x v="2"/>
    <x v="4"/>
    <x v="4"/>
    <x v="3"/>
    <m/>
    <x v="1"/>
    <s v="November"/>
    <s v="Q4"/>
    <m/>
    <e v="#REF!"/>
    <s v="Normal"/>
    <n v="893"/>
  </r>
  <r>
    <s v="ORD-00202"/>
    <s v="C0455"/>
    <x v="24"/>
    <s v="2024-02"/>
    <s v="SR01"/>
    <x v="147"/>
    <d v="2024-02-28T00:00:00"/>
    <d v="2024-02-28T00:00:00"/>
    <n v="3"/>
    <n v="69999"/>
    <n v="10"/>
    <n v="20999.7"/>
    <n v="188997.3"/>
    <n v="44997.3"/>
    <x v="0"/>
    <x v="5"/>
    <x v="1"/>
    <x v="2"/>
    <n v="1"/>
    <x v="2"/>
    <s v="February"/>
    <s v="Q1"/>
    <n v="4"/>
    <e v="#REF!"/>
    <s v="Normal"/>
    <n v="796"/>
  </r>
  <r>
    <s v="ORD-00203"/>
    <s v="C0288"/>
    <x v="22"/>
    <s v="2022-10"/>
    <s v="SR03"/>
    <x v="190"/>
    <d v="2022-10-13T00:00:00"/>
    <d v="2022-10-13T00:00:00"/>
    <n v="4"/>
    <n v="5999"/>
    <n v="5"/>
    <n v="1199.8"/>
    <n v="22796.2"/>
    <n v="7596.2"/>
    <x v="0"/>
    <x v="4"/>
    <x v="3"/>
    <x v="0"/>
    <n v="3"/>
    <x v="0"/>
    <s v="October"/>
    <s v="Q4"/>
    <n v="2"/>
    <e v="#REF!"/>
    <s v="Normal"/>
    <n v="1297"/>
  </r>
  <r>
    <s v="ORD-00204"/>
    <s v="C0181"/>
    <x v="4"/>
    <s v="2023-07"/>
    <s v="SR05"/>
    <x v="191"/>
    <d v="2023-07-23T00:00:00"/>
    <d v="2023-07-25T00:00:00"/>
    <n v="3"/>
    <n v="29900"/>
    <n v="15"/>
    <n v="13455"/>
    <n v="76245"/>
    <n v="16245"/>
    <x v="0"/>
    <x v="3"/>
    <x v="1"/>
    <x v="3"/>
    <n v="5"/>
    <x v="1"/>
    <s v="July"/>
    <s v="Q3"/>
    <n v="1"/>
    <e v="#REF!"/>
    <s v="Normal"/>
    <n v="1013"/>
  </r>
  <r>
    <s v="ORD-00205"/>
    <s v="C0425"/>
    <x v="10"/>
    <s v="2024-12"/>
    <s v="SR07"/>
    <x v="192"/>
    <m/>
    <m/>
    <n v="5"/>
    <n v="55990"/>
    <n v="5"/>
    <n v="13997.5"/>
    <n v="265952.5"/>
    <n v="65952.5"/>
    <x v="2"/>
    <x v="3"/>
    <x v="1"/>
    <x v="1"/>
    <m/>
    <x v="2"/>
    <s v="December"/>
    <s v="Q4"/>
    <m/>
    <e v="#REF!"/>
    <s v="Normal"/>
    <n v="491"/>
  </r>
  <r>
    <s v="ORD-00206"/>
    <s v="C0189"/>
    <x v="9"/>
    <s v="2023-01"/>
    <s v="SR03"/>
    <x v="34"/>
    <d v="2023-01-22T00:00:00"/>
    <d v="2023-01-22T00:00:00"/>
    <n v="4"/>
    <n v="7499"/>
    <n v="0"/>
    <n v="0"/>
    <n v="29996"/>
    <n v="10796"/>
    <x v="0"/>
    <x v="0"/>
    <x v="2"/>
    <x v="0"/>
    <n v="1"/>
    <x v="1"/>
    <s v="January"/>
    <s v="Q1"/>
    <n v="1"/>
    <e v="#REF!"/>
    <s v="Normal"/>
    <n v="1195"/>
  </r>
  <r>
    <s v="ORD-00207"/>
    <s v="C0085"/>
    <x v="4"/>
    <s v="2022-10"/>
    <s v="SR05"/>
    <x v="193"/>
    <d v="2022-11-02T00:00:00"/>
    <d v="2022-11-03T00:00:00"/>
    <n v="5"/>
    <n v="29900"/>
    <n v="0"/>
    <n v="0"/>
    <n v="149500"/>
    <n v="49500"/>
    <x v="0"/>
    <x v="0"/>
    <x v="0"/>
    <x v="3"/>
    <n v="5"/>
    <x v="0"/>
    <s v="October"/>
    <s v="Q4"/>
    <n v="2"/>
    <e v="#REF!"/>
    <s v="Normal"/>
    <n v="1277"/>
  </r>
  <r>
    <s v="ORD-00208"/>
    <s v="C0478"/>
    <x v="23"/>
    <s v="2023-12"/>
    <s v="SR07"/>
    <x v="194"/>
    <d v="2023-12-16T00:00:00"/>
    <d v="2023-12-16T00:00:00"/>
    <n v="3"/>
    <n v="49990"/>
    <n v="5"/>
    <n v="7498.5"/>
    <n v="142471.5"/>
    <n v="37471.5"/>
    <x v="0"/>
    <x v="1"/>
    <x v="2"/>
    <x v="1"/>
    <n v="2"/>
    <x v="1"/>
    <s v="December"/>
    <s v="Q4"/>
    <n v="4"/>
    <e v="#REF!"/>
    <s v="Normal"/>
    <n v="870"/>
  </r>
  <r>
    <s v="ORD-00209"/>
    <s v="C0428"/>
    <x v="21"/>
    <s v="2024-04"/>
    <s v="SR07"/>
    <x v="195"/>
    <m/>
    <m/>
    <n v="3"/>
    <n v="59900"/>
    <n v="10"/>
    <n v="17970"/>
    <n v="161730"/>
    <n v="35730"/>
    <x v="1"/>
    <x v="3"/>
    <x v="1"/>
    <x v="1"/>
    <m/>
    <x v="2"/>
    <s v="April"/>
    <s v="Q2"/>
    <m/>
    <e v="#REF!"/>
    <s v="Normal"/>
    <n v="737"/>
  </r>
  <r>
    <s v="ORD-00210"/>
    <s v="C0341"/>
    <x v="22"/>
    <s v="2024-07"/>
    <s v="SR07"/>
    <x v="196"/>
    <d v="2024-07-31T00:00:00"/>
    <d v="2024-08-01T00:00:00"/>
    <n v="3"/>
    <n v="5999"/>
    <n v="0"/>
    <n v="0"/>
    <n v="17997"/>
    <n v="6597"/>
    <x v="0"/>
    <x v="0"/>
    <x v="3"/>
    <x v="1"/>
    <n v="4"/>
    <x v="2"/>
    <s v="July"/>
    <s v="Q3"/>
    <n v="5"/>
    <e v="#REF!"/>
    <s v="Normal"/>
    <n v="643"/>
  </r>
  <r>
    <s v="ORD-00211"/>
    <s v="C0191"/>
    <x v="13"/>
    <s v="2022-10"/>
    <s v="SR02"/>
    <x v="193"/>
    <d v="2022-11-03T00:00:00"/>
    <d v="2022-11-06T00:00:00"/>
    <n v="2"/>
    <n v="12999"/>
    <n v="0"/>
    <n v="0"/>
    <n v="25998"/>
    <n v="9998"/>
    <x v="0"/>
    <x v="4"/>
    <x v="1"/>
    <x v="1"/>
    <n v="3"/>
    <x v="0"/>
    <s v="October"/>
    <s v="Q4"/>
    <n v="3"/>
    <e v="#REF!"/>
    <s v="Normal"/>
    <n v="1277"/>
  </r>
  <r>
    <s v="ORD-00212"/>
    <s v="C0094"/>
    <x v="16"/>
    <s v="2022-11"/>
    <s v="SR05"/>
    <x v="197"/>
    <d v="2022-11-28T00:00:00"/>
    <d v="2022-11-28T00:00:00"/>
    <n v="3"/>
    <n v="38999"/>
    <n v="0"/>
    <n v="0"/>
    <n v="116997"/>
    <n v="35997"/>
    <x v="0"/>
    <x v="3"/>
    <x v="4"/>
    <x v="3"/>
    <n v="3"/>
    <x v="0"/>
    <s v="November"/>
    <s v="Q4"/>
    <n v="1"/>
    <e v="#REF!"/>
    <s v="Normal"/>
    <n v="1250"/>
  </r>
  <r>
    <s v="ORD-00213"/>
    <s v="C0095"/>
    <x v="18"/>
    <s v="2023-10"/>
    <s v="SR01"/>
    <x v="198"/>
    <d v="2023-10-14T00:00:00"/>
    <d v="2023-10-16T00:00:00"/>
    <n v="4"/>
    <n v="26990"/>
    <n v="20"/>
    <n v="21592"/>
    <n v="86368"/>
    <n v="14368"/>
    <x v="0"/>
    <x v="5"/>
    <x v="1"/>
    <x v="2"/>
    <n v="3"/>
    <x v="1"/>
    <s v="October"/>
    <s v="Q4"/>
    <n v="2"/>
    <e v="#REF!"/>
    <s v="Normal"/>
    <n v="931"/>
  </r>
  <r>
    <s v="ORD-00214"/>
    <s v="C0063"/>
    <x v="5"/>
    <s v="2024-10"/>
    <s v="SR07"/>
    <x v="199"/>
    <d v="2024-10-23T00:00:00"/>
    <d v="2024-10-25T00:00:00"/>
    <n v="2"/>
    <n v="79999"/>
    <n v="0"/>
    <n v="0"/>
    <n v="159998"/>
    <n v="49998"/>
    <x v="0"/>
    <x v="4"/>
    <x v="1"/>
    <x v="1"/>
    <n v="5"/>
    <x v="2"/>
    <s v="October"/>
    <s v="Q4"/>
    <n v="4"/>
    <e v="#REF!"/>
    <s v="Normal"/>
    <n v="558"/>
  </r>
  <r>
    <s v="ORD-00215"/>
    <s v="C0170"/>
    <x v="11"/>
    <s v="2024-08"/>
    <s v="SR07"/>
    <x v="200"/>
    <d v="2024-09-04T00:00:00"/>
    <d v="2024-09-05T00:00:00"/>
    <n v="5"/>
    <n v="8495"/>
    <n v="15"/>
    <n v="6371.25"/>
    <n v="36103.75"/>
    <n v="8603.75"/>
    <x v="0"/>
    <x v="0"/>
    <x v="2"/>
    <x v="1"/>
    <n v="4"/>
    <x v="2"/>
    <s v="August"/>
    <s v="Q3"/>
    <n v="7"/>
    <e v="#REF!"/>
    <s v="Normal"/>
    <n v="610"/>
  </r>
  <r>
    <s v="ORD-00216"/>
    <s v="C0461"/>
    <x v="24"/>
    <s v="2022-08"/>
    <s v="SR05"/>
    <x v="201"/>
    <d v="2022-08-29T00:00:00"/>
    <d v="2022-09-01T00:00:00"/>
    <n v="5"/>
    <n v="69999"/>
    <n v="5"/>
    <n v="17499.75"/>
    <n v="332495.25"/>
    <n v="92495.25"/>
    <x v="0"/>
    <x v="3"/>
    <x v="4"/>
    <x v="3"/>
    <n v="1"/>
    <x v="0"/>
    <s v="August"/>
    <s v="Q3"/>
    <n v="1"/>
    <e v="#REF!"/>
    <s v="Normal"/>
    <n v="1341"/>
  </r>
  <r>
    <s v="ORD-00217"/>
    <s v="C0168"/>
    <x v="24"/>
    <s v="2024-12"/>
    <s v="SR04"/>
    <x v="202"/>
    <d v="2024-12-21T00:00:00"/>
    <d v="2024-12-23T00:00:00"/>
    <n v="2"/>
    <n v="69999"/>
    <n v="0"/>
    <n v="0"/>
    <n v="139998"/>
    <n v="43998"/>
    <x v="0"/>
    <x v="1"/>
    <x v="1"/>
    <x v="4"/>
    <n v="4"/>
    <x v="2"/>
    <s v="December"/>
    <s v="Q4"/>
    <n v="7"/>
    <e v="#REF!"/>
    <s v="Normal"/>
    <n v="502"/>
  </r>
  <r>
    <s v="ORD-00218"/>
    <s v="C0347"/>
    <x v="9"/>
    <s v="2024-11"/>
    <s v="SR02"/>
    <x v="203"/>
    <d v="2024-11-16T00:00:00"/>
    <d v="2024-11-19T00:00:00"/>
    <n v="3"/>
    <n v="7499"/>
    <n v="20"/>
    <n v="4499.3999999999996"/>
    <n v="17997.599999999999"/>
    <n v="3597.6"/>
    <x v="0"/>
    <x v="1"/>
    <x v="4"/>
    <x v="1"/>
    <n v="4"/>
    <x v="2"/>
    <s v="November"/>
    <s v="Q4"/>
    <n v="2"/>
    <e v="#REF!"/>
    <s v="Normal"/>
    <n v="532"/>
  </r>
  <r>
    <s v="ORD-00219"/>
    <s v="C0076"/>
    <x v="22"/>
    <s v="2024-01"/>
    <s v="SR07"/>
    <x v="204"/>
    <d v="2024-01-31T00:00:00"/>
    <d v="2024-01-31T00:00:00"/>
    <n v="3"/>
    <n v="5999"/>
    <n v="10"/>
    <n v="1799.7"/>
    <n v="16197.3"/>
    <n v="4797.3"/>
    <x v="0"/>
    <x v="0"/>
    <x v="4"/>
    <x v="1"/>
    <n v="4"/>
    <x v="2"/>
    <s v="January"/>
    <s v="Q1"/>
    <n v="3"/>
    <e v="#REF!"/>
    <s v="Normal"/>
    <n v="823"/>
  </r>
  <r>
    <s v="ORD-00220"/>
    <s v="C0448"/>
    <x v="6"/>
    <s v="2023-03"/>
    <s v="SR03"/>
    <x v="205"/>
    <m/>
    <m/>
    <n v="4"/>
    <n v="54999"/>
    <n v="10"/>
    <n v="21999.599999999999"/>
    <n v="197996.4"/>
    <n v="45996.4"/>
    <x v="2"/>
    <x v="3"/>
    <x v="4"/>
    <x v="0"/>
    <m/>
    <x v="1"/>
    <s v="March"/>
    <s v="Q1"/>
    <m/>
    <e v="#REF!"/>
    <s v="Normal"/>
    <n v="1139"/>
  </r>
  <r>
    <s v="ORD-00221"/>
    <s v="C0084"/>
    <x v="2"/>
    <s v="2024-04"/>
    <s v="SR07"/>
    <x v="206"/>
    <d v="2024-05-05T00:00:00"/>
    <d v="2024-05-05T00:00:00"/>
    <n v="2"/>
    <n v="4999"/>
    <n v="5"/>
    <n v="499.9"/>
    <n v="9498.1"/>
    <n v="3898.1"/>
    <x v="0"/>
    <x v="0"/>
    <x v="0"/>
    <x v="1"/>
    <n v="5"/>
    <x v="2"/>
    <s v="April"/>
    <s v="Q2"/>
    <n v="7"/>
    <e v="#REF!"/>
    <s v="Normal"/>
    <n v="732"/>
  </r>
  <r>
    <s v="ORD-00222"/>
    <s v="C0172"/>
    <x v="20"/>
    <s v="2022-07"/>
    <s v="SR07"/>
    <x v="207"/>
    <d v="2022-07-05T00:00:00"/>
    <d v="2022-07-07T00:00:00"/>
    <n v="4"/>
    <n v="114900"/>
    <n v="0"/>
    <n v="0"/>
    <n v="459600"/>
    <n v="119600"/>
    <x v="0"/>
    <x v="2"/>
    <x v="0"/>
    <x v="1"/>
    <n v="5"/>
    <x v="0"/>
    <s v="July"/>
    <s v="Q3"/>
    <n v="4"/>
    <e v="#REF!"/>
    <s v="High Outlier"/>
    <n v="1399"/>
  </r>
  <r>
    <s v="ORD-00223"/>
    <s v="C0387"/>
    <x v="23"/>
    <s v="2023-01"/>
    <s v="SR02"/>
    <x v="208"/>
    <d v="2023-01-19T00:00:00"/>
    <d v="2023-01-22T00:00:00"/>
    <n v="1"/>
    <n v="49990"/>
    <n v="5"/>
    <n v="2499.5"/>
    <n v="47490.5"/>
    <n v="12490.5"/>
    <x v="0"/>
    <x v="2"/>
    <x v="4"/>
    <x v="1"/>
    <n v="4"/>
    <x v="1"/>
    <s v="January"/>
    <s v="Q1"/>
    <n v="3"/>
    <e v="#REF!"/>
    <s v="Normal"/>
    <n v="1200"/>
  </r>
  <r>
    <s v="ORD-00224"/>
    <s v="C0287"/>
    <x v="2"/>
    <s v="2023-04"/>
    <s v="SR07"/>
    <x v="209"/>
    <d v="2023-04-12T00:00:00"/>
    <d v="2023-04-12T00:00:00"/>
    <n v="2"/>
    <n v="4999"/>
    <n v="5"/>
    <n v="499.9"/>
    <n v="9498.1"/>
    <n v="3898.1"/>
    <x v="0"/>
    <x v="0"/>
    <x v="0"/>
    <x v="1"/>
    <n v="1"/>
    <x v="1"/>
    <s v="April"/>
    <s v="Q2"/>
    <n v="7"/>
    <e v="#REF!"/>
    <s v="Normal"/>
    <n v="1121"/>
  </r>
  <r>
    <s v="ORD-00225"/>
    <s v="C0335"/>
    <x v="9"/>
    <s v="2024-05"/>
    <s v="SR08"/>
    <x v="210"/>
    <d v="2024-05-08T00:00:00"/>
    <d v="2024-05-09T00:00:00"/>
    <n v="1"/>
    <n v="7499"/>
    <n v="0"/>
    <n v="0"/>
    <n v="7499"/>
    <n v="2699"/>
    <x v="0"/>
    <x v="0"/>
    <x v="0"/>
    <x v="0"/>
    <n v="1"/>
    <x v="2"/>
    <s v="May"/>
    <s v="Q2"/>
    <n v="4"/>
    <e v="#REF!"/>
    <s v="Normal"/>
    <n v="726"/>
  </r>
  <r>
    <s v="ORD-00226"/>
    <s v="C0307"/>
    <x v="2"/>
    <s v="2024-09"/>
    <s v="SR08"/>
    <x v="211"/>
    <m/>
    <m/>
    <n v="4"/>
    <n v="4999"/>
    <n v="5"/>
    <n v="999.8"/>
    <n v="18996.2"/>
    <n v="7796.2"/>
    <x v="1"/>
    <x v="4"/>
    <x v="0"/>
    <x v="0"/>
    <m/>
    <x v="2"/>
    <s v="September"/>
    <s v="Q3"/>
    <m/>
    <e v="#REF!"/>
    <s v="Normal"/>
    <n v="596"/>
  </r>
  <r>
    <s v="ORD-00227"/>
    <s v="C0499"/>
    <x v="22"/>
    <s v="2024-02"/>
    <s v="SR04"/>
    <x v="212"/>
    <m/>
    <m/>
    <n v="5"/>
    <n v="5999"/>
    <n v="0"/>
    <n v="0"/>
    <n v="29995"/>
    <n v="10995"/>
    <x v="1"/>
    <x v="0"/>
    <x v="3"/>
    <x v="4"/>
    <m/>
    <x v="2"/>
    <s v="February"/>
    <s v="Q1"/>
    <m/>
    <e v="#REF!"/>
    <s v="Normal"/>
    <n v="816"/>
  </r>
  <r>
    <s v="ORD-00228"/>
    <s v="C0298"/>
    <x v="24"/>
    <s v="2023-10"/>
    <s v="SR02"/>
    <x v="213"/>
    <d v="2023-10-23T00:00:00"/>
    <d v="2023-10-24T00:00:00"/>
    <n v="3"/>
    <n v="69999"/>
    <n v="0"/>
    <n v="0"/>
    <n v="209997"/>
    <n v="65997"/>
    <x v="0"/>
    <x v="1"/>
    <x v="4"/>
    <x v="1"/>
    <n v="3"/>
    <x v="1"/>
    <s v="October"/>
    <s v="Q4"/>
    <n v="6"/>
    <e v="#REF!"/>
    <s v="Normal"/>
    <n v="926"/>
  </r>
  <r>
    <s v="ORD-00229"/>
    <s v="C0215"/>
    <x v="11"/>
    <s v="2022-04"/>
    <s v="SR04"/>
    <x v="214"/>
    <d v="2022-04-13T00:00:00"/>
    <d v="2022-04-13T00:00:00"/>
    <n v="5"/>
    <n v="8495"/>
    <n v="5"/>
    <n v="2123.75"/>
    <n v="40351.25"/>
    <n v="12851.25"/>
    <x v="0"/>
    <x v="4"/>
    <x v="3"/>
    <x v="4"/>
    <n v="1"/>
    <x v="0"/>
    <s v="April"/>
    <s v="Q2"/>
    <n v="3"/>
    <e v="#REF!"/>
    <s v="Normal"/>
    <n v="1481"/>
  </r>
  <r>
    <s v="ORD-00230"/>
    <s v="C0307"/>
    <x v="12"/>
    <s v="2023-10"/>
    <s v="SR03"/>
    <x v="215"/>
    <d v="2023-10-30T00:00:00"/>
    <d v="2023-11-01T00:00:00"/>
    <n v="3"/>
    <n v="1599"/>
    <n v="10"/>
    <n v="479.7"/>
    <n v="4317.3"/>
    <n v="1917.3"/>
    <x v="0"/>
    <x v="1"/>
    <x v="1"/>
    <x v="0"/>
    <n v="5"/>
    <x v="1"/>
    <s v="October"/>
    <s v="Q4"/>
    <n v="7"/>
    <e v="#REF!"/>
    <s v="Normal"/>
    <n v="920"/>
  </r>
  <r>
    <s v="ORD-00231"/>
    <s v="C0181"/>
    <x v="23"/>
    <s v="2022-10"/>
    <s v="SR05"/>
    <x v="216"/>
    <m/>
    <m/>
    <n v="3"/>
    <n v="49990"/>
    <n v="10"/>
    <n v="14997"/>
    <n v="134973"/>
    <n v="29973"/>
    <x v="1"/>
    <x v="3"/>
    <x v="0"/>
    <x v="3"/>
    <m/>
    <x v="0"/>
    <s v="October"/>
    <s v="Q4"/>
    <m/>
    <e v="#REF!"/>
    <s v="Normal"/>
    <n v="1300"/>
  </r>
  <r>
    <s v="ORD-00232"/>
    <s v="C0175"/>
    <x v="16"/>
    <s v="2023-03"/>
    <s v="SR02"/>
    <x v="217"/>
    <d v="2023-03-28T00:00:00"/>
    <d v="2023-03-29T00:00:00"/>
    <n v="2"/>
    <n v="38999"/>
    <n v="20"/>
    <n v="15599.6"/>
    <n v="62398.400000000001"/>
    <n v="8398.4"/>
    <x v="0"/>
    <x v="2"/>
    <x v="1"/>
    <x v="1"/>
    <n v="5"/>
    <x v="1"/>
    <s v="March"/>
    <s v="Q1"/>
    <n v="5"/>
    <e v="#REF!"/>
    <s v="Normal"/>
    <n v="1134"/>
  </r>
  <r>
    <s v="ORD-00233"/>
    <s v="C0365"/>
    <x v="6"/>
    <s v="2024-05"/>
    <s v="SR02"/>
    <x v="210"/>
    <d v="2024-05-05T00:00:00"/>
    <d v="2024-05-05T00:00:00"/>
    <n v="2"/>
    <n v="54999"/>
    <n v="0"/>
    <n v="0"/>
    <n v="109998"/>
    <n v="33998"/>
    <x v="0"/>
    <x v="3"/>
    <x v="4"/>
    <x v="1"/>
    <n v="3"/>
    <x v="2"/>
    <s v="May"/>
    <s v="Q2"/>
    <n v="1"/>
    <e v="#REF!"/>
    <s v="Normal"/>
    <n v="726"/>
  </r>
  <r>
    <s v="ORD-00234"/>
    <s v="C0354"/>
    <x v="17"/>
    <s v="2024-06"/>
    <s v="SR02"/>
    <x v="218"/>
    <m/>
    <m/>
    <n v="5"/>
    <n v="41900"/>
    <n v="10"/>
    <n v="20950"/>
    <n v="188550"/>
    <n v="48550"/>
    <x v="1"/>
    <x v="5"/>
    <x v="4"/>
    <x v="1"/>
    <m/>
    <x v="2"/>
    <s v="June"/>
    <s v="Q2"/>
    <m/>
    <e v="#REF!"/>
    <s v="Normal"/>
    <n v="675"/>
  </r>
  <r>
    <s v="ORD-00235"/>
    <s v="C0015"/>
    <x v="2"/>
    <s v="2023-04"/>
    <s v="SR05"/>
    <x v="219"/>
    <d v="2023-04-08T00:00:00"/>
    <d v="2023-04-09T00:00:00"/>
    <n v="2"/>
    <n v="4999"/>
    <n v="5"/>
    <n v="499.9"/>
    <n v="9498.1"/>
    <n v="3898.1"/>
    <x v="0"/>
    <x v="5"/>
    <x v="3"/>
    <x v="3"/>
    <n v="2"/>
    <x v="1"/>
    <s v="April"/>
    <s v="Q2"/>
    <n v="7"/>
    <e v="#REF!"/>
    <s v="Normal"/>
    <n v="1125"/>
  </r>
  <r>
    <s v="ORD-00236"/>
    <s v="C0041"/>
    <x v="3"/>
    <s v="2022-06"/>
    <s v="SR02"/>
    <x v="55"/>
    <d v="2022-06-16T00:00:00"/>
    <d v="2022-06-19T00:00:00"/>
    <n v="4"/>
    <n v="24999"/>
    <n v="0"/>
    <n v="0"/>
    <n v="99996"/>
    <n v="31996"/>
    <x v="0"/>
    <x v="5"/>
    <x v="2"/>
    <x v="1"/>
    <n v="1"/>
    <x v="0"/>
    <s v="June"/>
    <s v="Q2"/>
    <n v="7"/>
    <e v="#REF!"/>
    <s v="Normal"/>
    <n v="1421"/>
  </r>
  <r>
    <s v="ORD-00237"/>
    <s v="C0407"/>
    <x v="9"/>
    <s v="2024-08"/>
    <s v="SR03"/>
    <x v="220"/>
    <d v="2024-08-21T00:00:00"/>
    <d v="2024-08-21T00:00:00"/>
    <n v="1"/>
    <n v="7499"/>
    <n v="5"/>
    <n v="374.95"/>
    <n v="7124.05"/>
    <n v="2324.0500000000002"/>
    <x v="0"/>
    <x v="4"/>
    <x v="2"/>
    <x v="0"/>
    <n v="1"/>
    <x v="2"/>
    <s v="August"/>
    <s v="Q3"/>
    <n v="3"/>
    <e v="#REF!"/>
    <s v="Normal"/>
    <n v="620"/>
  </r>
  <r>
    <s v="ORD-00238"/>
    <s v="C0401"/>
    <x v="10"/>
    <s v="2023-02"/>
    <s v="SR02"/>
    <x v="221"/>
    <d v="2023-02-20T00:00:00"/>
    <d v="2023-02-22T00:00:00"/>
    <n v="1"/>
    <n v="55990"/>
    <n v="0"/>
    <n v="0"/>
    <n v="55990"/>
    <n v="15990"/>
    <x v="0"/>
    <x v="5"/>
    <x v="4"/>
    <x v="1"/>
    <n v="5"/>
    <x v="1"/>
    <s v="February"/>
    <s v="Q1"/>
    <n v="6"/>
    <e v="#REF!"/>
    <s v="Normal"/>
    <n v="1171"/>
  </r>
  <r>
    <s v="ORD-00239"/>
    <s v="C0179"/>
    <x v="17"/>
    <s v="2024-10"/>
    <s v="SR02"/>
    <x v="222"/>
    <m/>
    <m/>
    <n v="5"/>
    <n v="41900"/>
    <n v="5"/>
    <n v="10475"/>
    <n v="199025"/>
    <n v="59025"/>
    <x v="2"/>
    <x v="2"/>
    <x v="1"/>
    <x v="1"/>
    <m/>
    <x v="2"/>
    <s v="October"/>
    <s v="Q4"/>
    <m/>
    <e v="#REF!"/>
    <s v="Normal"/>
    <n v="555"/>
  </r>
  <r>
    <s v="ORD-00240"/>
    <s v="C0035"/>
    <x v="10"/>
    <s v="2024-12"/>
    <s v="SR02"/>
    <x v="105"/>
    <d v="2024-12-25T00:00:00"/>
    <d v="2024-12-26T00:00:00"/>
    <n v="3"/>
    <n v="55990"/>
    <n v="0"/>
    <n v="0"/>
    <n v="167970"/>
    <n v="47970"/>
    <x v="0"/>
    <x v="2"/>
    <x v="2"/>
    <x v="1"/>
    <n v="1"/>
    <x v="2"/>
    <s v="December"/>
    <s v="Q4"/>
    <n v="6"/>
    <e v="#REF!"/>
    <s v="Normal"/>
    <n v="497"/>
  </r>
  <r>
    <s v="ORD-00241"/>
    <s v="C0474"/>
    <x v="18"/>
    <s v="2024-01"/>
    <s v="SR07"/>
    <x v="223"/>
    <m/>
    <m/>
    <n v="5"/>
    <n v="26990"/>
    <n v="0"/>
    <n v="0"/>
    <n v="134950"/>
    <n v="44950"/>
    <x v="2"/>
    <x v="3"/>
    <x v="2"/>
    <x v="1"/>
    <m/>
    <x v="2"/>
    <s v="January"/>
    <s v="Q1"/>
    <m/>
    <e v="#REF!"/>
    <s v="Normal"/>
    <n v="830"/>
  </r>
  <r>
    <s v="ORD-00242"/>
    <s v="C0093"/>
    <x v="17"/>
    <s v="2024-05"/>
    <s v="SR06"/>
    <x v="224"/>
    <d v="2024-05-23T00:00:00"/>
    <d v="2024-05-24T00:00:00"/>
    <n v="4"/>
    <n v="41900"/>
    <n v="0"/>
    <n v="0"/>
    <n v="167600"/>
    <n v="55600"/>
    <x v="0"/>
    <x v="0"/>
    <x v="2"/>
    <x v="2"/>
    <n v="4"/>
    <x v="2"/>
    <s v="May"/>
    <s v="Q2"/>
    <n v="5"/>
    <e v="#REF!"/>
    <s v="Normal"/>
    <n v="712"/>
  </r>
  <r>
    <s v="ORD-00243"/>
    <s v="C0057"/>
    <x v="21"/>
    <s v="2024-10"/>
    <s v="SR03"/>
    <x v="225"/>
    <d v="2024-10-18T00:00:00"/>
    <d v="2024-10-20T00:00:00"/>
    <n v="5"/>
    <n v="59900"/>
    <n v="0"/>
    <n v="0"/>
    <n v="299500"/>
    <n v="89500"/>
    <x v="0"/>
    <x v="1"/>
    <x v="4"/>
    <x v="0"/>
    <n v="4"/>
    <x v="2"/>
    <s v="October"/>
    <s v="Q4"/>
    <n v="6"/>
    <e v="#REF!"/>
    <s v="Normal"/>
    <n v="565"/>
  </r>
  <r>
    <s v="ORD-00244"/>
    <s v="C0060"/>
    <x v="1"/>
    <s v="2024-07"/>
    <s v="SR08"/>
    <x v="226"/>
    <m/>
    <m/>
    <n v="3"/>
    <n v="19999"/>
    <n v="15"/>
    <n v="8999.5499999999993"/>
    <n v="50997.45"/>
    <n v="11997.45"/>
    <x v="1"/>
    <x v="5"/>
    <x v="1"/>
    <x v="0"/>
    <m/>
    <x v="2"/>
    <s v="July"/>
    <s v="Q3"/>
    <m/>
    <e v="#REF!"/>
    <s v="Normal"/>
    <n v="645"/>
  </r>
  <r>
    <s v="ORD-00245"/>
    <s v="C0209"/>
    <x v="13"/>
    <s v="2023-01"/>
    <s v="SR08"/>
    <x v="227"/>
    <d v="2023-01-29T00:00:00"/>
    <d v="2023-02-01T00:00:00"/>
    <n v="3"/>
    <n v="12999"/>
    <n v="0"/>
    <n v="0"/>
    <n v="38997"/>
    <n v="14997"/>
    <x v="0"/>
    <x v="1"/>
    <x v="0"/>
    <x v="0"/>
    <n v="1"/>
    <x v="1"/>
    <s v="January"/>
    <s v="Q1"/>
    <n v="7"/>
    <e v="#REF!"/>
    <s v="Normal"/>
    <n v="1194"/>
  </r>
  <r>
    <s v="ORD-00246"/>
    <s v="C0203"/>
    <x v="19"/>
    <s v="2022-09"/>
    <s v="SR02"/>
    <x v="228"/>
    <d v="2022-09-06T00:00:00"/>
    <d v="2022-09-09T00:00:00"/>
    <n v="5"/>
    <n v="64999"/>
    <n v="0"/>
    <n v="0"/>
    <n v="324995"/>
    <n v="99995"/>
    <x v="0"/>
    <x v="4"/>
    <x v="3"/>
    <x v="1"/>
    <n v="1"/>
    <x v="0"/>
    <s v="September"/>
    <s v="Q3"/>
    <n v="4"/>
    <e v="#REF!"/>
    <s v="Normal"/>
    <n v="1336"/>
  </r>
  <r>
    <s v="ORD-00247"/>
    <s v="C0187"/>
    <x v="18"/>
    <s v="2023-02"/>
    <s v="SR07"/>
    <x v="1"/>
    <m/>
    <m/>
    <n v="4"/>
    <n v="26990"/>
    <n v="0"/>
    <n v="0"/>
    <n v="107960"/>
    <n v="35960"/>
    <x v="1"/>
    <x v="5"/>
    <x v="0"/>
    <x v="1"/>
    <m/>
    <x v="1"/>
    <s v="February"/>
    <s v="Q1"/>
    <m/>
    <e v="#REF!"/>
    <s v="Normal"/>
    <n v="1170"/>
  </r>
  <r>
    <s v="ORD-00248"/>
    <s v="C0372"/>
    <x v="14"/>
    <s v="2023-07"/>
    <s v="SR08"/>
    <x v="229"/>
    <m/>
    <m/>
    <n v="4"/>
    <n v="29999"/>
    <n v="10"/>
    <n v="11999.6"/>
    <n v="107996.4"/>
    <n v="27996.400000000001"/>
    <x v="2"/>
    <x v="3"/>
    <x v="1"/>
    <x v="0"/>
    <m/>
    <x v="1"/>
    <s v="July"/>
    <s v="Q3"/>
    <m/>
    <e v="#REF!"/>
    <s v="Normal"/>
    <n v="1021"/>
  </r>
  <r>
    <s v="ORD-00249"/>
    <s v="C0487"/>
    <x v="1"/>
    <s v="2024-11"/>
    <s v="SR07"/>
    <x v="96"/>
    <d v="2024-11-15T00:00:00"/>
    <d v="2024-11-18T00:00:00"/>
    <n v="1"/>
    <n v="19999"/>
    <n v="0"/>
    <n v="0"/>
    <n v="19999"/>
    <n v="6999"/>
    <x v="0"/>
    <x v="0"/>
    <x v="0"/>
    <x v="1"/>
    <n v="4"/>
    <x v="2"/>
    <s v="November"/>
    <s v="Q4"/>
    <n v="2"/>
    <e v="#REF!"/>
    <s v="Normal"/>
    <n v="533"/>
  </r>
  <r>
    <s v="ORD-00250"/>
    <s v="C0119"/>
    <x v="11"/>
    <s v="2022-03"/>
    <s v="SR03"/>
    <x v="230"/>
    <d v="2022-03-08T00:00:00"/>
    <d v="2022-03-08T00:00:00"/>
    <n v="1"/>
    <n v="8495"/>
    <n v="15"/>
    <n v="1274.25"/>
    <n v="7220.75"/>
    <n v="1720.75"/>
    <x v="0"/>
    <x v="4"/>
    <x v="2"/>
    <x v="0"/>
    <n v="2"/>
    <x v="0"/>
    <s v="March"/>
    <s v="Q1"/>
    <n v="6"/>
    <e v="#REF!"/>
    <s v="Normal"/>
    <n v="1520"/>
  </r>
  <r>
    <s v="ORD-00251"/>
    <s v="C0196"/>
    <x v="0"/>
    <s v="2022-11"/>
    <s v="SR05"/>
    <x v="231"/>
    <d v="2022-11-14T00:00:00"/>
    <d v="2022-11-14T00:00:00"/>
    <n v="1"/>
    <n v="3499"/>
    <n v="20"/>
    <n v="699.8"/>
    <n v="2799.2"/>
    <n v="999.2"/>
    <x v="0"/>
    <x v="3"/>
    <x v="0"/>
    <x v="3"/>
    <n v="2"/>
    <x v="0"/>
    <s v="November"/>
    <s v="Q4"/>
    <n v="5"/>
    <e v="#REF!"/>
    <s v="Normal"/>
    <n v="1268"/>
  </r>
  <r>
    <s v="ORD-00252"/>
    <s v="C0151"/>
    <x v="9"/>
    <s v="2024-10"/>
    <s v="SR06"/>
    <x v="232"/>
    <m/>
    <m/>
    <n v="3"/>
    <n v="7499"/>
    <n v="20"/>
    <n v="4499.3999999999996"/>
    <n v="17997.599999999999"/>
    <n v="3597.6"/>
    <x v="1"/>
    <x v="0"/>
    <x v="1"/>
    <x v="2"/>
    <m/>
    <x v="2"/>
    <s v="October"/>
    <s v="Q4"/>
    <m/>
    <e v="#REF!"/>
    <s v="Normal"/>
    <n v="576"/>
  </r>
  <r>
    <s v="ORD-00253"/>
    <s v="C0280"/>
    <x v="5"/>
    <s v="2024-05"/>
    <s v="SR02"/>
    <x v="233"/>
    <d v="2024-06-04T00:00:00"/>
    <d v="2024-06-07T00:00:00"/>
    <n v="3"/>
    <n v="79999"/>
    <n v="10"/>
    <n v="23999.7"/>
    <n v="215997.3"/>
    <n v="50997.3"/>
    <x v="0"/>
    <x v="3"/>
    <x v="0"/>
    <x v="1"/>
    <n v="1"/>
    <x v="2"/>
    <s v="May"/>
    <s v="Q2"/>
    <n v="4"/>
    <e v="#REF!"/>
    <s v="Normal"/>
    <n v="699"/>
  </r>
  <r>
    <s v="ORD-00254"/>
    <s v="C0017"/>
    <x v="16"/>
    <s v="2022-12"/>
    <s v="SR05"/>
    <x v="234"/>
    <d v="2022-12-07T00:00:00"/>
    <d v="2022-12-08T00:00:00"/>
    <n v="3"/>
    <n v="38999"/>
    <n v="10"/>
    <n v="11699.7"/>
    <n v="105297.3"/>
    <n v="24297.3"/>
    <x v="0"/>
    <x v="3"/>
    <x v="2"/>
    <x v="3"/>
    <n v="5"/>
    <x v="0"/>
    <s v="December"/>
    <s v="Q4"/>
    <n v="4"/>
    <e v="#REF!"/>
    <s v="Normal"/>
    <n v="1244"/>
  </r>
  <r>
    <s v="ORD-00255"/>
    <s v="C0346"/>
    <x v="14"/>
    <s v="2024-09"/>
    <s v="SR07"/>
    <x v="235"/>
    <m/>
    <m/>
    <n v="2"/>
    <n v="29999"/>
    <n v="20"/>
    <n v="11999.6"/>
    <n v="47998.400000000001"/>
    <n v="7998.4"/>
    <x v="1"/>
    <x v="1"/>
    <x v="0"/>
    <x v="1"/>
    <m/>
    <x v="2"/>
    <s v="September"/>
    <s v="Q3"/>
    <m/>
    <e v="#REF!"/>
    <s v="Normal"/>
    <n v="606"/>
  </r>
  <r>
    <s v="ORD-00256"/>
    <s v="C0135"/>
    <x v="14"/>
    <s v="2023-12"/>
    <s v="SR06"/>
    <x v="236"/>
    <d v="2023-12-27T00:00:00"/>
    <d v="2023-12-27T00:00:00"/>
    <n v="1"/>
    <n v="29999"/>
    <n v="0"/>
    <n v="0"/>
    <n v="29999"/>
    <n v="9999"/>
    <x v="0"/>
    <x v="5"/>
    <x v="4"/>
    <x v="2"/>
    <n v="3"/>
    <x v="1"/>
    <s v="December"/>
    <s v="Q4"/>
    <n v="3"/>
    <e v="#REF!"/>
    <s v="Normal"/>
    <n v="858"/>
  </r>
  <r>
    <s v="ORD-00257"/>
    <s v="C0415"/>
    <x v="2"/>
    <s v="2023-11"/>
    <s v="SR04"/>
    <x v="237"/>
    <d v="2023-12-01T00:00:00"/>
    <d v="2023-12-04T00:00:00"/>
    <n v="3"/>
    <n v="4999"/>
    <n v="10"/>
    <n v="1499.7"/>
    <n v="13497.3"/>
    <n v="5097.3"/>
    <x v="0"/>
    <x v="3"/>
    <x v="4"/>
    <x v="4"/>
    <n v="1"/>
    <x v="1"/>
    <s v="November"/>
    <s v="Q4"/>
    <n v="1"/>
    <e v="#REF!"/>
    <s v="Normal"/>
    <n v="882"/>
  </r>
  <r>
    <s v="ORD-00258"/>
    <s v="C0339"/>
    <x v="8"/>
    <s v="2023-04"/>
    <s v="SR03"/>
    <x v="8"/>
    <m/>
    <m/>
    <n v="3"/>
    <n v="6999"/>
    <n v="0"/>
    <n v="0"/>
    <n v="20997"/>
    <n v="8397"/>
    <x v="2"/>
    <x v="4"/>
    <x v="2"/>
    <x v="0"/>
    <m/>
    <x v="1"/>
    <s v="April"/>
    <s v="Q2"/>
    <m/>
    <e v="#REF!"/>
    <s v="Normal"/>
    <n v="1100"/>
  </r>
  <r>
    <s v="ORD-00259"/>
    <s v="C0445"/>
    <x v="13"/>
    <s v="2023-11"/>
    <s v="SR02"/>
    <x v="238"/>
    <d v="2023-11-24T00:00:00"/>
    <d v="2023-11-26T00:00:00"/>
    <n v="1"/>
    <n v="12999"/>
    <n v="15"/>
    <n v="1949.85"/>
    <n v="11049.15"/>
    <n v="3049.15"/>
    <x v="0"/>
    <x v="4"/>
    <x v="0"/>
    <x v="1"/>
    <n v="5"/>
    <x v="1"/>
    <s v="November"/>
    <s v="Q4"/>
    <n v="1"/>
    <e v="#REF!"/>
    <s v="Normal"/>
    <n v="889"/>
  </r>
  <r>
    <s v="ORD-00260"/>
    <s v="C0264"/>
    <x v="3"/>
    <s v="2022-02"/>
    <s v="SR06"/>
    <x v="239"/>
    <m/>
    <m/>
    <n v="4"/>
    <n v="24999"/>
    <n v="0"/>
    <n v="0"/>
    <n v="99996"/>
    <n v="31996"/>
    <x v="2"/>
    <x v="0"/>
    <x v="0"/>
    <x v="2"/>
    <m/>
    <x v="0"/>
    <s v="February"/>
    <s v="Q1"/>
    <m/>
    <e v="#REF!"/>
    <s v="Normal"/>
    <n v="1539"/>
  </r>
  <r>
    <s v="ORD-00261"/>
    <s v="C0293"/>
    <x v="1"/>
    <s v="2022-07"/>
    <s v="SR06"/>
    <x v="240"/>
    <d v="2022-07-21T00:00:00"/>
    <d v="2022-07-22T00:00:00"/>
    <n v="3"/>
    <n v="19999"/>
    <n v="15"/>
    <n v="8999.5499999999993"/>
    <n v="50997.45"/>
    <n v="11997.45"/>
    <x v="0"/>
    <x v="2"/>
    <x v="4"/>
    <x v="2"/>
    <n v="2"/>
    <x v="0"/>
    <s v="July"/>
    <s v="Q3"/>
    <n v="1"/>
    <e v="#REF!"/>
    <s v="Normal"/>
    <n v="1380"/>
  </r>
  <r>
    <s v="ORD-00262"/>
    <s v="C0315"/>
    <x v="13"/>
    <s v="2024-06"/>
    <s v="SR06"/>
    <x v="241"/>
    <d v="2024-06-15T00:00:00"/>
    <d v="2024-06-15T00:00:00"/>
    <n v="5"/>
    <n v="12999"/>
    <n v="5"/>
    <n v="3249.75"/>
    <n v="61745.25"/>
    <n v="21745.25"/>
    <x v="0"/>
    <x v="0"/>
    <x v="4"/>
    <x v="2"/>
    <n v="1"/>
    <x v="2"/>
    <s v="June"/>
    <s v="Q2"/>
    <n v="4"/>
    <e v="#REF!"/>
    <s v="Normal"/>
    <n v="688"/>
  </r>
  <r>
    <s v="ORD-00263"/>
    <s v="C0153"/>
    <x v="15"/>
    <s v="2023-04"/>
    <s v="SR07"/>
    <x v="242"/>
    <m/>
    <m/>
    <n v="1"/>
    <n v="2499"/>
    <n v="0"/>
    <n v="0"/>
    <n v="2499"/>
    <n v="1299"/>
    <x v="1"/>
    <x v="2"/>
    <x v="4"/>
    <x v="1"/>
    <m/>
    <x v="1"/>
    <s v="April"/>
    <s v="Q2"/>
    <m/>
    <e v="#REF!"/>
    <s v="Normal"/>
    <n v="1118"/>
  </r>
  <r>
    <s v="ORD-00264"/>
    <s v="C0140"/>
    <x v="20"/>
    <s v="2024-05"/>
    <s v="SR06"/>
    <x v="243"/>
    <d v="2024-05-27T00:00:00"/>
    <d v="2024-05-27T00:00:00"/>
    <n v="3"/>
    <n v="114900"/>
    <n v="20"/>
    <n v="68940"/>
    <n v="275760"/>
    <n v="20760"/>
    <x v="0"/>
    <x v="0"/>
    <x v="0"/>
    <x v="2"/>
    <n v="5"/>
    <x v="2"/>
    <s v="May"/>
    <s v="Q2"/>
    <n v="3"/>
    <e v="#REF!"/>
    <s v="Normal"/>
    <n v="706"/>
  </r>
  <r>
    <s v="ORD-00265"/>
    <s v="C0161"/>
    <x v="18"/>
    <s v="2024-04"/>
    <s v="SR07"/>
    <x v="244"/>
    <d v="2024-04-08T00:00:00"/>
    <d v="2024-04-11T00:00:00"/>
    <n v="5"/>
    <n v="26990"/>
    <n v="0"/>
    <n v="0"/>
    <n v="134950"/>
    <n v="44950"/>
    <x v="0"/>
    <x v="1"/>
    <x v="1"/>
    <x v="1"/>
    <n v="2"/>
    <x v="2"/>
    <s v="April"/>
    <s v="Q2"/>
    <n v="5"/>
    <e v="#REF!"/>
    <s v="Normal"/>
    <n v="757"/>
  </r>
  <r>
    <s v="ORD-00266"/>
    <s v="C0296"/>
    <x v="14"/>
    <s v="2024-08"/>
    <s v="SR01"/>
    <x v="245"/>
    <d v="2024-08-21T00:00:00"/>
    <d v="2024-08-24T00:00:00"/>
    <n v="5"/>
    <n v="29999"/>
    <n v="0"/>
    <n v="0"/>
    <n v="149995"/>
    <n v="49995"/>
    <x v="0"/>
    <x v="2"/>
    <x v="3"/>
    <x v="2"/>
    <n v="3"/>
    <x v="2"/>
    <s v="August"/>
    <s v="Q3"/>
    <n v="6"/>
    <e v="#REF!"/>
    <s v="Normal"/>
    <n v="623"/>
  </r>
  <r>
    <s v="ORD-00267"/>
    <s v="C0237"/>
    <x v="23"/>
    <s v="2022-11"/>
    <s v="SR01"/>
    <x v="246"/>
    <m/>
    <m/>
    <n v="3"/>
    <n v="49990"/>
    <n v="10"/>
    <n v="14997"/>
    <n v="134973"/>
    <n v="29973"/>
    <x v="2"/>
    <x v="3"/>
    <x v="4"/>
    <x v="2"/>
    <m/>
    <x v="0"/>
    <s v="November"/>
    <s v="Q4"/>
    <m/>
    <e v="#REF!"/>
    <s v="Normal"/>
    <n v="1272"/>
  </r>
  <r>
    <s v="ORD-00268"/>
    <s v="C0441"/>
    <x v="20"/>
    <s v="2024-04"/>
    <s v="SR05"/>
    <x v="59"/>
    <d v="2024-05-01T00:00:00"/>
    <d v="2024-05-03T00:00:00"/>
    <n v="2"/>
    <n v="114900"/>
    <n v="5"/>
    <n v="11490"/>
    <n v="218310"/>
    <n v="48310"/>
    <x v="0"/>
    <x v="4"/>
    <x v="1"/>
    <x v="3"/>
    <n v="2"/>
    <x v="2"/>
    <s v="April"/>
    <s v="Q2"/>
    <n v="7"/>
    <e v="#REF!"/>
    <s v="Normal"/>
    <n v="736"/>
  </r>
  <r>
    <s v="ORD-00269"/>
    <s v="C0208"/>
    <x v="8"/>
    <s v="2022-11"/>
    <s v="SR01"/>
    <x v="247"/>
    <d v="2022-11-05T00:00:00"/>
    <d v="2022-11-06T00:00:00"/>
    <n v="3"/>
    <n v="6999"/>
    <n v="15"/>
    <n v="3149.55"/>
    <n v="17847.45"/>
    <n v="5247.45"/>
    <x v="0"/>
    <x v="3"/>
    <x v="1"/>
    <x v="2"/>
    <n v="4"/>
    <x v="0"/>
    <s v="November"/>
    <s v="Q4"/>
    <n v="1"/>
    <e v="#REF!"/>
    <s v="Normal"/>
    <n v="1273"/>
  </r>
  <r>
    <s v="ORD-00270"/>
    <s v="C0217"/>
    <x v="11"/>
    <s v="2023-02"/>
    <s v="SR04"/>
    <x v="248"/>
    <d v="2023-02-21T00:00:00"/>
    <d v="2023-02-22T00:00:00"/>
    <n v="1"/>
    <n v="8495"/>
    <n v="5"/>
    <n v="424.75"/>
    <n v="8070.25"/>
    <n v="2570.25"/>
    <x v="0"/>
    <x v="0"/>
    <x v="1"/>
    <x v="4"/>
    <n v="2"/>
    <x v="1"/>
    <s v="February"/>
    <s v="Q1"/>
    <n v="3"/>
    <e v="#REF!"/>
    <s v="Normal"/>
    <n v="1167"/>
  </r>
  <r>
    <s v="ORD-00271"/>
    <s v="C0330"/>
    <x v="24"/>
    <s v="2022-02"/>
    <s v="SR05"/>
    <x v="19"/>
    <d v="2022-02-17T00:00:00"/>
    <d v="2022-02-17T00:00:00"/>
    <n v="3"/>
    <n v="69999"/>
    <n v="5"/>
    <n v="10499.85"/>
    <n v="199497.15"/>
    <n v="55497.15"/>
    <x v="0"/>
    <x v="1"/>
    <x v="0"/>
    <x v="3"/>
    <n v="3"/>
    <x v="0"/>
    <s v="February"/>
    <s v="Q1"/>
    <n v="7"/>
    <e v="#REF!"/>
    <s v="Normal"/>
    <n v="1540"/>
  </r>
  <r>
    <s v="ORD-00272"/>
    <s v="C0344"/>
    <x v="9"/>
    <s v="2024-03"/>
    <s v="SR02"/>
    <x v="249"/>
    <m/>
    <m/>
    <n v="2"/>
    <n v="7499"/>
    <n v="5"/>
    <n v="749.9"/>
    <n v="14248.1"/>
    <n v="4648.1000000000004"/>
    <x v="2"/>
    <x v="1"/>
    <x v="1"/>
    <x v="1"/>
    <m/>
    <x v="2"/>
    <s v="March"/>
    <s v="Q1"/>
    <m/>
    <e v="#REF!"/>
    <s v="Normal"/>
    <n v="768"/>
  </r>
  <r>
    <s v="ORD-00273"/>
    <s v="C0377"/>
    <x v="21"/>
    <s v="2024-12"/>
    <s v="SR03"/>
    <x v="250"/>
    <m/>
    <m/>
    <n v="5"/>
    <n v="59900"/>
    <n v="20"/>
    <n v="59900"/>
    <n v="239600"/>
    <n v="29600"/>
    <x v="2"/>
    <x v="0"/>
    <x v="0"/>
    <x v="0"/>
    <m/>
    <x v="2"/>
    <s v="December"/>
    <s v="Q4"/>
    <m/>
    <e v="#REF!"/>
    <s v="Normal"/>
    <n v="512"/>
  </r>
  <r>
    <s v="ORD-00274"/>
    <s v="C0453"/>
    <x v="20"/>
    <s v="2022-09"/>
    <s v="SR01"/>
    <x v="251"/>
    <d v="2022-09-11T00:00:00"/>
    <d v="2022-09-14T00:00:00"/>
    <n v="2"/>
    <n v="114900"/>
    <n v="10"/>
    <n v="22980"/>
    <n v="206820"/>
    <n v="36820"/>
    <x v="0"/>
    <x v="5"/>
    <x v="3"/>
    <x v="2"/>
    <n v="1"/>
    <x v="0"/>
    <s v="September"/>
    <s v="Q3"/>
    <n v="3"/>
    <e v="#REF!"/>
    <s v="Normal"/>
    <n v="1330"/>
  </r>
  <r>
    <s v="ORD-00275"/>
    <s v="C0090"/>
    <x v="18"/>
    <s v="2024-06"/>
    <s v="SR08"/>
    <x v="252"/>
    <d v="2024-06-22T00:00:00"/>
    <d v="2024-06-22T00:00:00"/>
    <n v="4"/>
    <n v="26990"/>
    <n v="20"/>
    <n v="21592"/>
    <n v="86368"/>
    <n v="14368"/>
    <x v="0"/>
    <x v="0"/>
    <x v="2"/>
    <x v="0"/>
    <n v="3"/>
    <x v="2"/>
    <s v="June"/>
    <s v="Q2"/>
    <n v="3"/>
    <e v="#REF!"/>
    <s v="Normal"/>
    <n v="680"/>
  </r>
  <r>
    <s v="ORD-00276"/>
    <s v="C0280"/>
    <x v="3"/>
    <s v="2023-05"/>
    <s v="SR07"/>
    <x v="253"/>
    <d v="2023-05-27T00:00:00"/>
    <d v="2023-05-28T00:00:00"/>
    <n v="3"/>
    <n v="24999"/>
    <n v="15"/>
    <n v="11249.55"/>
    <n v="63747.45"/>
    <n v="12747.45"/>
    <x v="0"/>
    <x v="4"/>
    <x v="4"/>
    <x v="1"/>
    <n v="3"/>
    <x v="1"/>
    <s v="May"/>
    <s v="Q2"/>
    <n v="7"/>
    <e v="#REF!"/>
    <s v="Normal"/>
    <n v="1076"/>
  </r>
  <r>
    <s v="ORD-00277"/>
    <s v="C0011"/>
    <x v="11"/>
    <s v="2022-04"/>
    <s v="SR02"/>
    <x v="254"/>
    <m/>
    <m/>
    <n v="2"/>
    <n v="8495"/>
    <n v="5"/>
    <n v="849.5"/>
    <n v="16140.5"/>
    <n v="5140.5"/>
    <x v="2"/>
    <x v="2"/>
    <x v="0"/>
    <x v="1"/>
    <m/>
    <x v="0"/>
    <s v="April"/>
    <s v="Q2"/>
    <m/>
    <e v="#REF!"/>
    <s v="Normal"/>
    <n v="1469"/>
  </r>
  <r>
    <s v="ORD-00278"/>
    <s v="C0159"/>
    <x v="11"/>
    <s v="2022-09"/>
    <s v="SR07"/>
    <x v="152"/>
    <m/>
    <m/>
    <n v="2"/>
    <n v="8495"/>
    <n v="15"/>
    <n v="2548.5"/>
    <n v="14441.5"/>
    <n v="3441.5"/>
    <x v="1"/>
    <x v="3"/>
    <x v="2"/>
    <x v="1"/>
    <m/>
    <x v="0"/>
    <s v="September"/>
    <s v="Q3"/>
    <m/>
    <e v="#REF!"/>
    <s v="Normal"/>
    <n v="1331"/>
  </r>
  <r>
    <s v="ORD-00279"/>
    <s v="C0466"/>
    <x v="1"/>
    <s v="2023-09"/>
    <s v="SR07"/>
    <x v="255"/>
    <d v="2023-09-16T00:00:00"/>
    <d v="2023-09-17T00:00:00"/>
    <n v="3"/>
    <n v="19999"/>
    <n v="5"/>
    <n v="2999.85"/>
    <n v="56997.15"/>
    <n v="17997.150000000001"/>
    <x v="0"/>
    <x v="5"/>
    <x v="0"/>
    <x v="1"/>
    <n v="3"/>
    <x v="1"/>
    <s v="September"/>
    <s v="Q3"/>
    <n v="7"/>
    <e v="#REF!"/>
    <s v="Normal"/>
    <n v="964"/>
  </r>
  <r>
    <s v="ORD-00280"/>
    <s v="C0451"/>
    <x v="12"/>
    <s v="2022-03"/>
    <s v="SR05"/>
    <x v="256"/>
    <d v="2022-03-18T00:00:00"/>
    <d v="2022-03-18T00:00:00"/>
    <n v="4"/>
    <n v="1599"/>
    <n v="15"/>
    <n v="959.4"/>
    <n v="5436.6"/>
    <n v="2236.6"/>
    <x v="0"/>
    <x v="4"/>
    <x v="0"/>
    <x v="3"/>
    <n v="3"/>
    <x v="0"/>
    <s v="March"/>
    <s v="Q1"/>
    <n v="7"/>
    <e v="#REF!"/>
    <s v="Normal"/>
    <n v="1511"/>
  </r>
  <r>
    <s v="ORD-00281"/>
    <s v="C0368"/>
    <x v="3"/>
    <s v="2022-11"/>
    <s v="SR01"/>
    <x v="48"/>
    <m/>
    <m/>
    <n v="3"/>
    <n v="24999"/>
    <n v="20"/>
    <n v="14999.4"/>
    <n v="59997.599999999999"/>
    <n v="8997.6"/>
    <x v="2"/>
    <x v="1"/>
    <x v="4"/>
    <x v="2"/>
    <m/>
    <x v="0"/>
    <s v="November"/>
    <s v="Q4"/>
    <m/>
    <e v="#REF!"/>
    <s v="Normal"/>
    <n v="1252"/>
  </r>
  <r>
    <s v="ORD-00282"/>
    <s v="C0216"/>
    <x v="0"/>
    <s v="2024-07"/>
    <s v="SR06"/>
    <x v="257"/>
    <m/>
    <m/>
    <n v="1"/>
    <n v="3499"/>
    <n v="0"/>
    <n v="0"/>
    <n v="3499"/>
    <n v="1699"/>
    <x v="2"/>
    <x v="4"/>
    <x v="3"/>
    <x v="2"/>
    <m/>
    <x v="2"/>
    <s v="July"/>
    <s v="Q3"/>
    <m/>
    <e v="#REF!"/>
    <s v="Normal"/>
    <n v="652"/>
  </r>
  <r>
    <s v="ORD-00283"/>
    <s v="C0323"/>
    <x v="19"/>
    <s v="2022-01"/>
    <s v="SR05"/>
    <x v="258"/>
    <d v="2022-01-09T00:00:00"/>
    <d v="2022-01-11T00:00:00"/>
    <n v="3"/>
    <n v="64999"/>
    <n v="0"/>
    <n v="0"/>
    <n v="194997"/>
    <n v="59997"/>
    <x v="0"/>
    <x v="1"/>
    <x v="3"/>
    <x v="3"/>
    <n v="2"/>
    <x v="0"/>
    <s v="January"/>
    <s v="Q1"/>
    <n v="2"/>
    <e v="#REF!"/>
    <s v="Normal"/>
    <n v="1574"/>
  </r>
  <r>
    <s v="ORD-00284"/>
    <s v="C0265"/>
    <x v="22"/>
    <s v="2024-04"/>
    <s v="SR05"/>
    <x v="259"/>
    <d v="2024-04-24T00:00:00"/>
    <d v="2024-04-27T00:00:00"/>
    <n v="2"/>
    <n v="5999"/>
    <n v="5"/>
    <n v="599.9"/>
    <n v="11398.1"/>
    <n v="3798.1"/>
    <x v="0"/>
    <x v="5"/>
    <x v="1"/>
    <x v="3"/>
    <n v="3"/>
    <x v="2"/>
    <s v="April"/>
    <s v="Q2"/>
    <n v="4"/>
    <e v="#REF!"/>
    <s v="Normal"/>
    <n v="740"/>
  </r>
  <r>
    <s v="ORD-00285"/>
    <s v="C0410"/>
    <x v="13"/>
    <s v="2022-06"/>
    <s v="SR02"/>
    <x v="25"/>
    <d v="2022-06-25T00:00:00"/>
    <d v="2022-06-26T00:00:00"/>
    <n v="4"/>
    <n v="12999"/>
    <n v="10"/>
    <n v="5199.6000000000004"/>
    <n v="46796.4"/>
    <n v="14796.4"/>
    <x v="0"/>
    <x v="2"/>
    <x v="3"/>
    <x v="1"/>
    <n v="1"/>
    <x v="0"/>
    <s v="June"/>
    <s v="Q2"/>
    <n v="3"/>
    <e v="#REF!"/>
    <s v="Normal"/>
    <n v="1408"/>
  </r>
  <r>
    <s v="ORD-00286"/>
    <s v="C0486"/>
    <x v="5"/>
    <s v="2022-07"/>
    <s v="SR04"/>
    <x v="260"/>
    <d v="2022-07-04T00:00:00"/>
    <d v="2022-07-06T00:00:00"/>
    <n v="2"/>
    <n v="79999"/>
    <n v="0"/>
    <n v="0"/>
    <n v="159998"/>
    <n v="49998"/>
    <x v="0"/>
    <x v="3"/>
    <x v="1"/>
    <x v="4"/>
    <n v="4"/>
    <x v="0"/>
    <s v="July"/>
    <s v="Q3"/>
    <n v="2"/>
    <e v="#REF!"/>
    <s v="Normal"/>
    <n v="1398"/>
  </r>
  <r>
    <s v="ORD-00287"/>
    <s v="C0308"/>
    <x v="4"/>
    <s v="2022-07"/>
    <s v="SR02"/>
    <x v="260"/>
    <d v="2022-07-04T00:00:00"/>
    <d v="2022-07-04T00:00:00"/>
    <n v="1"/>
    <n v="29900"/>
    <n v="20"/>
    <n v="5980"/>
    <n v="23920"/>
    <n v="3920"/>
    <x v="0"/>
    <x v="3"/>
    <x v="0"/>
    <x v="1"/>
    <n v="4"/>
    <x v="0"/>
    <s v="July"/>
    <s v="Q3"/>
    <n v="2"/>
    <e v="#REF!"/>
    <s v="Normal"/>
    <n v="1398"/>
  </r>
  <r>
    <s v="ORD-00288"/>
    <s v="C0061"/>
    <x v="8"/>
    <s v="2023-01"/>
    <s v="SR02"/>
    <x v="261"/>
    <d v="2023-01-29T00:00:00"/>
    <d v="2023-02-01T00:00:00"/>
    <n v="4"/>
    <n v="6999"/>
    <n v="0"/>
    <n v="0"/>
    <n v="27996"/>
    <n v="11196"/>
    <x v="0"/>
    <x v="3"/>
    <x v="3"/>
    <x v="1"/>
    <n v="5"/>
    <x v="1"/>
    <s v="January"/>
    <s v="Q1"/>
    <n v="3"/>
    <e v="#REF!"/>
    <s v="Normal"/>
    <n v="1190"/>
  </r>
  <r>
    <s v="ORD-00289"/>
    <s v="C0111"/>
    <x v="13"/>
    <s v="2024-05"/>
    <s v="SR01"/>
    <x v="181"/>
    <d v="2024-05-10T00:00:00"/>
    <d v="2024-05-11T00:00:00"/>
    <n v="1"/>
    <n v="12999"/>
    <n v="5"/>
    <n v="649.95000000000005"/>
    <n v="12349.05"/>
    <n v="4349.05"/>
    <x v="0"/>
    <x v="0"/>
    <x v="3"/>
    <x v="2"/>
    <n v="5"/>
    <x v="2"/>
    <s v="May"/>
    <s v="Q2"/>
    <n v="4"/>
    <e v="#REF!"/>
    <s v="Normal"/>
    <n v="724"/>
  </r>
  <r>
    <s v="ORD-00290"/>
    <s v="C0231"/>
    <x v="8"/>
    <s v="2024-07"/>
    <s v="SR08"/>
    <x v="262"/>
    <d v="2024-07-28T00:00:00"/>
    <d v="2024-07-31T00:00:00"/>
    <n v="2"/>
    <n v="6999"/>
    <n v="10"/>
    <n v="1399.8"/>
    <n v="12598.2"/>
    <n v="4198.2"/>
    <x v="0"/>
    <x v="4"/>
    <x v="0"/>
    <x v="0"/>
    <n v="2"/>
    <x v="2"/>
    <s v="July"/>
    <s v="Q3"/>
    <n v="1"/>
    <e v="#REF!"/>
    <s v="Normal"/>
    <n v="642"/>
  </r>
  <r>
    <s v="ORD-00291"/>
    <s v="C0366"/>
    <x v="1"/>
    <s v="2023-06"/>
    <s v="SR06"/>
    <x v="263"/>
    <d v="2023-06-10T00:00:00"/>
    <d v="2023-06-10T00:00:00"/>
    <n v="1"/>
    <n v="19999"/>
    <n v="10"/>
    <n v="1999.9"/>
    <n v="17999.099999999999"/>
    <n v="4999.1000000000004"/>
    <x v="0"/>
    <x v="5"/>
    <x v="0"/>
    <x v="2"/>
    <n v="3"/>
    <x v="1"/>
    <s v="June"/>
    <s v="Q2"/>
    <n v="1"/>
    <e v="#REF!"/>
    <s v="Normal"/>
    <n v="1056"/>
  </r>
  <r>
    <s v="ORD-00292"/>
    <s v="C0311"/>
    <x v="9"/>
    <s v="2022-01"/>
    <s v="SR03"/>
    <x v="264"/>
    <d v="2022-01-16T00:00:00"/>
    <d v="2022-01-19T00:00:00"/>
    <n v="3"/>
    <n v="7499"/>
    <n v="10"/>
    <n v="2249.6999999999998"/>
    <n v="20247.3"/>
    <n v="5847.3"/>
    <x v="0"/>
    <x v="4"/>
    <x v="4"/>
    <x v="0"/>
    <n v="2"/>
    <x v="0"/>
    <s v="January"/>
    <s v="Q1"/>
    <n v="5"/>
    <e v="#REF!"/>
    <s v="Normal"/>
    <n v="1570"/>
  </r>
  <r>
    <s v="ORD-00293"/>
    <s v="C0496"/>
    <x v="6"/>
    <s v="2023-01"/>
    <s v="SR02"/>
    <x v="265"/>
    <d v="2023-01-05T00:00:00"/>
    <d v="2023-01-08T00:00:00"/>
    <n v="3"/>
    <n v="54999"/>
    <n v="15"/>
    <n v="24749.55"/>
    <n v="140247.45000000001"/>
    <n v="26247.45"/>
    <x v="0"/>
    <x v="5"/>
    <x v="2"/>
    <x v="1"/>
    <n v="3"/>
    <x v="1"/>
    <s v="January"/>
    <s v="Q1"/>
    <n v="2"/>
    <e v="#REF!"/>
    <s v="Normal"/>
    <n v="1213"/>
  </r>
  <r>
    <s v="ORD-00294"/>
    <s v="C0364"/>
    <x v="21"/>
    <s v="2022-10"/>
    <s v="SR05"/>
    <x v="266"/>
    <d v="2022-10-19T00:00:00"/>
    <d v="2022-10-21T00:00:00"/>
    <n v="1"/>
    <n v="59900"/>
    <n v="0"/>
    <n v="0"/>
    <n v="59900"/>
    <n v="17900"/>
    <x v="0"/>
    <x v="3"/>
    <x v="4"/>
    <x v="3"/>
    <n v="3"/>
    <x v="0"/>
    <s v="October"/>
    <s v="Q4"/>
    <n v="1"/>
    <e v="#REF!"/>
    <s v="Normal"/>
    <n v="1290"/>
  </r>
  <r>
    <s v="ORD-00295"/>
    <s v="C0475"/>
    <x v="3"/>
    <s v="2023-06"/>
    <s v="SR06"/>
    <x v="6"/>
    <m/>
    <m/>
    <n v="3"/>
    <n v="24999"/>
    <n v="20"/>
    <n v="14999.4"/>
    <n v="59997.599999999999"/>
    <n v="8997.6"/>
    <x v="1"/>
    <x v="0"/>
    <x v="0"/>
    <x v="2"/>
    <m/>
    <x v="1"/>
    <s v="June"/>
    <s v="Q2"/>
    <m/>
    <e v="#REF!"/>
    <s v="Normal"/>
    <n v="1041"/>
  </r>
  <r>
    <s v="ORD-00296"/>
    <s v="C0458"/>
    <x v="16"/>
    <s v="2024-10"/>
    <s v="SR08"/>
    <x v="267"/>
    <d v="2024-10-08T00:00:00"/>
    <d v="2024-10-11T00:00:00"/>
    <n v="1"/>
    <n v="38999"/>
    <n v="5"/>
    <n v="1949.95"/>
    <n v="37049.050000000003"/>
    <n v="10049.049999999999"/>
    <x v="0"/>
    <x v="5"/>
    <x v="2"/>
    <x v="0"/>
    <n v="2"/>
    <x v="2"/>
    <s v="October"/>
    <s v="Q4"/>
    <n v="5"/>
    <e v="#REF!"/>
    <s v="Normal"/>
    <n v="574"/>
  </r>
  <r>
    <s v="ORD-00297"/>
    <s v="C0094"/>
    <x v="24"/>
    <s v="2023-06"/>
    <s v="SR05"/>
    <x v="268"/>
    <d v="2023-06-23T00:00:00"/>
    <d v="2023-06-26T00:00:00"/>
    <n v="4"/>
    <n v="69999"/>
    <n v="0"/>
    <n v="0"/>
    <n v="279996"/>
    <n v="87996"/>
    <x v="0"/>
    <x v="3"/>
    <x v="2"/>
    <x v="3"/>
    <n v="4"/>
    <x v="1"/>
    <s v="June"/>
    <s v="Q2"/>
    <n v="6"/>
    <e v="#REF!"/>
    <s v="Normal"/>
    <n v="1048"/>
  </r>
  <r>
    <s v="ORD-00298"/>
    <s v="C0183"/>
    <x v="22"/>
    <s v="2024-07"/>
    <s v="SR06"/>
    <x v="196"/>
    <d v="2024-07-27T00:00:00"/>
    <d v="2024-07-28T00:00:00"/>
    <n v="1"/>
    <n v="5999"/>
    <n v="10"/>
    <n v="599.9"/>
    <n v="5399.1"/>
    <n v="1599.1"/>
    <x v="0"/>
    <x v="1"/>
    <x v="3"/>
    <x v="2"/>
    <n v="3"/>
    <x v="2"/>
    <s v="July"/>
    <s v="Q3"/>
    <n v="1"/>
    <e v="#REF!"/>
    <s v="Normal"/>
    <n v="643"/>
  </r>
  <r>
    <s v="ORD-00299"/>
    <s v="C0093"/>
    <x v="16"/>
    <s v="2023-03"/>
    <s v="SR06"/>
    <x v="269"/>
    <m/>
    <m/>
    <n v="1"/>
    <n v="38999"/>
    <n v="20"/>
    <n v="7799.8"/>
    <n v="31199.200000000001"/>
    <n v="4199.2"/>
    <x v="1"/>
    <x v="2"/>
    <x v="3"/>
    <x v="2"/>
    <m/>
    <x v="1"/>
    <s v="March"/>
    <s v="Q1"/>
    <m/>
    <e v="#REF!"/>
    <s v="Normal"/>
    <n v="1146"/>
  </r>
  <r>
    <s v="ORD-00300"/>
    <s v="C0214"/>
    <x v="20"/>
    <s v="2024-10"/>
    <s v="SR03"/>
    <x v="140"/>
    <m/>
    <m/>
    <n v="1"/>
    <n v="114900"/>
    <n v="10"/>
    <n v="11490"/>
    <n v="103410"/>
    <n v="18410"/>
    <x v="2"/>
    <x v="1"/>
    <x v="4"/>
    <x v="0"/>
    <m/>
    <x v="2"/>
    <s v="October"/>
    <s v="Q4"/>
    <m/>
    <e v="#REF!"/>
    <s v="Normal"/>
    <n v="560"/>
  </r>
  <r>
    <s v="ORD-00301"/>
    <s v="C0349"/>
    <x v="9"/>
    <s v="2024-03"/>
    <s v="SR03"/>
    <x v="270"/>
    <d v="2024-03-23T00:00:00"/>
    <d v="2024-03-23T00:00:00"/>
    <n v="3"/>
    <n v="7499"/>
    <n v="0"/>
    <n v="0"/>
    <n v="22497"/>
    <n v="8097"/>
    <x v="0"/>
    <x v="1"/>
    <x v="2"/>
    <x v="0"/>
    <n v="4"/>
    <x v="2"/>
    <s v="March"/>
    <s v="Q1"/>
    <n v="5"/>
    <e v="#REF!"/>
    <s v="Normal"/>
    <n v="773"/>
  </r>
  <r>
    <s v="ORD-00302"/>
    <s v="C0426"/>
    <x v="22"/>
    <s v="2024-07"/>
    <s v="SR06"/>
    <x v="99"/>
    <m/>
    <m/>
    <n v="3"/>
    <n v="5999"/>
    <n v="0"/>
    <n v="0"/>
    <n v="17997"/>
    <n v="6597"/>
    <x v="2"/>
    <x v="0"/>
    <x v="2"/>
    <x v="2"/>
    <m/>
    <x v="2"/>
    <s v="July"/>
    <s v="Q3"/>
    <m/>
    <e v="#REF!"/>
    <s v="Normal"/>
    <n v="651"/>
  </r>
  <r>
    <s v="ORD-00303"/>
    <s v="C0336"/>
    <x v="0"/>
    <s v="2023-10"/>
    <s v="SR04"/>
    <x v="90"/>
    <m/>
    <m/>
    <n v="5"/>
    <n v="3499"/>
    <n v="0"/>
    <n v="0"/>
    <n v="17495"/>
    <n v="8495"/>
    <x v="2"/>
    <x v="5"/>
    <x v="2"/>
    <x v="4"/>
    <m/>
    <x v="1"/>
    <s v="October"/>
    <s v="Q4"/>
    <m/>
    <e v="#REF!"/>
    <s v="Normal"/>
    <n v="915"/>
  </r>
  <r>
    <s v="ORD-00304"/>
    <s v="C0411"/>
    <x v="11"/>
    <s v="2023-10"/>
    <s v="SR07"/>
    <x v="271"/>
    <d v="2023-10-30T00:00:00"/>
    <d v="2023-10-30T00:00:00"/>
    <n v="5"/>
    <n v="8495"/>
    <n v="10"/>
    <n v="4247.5"/>
    <n v="38227.5"/>
    <n v="10727.5"/>
    <x v="0"/>
    <x v="1"/>
    <x v="0"/>
    <x v="1"/>
    <n v="3"/>
    <x v="1"/>
    <s v="October"/>
    <s v="Q4"/>
    <n v="6"/>
    <e v="#REF!"/>
    <s v="Normal"/>
    <n v="919"/>
  </r>
  <r>
    <s v="ORD-00305"/>
    <s v="C0092"/>
    <x v="8"/>
    <s v="2022-07"/>
    <s v="SR07"/>
    <x v="260"/>
    <d v="2022-07-09T00:00:00"/>
    <d v="2022-07-10T00:00:00"/>
    <n v="2"/>
    <n v="6999"/>
    <n v="10"/>
    <n v="1399.8"/>
    <n v="12598.2"/>
    <n v="4198.2"/>
    <x v="0"/>
    <x v="3"/>
    <x v="4"/>
    <x v="1"/>
    <n v="2"/>
    <x v="0"/>
    <s v="July"/>
    <s v="Q3"/>
    <n v="7"/>
    <e v="#REF!"/>
    <s v="Normal"/>
    <n v="1398"/>
  </r>
  <r>
    <s v="ORD-00306"/>
    <s v="C0062"/>
    <x v="13"/>
    <s v="2024-06"/>
    <s v="SR08"/>
    <x v="272"/>
    <m/>
    <m/>
    <n v="3"/>
    <n v="12999"/>
    <n v="0"/>
    <n v="0"/>
    <n v="38997"/>
    <n v="14997"/>
    <x v="2"/>
    <x v="0"/>
    <x v="2"/>
    <x v="0"/>
    <m/>
    <x v="2"/>
    <s v="June"/>
    <s v="Q2"/>
    <m/>
    <e v="#REF!"/>
    <s v="Normal"/>
    <n v="695"/>
  </r>
  <r>
    <s v="ORD-00307"/>
    <s v="C0427"/>
    <x v="17"/>
    <s v="2024-09"/>
    <s v="SR01"/>
    <x v="273"/>
    <d v="2024-10-03T00:00:00"/>
    <d v="2024-10-06T00:00:00"/>
    <n v="3"/>
    <n v="41900"/>
    <n v="10"/>
    <n v="12570"/>
    <n v="113130"/>
    <n v="29130"/>
    <x v="0"/>
    <x v="1"/>
    <x v="0"/>
    <x v="2"/>
    <n v="3"/>
    <x v="2"/>
    <s v="September"/>
    <s v="Q3"/>
    <n v="4"/>
    <e v="#REF!"/>
    <s v="Normal"/>
    <n v="578"/>
  </r>
  <r>
    <s v="ORD-00308"/>
    <s v="C0315"/>
    <x v="16"/>
    <s v="2024-05"/>
    <s v="SR06"/>
    <x v="274"/>
    <d v="2024-05-23T00:00:00"/>
    <d v="2024-05-25T00:00:00"/>
    <n v="4"/>
    <n v="38999"/>
    <n v="5"/>
    <n v="7799.8"/>
    <n v="148196.20000000001"/>
    <n v="40196.199999999997"/>
    <x v="0"/>
    <x v="4"/>
    <x v="3"/>
    <x v="2"/>
    <n v="4"/>
    <x v="2"/>
    <s v="May"/>
    <s v="Q2"/>
    <n v="1"/>
    <e v="#REF!"/>
    <s v="Normal"/>
    <n v="708"/>
  </r>
  <r>
    <s v="ORD-00309"/>
    <s v="C0270"/>
    <x v="11"/>
    <s v="2023-08"/>
    <s v="SR02"/>
    <x v="275"/>
    <d v="2023-08-23T00:00:00"/>
    <d v="2023-08-23T00:00:00"/>
    <n v="4"/>
    <n v="8495"/>
    <n v="5"/>
    <n v="1699"/>
    <n v="32281"/>
    <n v="10281"/>
    <x v="0"/>
    <x v="5"/>
    <x v="3"/>
    <x v="1"/>
    <n v="3"/>
    <x v="1"/>
    <s v="August"/>
    <s v="Q3"/>
    <n v="4"/>
    <e v="#REF!"/>
    <s v="Normal"/>
    <n v="985"/>
  </r>
  <r>
    <s v="ORD-00310"/>
    <s v="C0431"/>
    <x v="8"/>
    <s v="2023-08"/>
    <s v="SR08"/>
    <x v="276"/>
    <m/>
    <m/>
    <n v="1"/>
    <n v="6999"/>
    <n v="20"/>
    <n v="1399.8"/>
    <n v="5599.2"/>
    <n v="1399.2"/>
    <x v="1"/>
    <x v="1"/>
    <x v="2"/>
    <x v="0"/>
    <m/>
    <x v="1"/>
    <s v="August"/>
    <s v="Q3"/>
    <m/>
    <e v="#REF!"/>
    <s v="Normal"/>
    <n v="975"/>
  </r>
  <r>
    <s v="ORD-00311"/>
    <s v="C0263"/>
    <x v="10"/>
    <s v="2024-04"/>
    <s v="SR08"/>
    <x v="277"/>
    <d v="2024-04-29T00:00:00"/>
    <d v="2024-05-01T00:00:00"/>
    <n v="3"/>
    <n v="55990"/>
    <n v="5"/>
    <n v="8398.5"/>
    <n v="159571.5"/>
    <n v="39571.5"/>
    <x v="0"/>
    <x v="2"/>
    <x v="2"/>
    <x v="0"/>
    <n v="5"/>
    <x v="2"/>
    <s v="April"/>
    <s v="Q2"/>
    <n v="4"/>
    <e v="#REF!"/>
    <s v="Normal"/>
    <n v="735"/>
  </r>
  <r>
    <s v="ORD-00312"/>
    <s v="C0009"/>
    <x v="10"/>
    <s v="2023-01"/>
    <s v="SR06"/>
    <x v="265"/>
    <d v="2023-01-10T00:00:00"/>
    <d v="2023-01-13T00:00:00"/>
    <n v="1"/>
    <n v="55990"/>
    <n v="0"/>
    <n v="0"/>
    <n v="55990"/>
    <n v="15990"/>
    <x v="0"/>
    <x v="3"/>
    <x v="4"/>
    <x v="2"/>
    <n v="3"/>
    <x v="1"/>
    <s v="January"/>
    <s v="Q1"/>
    <n v="7"/>
    <e v="#REF!"/>
    <s v="Normal"/>
    <n v="1213"/>
  </r>
  <r>
    <s v="ORD-00313"/>
    <s v="C0301"/>
    <x v="2"/>
    <s v="2024-07"/>
    <s v="SR07"/>
    <x v="278"/>
    <m/>
    <m/>
    <n v="3"/>
    <n v="4999"/>
    <n v="10"/>
    <n v="1499.7"/>
    <n v="13497.3"/>
    <n v="5097.3"/>
    <x v="1"/>
    <x v="5"/>
    <x v="3"/>
    <x v="1"/>
    <m/>
    <x v="2"/>
    <s v="July"/>
    <s v="Q3"/>
    <m/>
    <e v="#REF!"/>
    <s v="Normal"/>
    <n v="659"/>
  </r>
  <r>
    <s v="ORD-00314"/>
    <s v="C0095"/>
    <x v="20"/>
    <s v="2022-08"/>
    <s v="SR06"/>
    <x v="279"/>
    <d v="2022-08-11T00:00:00"/>
    <d v="2022-08-11T00:00:00"/>
    <n v="1"/>
    <n v="114900"/>
    <n v="10"/>
    <n v="11490"/>
    <n v="103410"/>
    <n v="18410"/>
    <x v="0"/>
    <x v="1"/>
    <x v="2"/>
    <x v="2"/>
    <n v="2"/>
    <x v="0"/>
    <s v="August"/>
    <s v="Q3"/>
    <n v="5"/>
    <e v="#REF!"/>
    <s v="Normal"/>
    <n v="1363"/>
  </r>
  <r>
    <s v="ORD-00315"/>
    <s v="C0336"/>
    <x v="14"/>
    <s v="2024-04"/>
    <s v="SR04"/>
    <x v="280"/>
    <m/>
    <m/>
    <n v="5"/>
    <n v="29999"/>
    <n v="15"/>
    <n v="22499.25"/>
    <n v="127495.75"/>
    <n v="27495.75"/>
    <x v="2"/>
    <x v="0"/>
    <x v="1"/>
    <x v="4"/>
    <m/>
    <x v="2"/>
    <s v="April"/>
    <s v="Q2"/>
    <m/>
    <e v="#REF!"/>
    <s v="Normal"/>
    <n v="751"/>
  </r>
  <r>
    <s v="ORD-00316"/>
    <s v="C0417"/>
    <x v="0"/>
    <s v="2024-03"/>
    <s v="SR08"/>
    <x v="281"/>
    <d v="2024-03-20T00:00:00"/>
    <d v="2024-03-21T00:00:00"/>
    <n v="2"/>
    <n v="3499"/>
    <n v="0"/>
    <n v="0"/>
    <n v="6998"/>
    <n v="3398"/>
    <x v="0"/>
    <x v="5"/>
    <x v="2"/>
    <x v="0"/>
    <n v="1"/>
    <x v="2"/>
    <s v="March"/>
    <s v="Q1"/>
    <n v="1"/>
    <e v="#REF!"/>
    <s v="Normal"/>
    <n v="772"/>
  </r>
  <r>
    <s v="ORD-00317"/>
    <s v="C0357"/>
    <x v="18"/>
    <s v="2023-03"/>
    <s v="SR01"/>
    <x v="282"/>
    <d v="2023-03-11T00:00:00"/>
    <d v="2023-03-12T00:00:00"/>
    <n v="2"/>
    <n v="26990"/>
    <n v="10"/>
    <n v="5398"/>
    <n v="48582"/>
    <n v="12582"/>
    <x v="0"/>
    <x v="4"/>
    <x v="1"/>
    <x v="2"/>
    <n v="2"/>
    <x v="1"/>
    <s v="March"/>
    <s v="Q1"/>
    <n v="6"/>
    <e v="#REF!"/>
    <s v="Normal"/>
    <n v="1152"/>
  </r>
  <r>
    <s v="ORD-00318"/>
    <s v="C0045"/>
    <x v="13"/>
    <s v="2022-10"/>
    <s v="SR05"/>
    <x v="193"/>
    <d v="2022-11-04T00:00:00"/>
    <d v="2022-11-04T00:00:00"/>
    <n v="1"/>
    <n v="12999"/>
    <n v="0"/>
    <n v="0"/>
    <n v="12999"/>
    <n v="4999"/>
    <x v="0"/>
    <x v="5"/>
    <x v="0"/>
    <x v="3"/>
    <n v="4"/>
    <x v="0"/>
    <s v="October"/>
    <s v="Q4"/>
    <n v="4"/>
    <e v="#REF!"/>
    <s v="Normal"/>
    <n v="1277"/>
  </r>
  <r>
    <s v="ORD-00319"/>
    <s v="C0242"/>
    <x v="5"/>
    <s v="2023-05"/>
    <s v="SR07"/>
    <x v="71"/>
    <d v="2023-05-15T00:00:00"/>
    <d v="2023-05-18T00:00:00"/>
    <n v="1"/>
    <n v="79999"/>
    <n v="10"/>
    <n v="7999.9"/>
    <n v="71999.100000000006"/>
    <n v="16999.099999999999"/>
    <x v="0"/>
    <x v="1"/>
    <x v="2"/>
    <x v="1"/>
    <n v="4"/>
    <x v="1"/>
    <s v="May"/>
    <s v="Q2"/>
    <n v="3"/>
    <e v="#REF!"/>
    <s v="Normal"/>
    <n v="1084"/>
  </r>
  <r>
    <s v="ORD-00320"/>
    <s v="C0213"/>
    <x v="14"/>
    <s v="2022-03"/>
    <s v="SR05"/>
    <x v="283"/>
    <d v="2022-03-21T00:00:00"/>
    <d v="2022-03-24T00:00:00"/>
    <n v="5"/>
    <n v="29999"/>
    <n v="15"/>
    <n v="22499.25"/>
    <n v="127495.75"/>
    <n v="27495.75"/>
    <x v="0"/>
    <x v="5"/>
    <x v="2"/>
    <x v="3"/>
    <n v="5"/>
    <x v="0"/>
    <s v="March"/>
    <s v="Q1"/>
    <n v="4"/>
    <e v="#REF!"/>
    <s v="Normal"/>
    <n v="1505"/>
  </r>
  <r>
    <s v="ORD-00321"/>
    <s v="C0010"/>
    <x v="3"/>
    <s v="2022-05"/>
    <s v="SR06"/>
    <x v="24"/>
    <d v="2022-05-17T00:00:00"/>
    <d v="2022-05-20T00:00:00"/>
    <n v="4"/>
    <n v="24999"/>
    <n v="0"/>
    <n v="0"/>
    <n v="99996"/>
    <n v="31996"/>
    <x v="0"/>
    <x v="3"/>
    <x v="1"/>
    <x v="2"/>
    <n v="3"/>
    <x v="0"/>
    <s v="May"/>
    <s v="Q2"/>
    <n v="6"/>
    <e v="#REF!"/>
    <s v="Normal"/>
    <n v="1450"/>
  </r>
  <r>
    <s v="ORD-00322"/>
    <s v="C0230"/>
    <x v="22"/>
    <s v="2022-02"/>
    <s v="SR06"/>
    <x v="284"/>
    <d v="2022-02-15T00:00:00"/>
    <d v="2022-02-16T00:00:00"/>
    <n v="4"/>
    <n v="5999"/>
    <n v="10"/>
    <n v="2399.6"/>
    <n v="21596.400000000001"/>
    <n v="6396.4"/>
    <x v="0"/>
    <x v="3"/>
    <x v="3"/>
    <x v="2"/>
    <n v="5"/>
    <x v="0"/>
    <s v="February"/>
    <s v="Q1"/>
    <n v="3"/>
    <e v="#REF!"/>
    <s v="Normal"/>
    <n v="1538"/>
  </r>
  <r>
    <s v="ORD-00323"/>
    <s v="C0113"/>
    <x v="15"/>
    <s v="2024-08"/>
    <s v="SR07"/>
    <x v="285"/>
    <d v="2024-08-20T00:00:00"/>
    <d v="2024-08-23T00:00:00"/>
    <n v="4"/>
    <n v="2499"/>
    <n v="10"/>
    <n v="999.6"/>
    <n v="8996.4"/>
    <n v="4196.3999999999996"/>
    <x v="0"/>
    <x v="3"/>
    <x v="3"/>
    <x v="1"/>
    <n v="5"/>
    <x v="2"/>
    <s v="August"/>
    <s v="Q3"/>
    <n v="3"/>
    <e v="#REF!"/>
    <s v="Normal"/>
    <n v="621"/>
  </r>
  <r>
    <s v="ORD-00324"/>
    <s v="C0107"/>
    <x v="13"/>
    <s v="2024-09"/>
    <s v="SR02"/>
    <x v="286"/>
    <d v="2024-09-17T00:00:00"/>
    <d v="2024-09-18T00:00:00"/>
    <n v="2"/>
    <n v="12999"/>
    <n v="15"/>
    <n v="3899.7"/>
    <n v="22098.3"/>
    <n v="6098.3"/>
    <x v="0"/>
    <x v="1"/>
    <x v="0"/>
    <x v="1"/>
    <n v="4"/>
    <x v="2"/>
    <s v="September"/>
    <s v="Q3"/>
    <n v="2"/>
    <e v="#REF!"/>
    <s v="Normal"/>
    <n v="592"/>
  </r>
  <r>
    <s v="ORD-00325"/>
    <s v="C0156"/>
    <x v="8"/>
    <s v="2022-04"/>
    <s v="SR03"/>
    <x v="287"/>
    <d v="2022-04-10T00:00:00"/>
    <d v="2022-04-12T00:00:00"/>
    <n v="3"/>
    <n v="6999"/>
    <n v="0"/>
    <n v="0"/>
    <n v="20997"/>
    <n v="8397"/>
    <x v="0"/>
    <x v="5"/>
    <x v="1"/>
    <x v="0"/>
    <n v="1"/>
    <x v="0"/>
    <s v="April"/>
    <s v="Q2"/>
    <n v="3"/>
    <e v="#REF!"/>
    <s v="Normal"/>
    <n v="1484"/>
  </r>
  <r>
    <s v="ORD-00326"/>
    <s v="C0414"/>
    <x v="20"/>
    <s v="2024-05"/>
    <s v="SR05"/>
    <x v="233"/>
    <d v="2024-06-05T00:00:00"/>
    <d v="2024-06-06T00:00:00"/>
    <n v="1"/>
    <n v="114900"/>
    <n v="20"/>
    <n v="22980"/>
    <n v="91920"/>
    <n v="6920"/>
    <x v="0"/>
    <x v="5"/>
    <x v="0"/>
    <x v="3"/>
    <n v="3"/>
    <x v="2"/>
    <s v="May"/>
    <s v="Q2"/>
    <n v="5"/>
    <e v="#REF!"/>
    <s v="Normal"/>
    <n v="699"/>
  </r>
  <r>
    <s v="ORD-00327"/>
    <s v="C0175"/>
    <x v="17"/>
    <s v="2023-07"/>
    <s v="SR02"/>
    <x v="288"/>
    <d v="2023-07-09T00:00:00"/>
    <d v="2023-07-09T00:00:00"/>
    <n v="1"/>
    <n v="41900"/>
    <n v="15"/>
    <n v="6285"/>
    <n v="35615"/>
    <n v="7615"/>
    <x v="0"/>
    <x v="3"/>
    <x v="2"/>
    <x v="1"/>
    <n v="1"/>
    <x v="1"/>
    <s v="July"/>
    <s v="Q3"/>
    <n v="7"/>
    <e v="#REF!"/>
    <s v="Normal"/>
    <n v="1033"/>
  </r>
  <r>
    <s v="ORD-00328"/>
    <s v="C0401"/>
    <x v="0"/>
    <s v="2022-03"/>
    <s v="SR02"/>
    <x v="289"/>
    <m/>
    <m/>
    <n v="1"/>
    <n v="3499"/>
    <n v="0"/>
    <n v="0"/>
    <n v="3499"/>
    <n v="1699"/>
    <x v="1"/>
    <x v="4"/>
    <x v="2"/>
    <x v="1"/>
    <m/>
    <x v="0"/>
    <s v="March"/>
    <s v="Q1"/>
    <m/>
    <e v="#REF!"/>
    <s v="Normal"/>
    <n v="1495"/>
  </r>
  <r>
    <s v="ORD-00329"/>
    <s v="C0446"/>
    <x v="18"/>
    <s v="2022-11"/>
    <s v="SR06"/>
    <x v="290"/>
    <m/>
    <m/>
    <n v="3"/>
    <n v="26990"/>
    <n v="15"/>
    <n v="12145.5"/>
    <n v="68824.5"/>
    <n v="14824.5"/>
    <x v="2"/>
    <x v="2"/>
    <x v="0"/>
    <x v="2"/>
    <m/>
    <x v="0"/>
    <s v="November"/>
    <s v="Q4"/>
    <m/>
    <e v="#REF!"/>
    <s v="Normal"/>
    <n v="1259"/>
  </r>
  <r>
    <s v="ORD-00330"/>
    <s v="C0376"/>
    <x v="10"/>
    <s v="2024-01"/>
    <s v="SR05"/>
    <x v="291"/>
    <d v="2024-01-22T00:00:00"/>
    <d v="2024-01-23T00:00:00"/>
    <n v="1"/>
    <n v="55990"/>
    <n v="5"/>
    <n v="2799.5"/>
    <n v="53190.5"/>
    <n v="13190.5"/>
    <x v="0"/>
    <x v="3"/>
    <x v="0"/>
    <x v="3"/>
    <n v="1"/>
    <x v="2"/>
    <s v="January"/>
    <s v="Q1"/>
    <n v="7"/>
    <e v="#REF!"/>
    <s v="Normal"/>
    <n v="836"/>
  </r>
  <r>
    <s v="ORD-00331"/>
    <s v="C0126"/>
    <x v="14"/>
    <s v="2023-08"/>
    <s v="SR07"/>
    <x v="144"/>
    <m/>
    <m/>
    <n v="2"/>
    <n v="29999"/>
    <n v="0"/>
    <n v="0"/>
    <n v="59998"/>
    <n v="19998"/>
    <x v="1"/>
    <x v="0"/>
    <x v="4"/>
    <x v="1"/>
    <m/>
    <x v="1"/>
    <s v="August"/>
    <s v="Q3"/>
    <m/>
    <e v="#REF!"/>
    <s v="Normal"/>
    <n v="993"/>
  </r>
  <r>
    <s v="ORD-00332"/>
    <s v="C0367"/>
    <x v="12"/>
    <s v="2024-01"/>
    <s v="SR05"/>
    <x v="292"/>
    <m/>
    <m/>
    <n v="2"/>
    <n v="1599"/>
    <n v="0"/>
    <n v="0"/>
    <n v="3198"/>
    <n v="1598"/>
    <x v="2"/>
    <x v="2"/>
    <x v="0"/>
    <x v="3"/>
    <m/>
    <x v="2"/>
    <s v="January"/>
    <s v="Q1"/>
    <m/>
    <e v="#REF!"/>
    <s v="Normal"/>
    <n v="842"/>
  </r>
  <r>
    <s v="ORD-00333"/>
    <s v="C0404"/>
    <x v="8"/>
    <s v="2024-05"/>
    <s v="SR05"/>
    <x v="293"/>
    <d v="2024-06-01T00:00:00"/>
    <d v="2024-06-04T00:00:00"/>
    <n v="5"/>
    <n v="6999"/>
    <n v="10"/>
    <n v="3499.5"/>
    <n v="31495.5"/>
    <n v="10495.5"/>
    <x v="0"/>
    <x v="1"/>
    <x v="0"/>
    <x v="3"/>
    <n v="2"/>
    <x v="2"/>
    <s v="May"/>
    <s v="Q2"/>
    <n v="4"/>
    <e v="#REF!"/>
    <s v="Normal"/>
    <n v="702"/>
  </r>
  <r>
    <s v="ORD-00334"/>
    <s v="C0395"/>
    <x v="5"/>
    <s v="2022-06"/>
    <s v="SR03"/>
    <x v="294"/>
    <d v="2022-06-26T00:00:00"/>
    <d v="2022-06-29T00:00:00"/>
    <n v="2"/>
    <n v="79999"/>
    <n v="10"/>
    <n v="15999.8"/>
    <n v="143998.20000000001"/>
    <n v="33998.199999999997"/>
    <x v="0"/>
    <x v="1"/>
    <x v="0"/>
    <x v="0"/>
    <n v="1"/>
    <x v="0"/>
    <s v="June"/>
    <s v="Q2"/>
    <n v="3"/>
    <e v="#REF!"/>
    <s v="Normal"/>
    <n v="1407"/>
  </r>
  <r>
    <s v="ORD-00335"/>
    <s v="C0339"/>
    <x v="11"/>
    <s v="2022-04"/>
    <s v="SR03"/>
    <x v="295"/>
    <m/>
    <m/>
    <n v="5"/>
    <n v="8495"/>
    <n v="5"/>
    <n v="2123.75"/>
    <n v="40351.25"/>
    <n v="12851.25"/>
    <x v="2"/>
    <x v="3"/>
    <x v="0"/>
    <x v="0"/>
    <m/>
    <x v="0"/>
    <s v="April"/>
    <s v="Q2"/>
    <m/>
    <e v="#REF!"/>
    <s v="Normal"/>
    <n v="1462"/>
  </r>
  <r>
    <s v="ORD-00336"/>
    <s v="C0454"/>
    <x v="9"/>
    <s v="2023-10"/>
    <s v="SR08"/>
    <x v="296"/>
    <d v="2023-10-06T00:00:00"/>
    <d v="2023-10-08T00:00:00"/>
    <n v="5"/>
    <n v="7499"/>
    <n v="0"/>
    <n v="0"/>
    <n v="37495"/>
    <n v="13495"/>
    <x v="0"/>
    <x v="4"/>
    <x v="0"/>
    <x v="0"/>
    <n v="4"/>
    <x v="1"/>
    <s v="October"/>
    <s v="Q4"/>
    <n v="1"/>
    <e v="#REF!"/>
    <s v="Normal"/>
    <n v="938"/>
  </r>
  <r>
    <s v="ORD-00337"/>
    <s v="C0330"/>
    <x v="18"/>
    <s v="2023-12"/>
    <s v="SR05"/>
    <x v="297"/>
    <m/>
    <m/>
    <n v="4"/>
    <n v="26990"/>
    <n v="5"/>
    <n v="5398"/>
    <n v="102562"/>
    <n v="30562"/>
    <x v="2"/>
    <x v="0"/>
    <x v="2"/>
    <x v="3"/>
    <m/>
    <x v="1"/>
    <s v="December"/>
    <s v="Q4"/>
    <m/>
    <e v="#REF!"/>
    <s v="Normal"/>
    <n v="873"/>
  </r>
  <r>
    <s v="ORD-00338"/>
    <s v="C0019"/>
    <x v="6"/>
    <s v="2024-03"/>
    <s v="SR07"/>
    <x v="162"/>
    <m/>
    <m/>
    <n v="2"/>
    <n v="54999"/>
    <n v="20"/>
    <n v="21999.599999999999"/>
    <n v="87998.399999999994"/>
    <n v="11998.4"/>
    <x v="2"/>
    <x v="2"/>
    <x v="4"/>
    <x v="1"/>
    <m/>
    <x v="2"/>
    <s v="March"/>
    <s v="Q1"/>
    <m/>
    <e v="#REF!"/>
    <s v="Normal"/>
    <n v="782"/>
  </r>
  <r>
    <s v="ORD-00339"/>
    <s v="C0110"/>
    <x v="20"/>
    <s v="2024-12"/>
    <s v="SR08"/>
    <x v="40"/>
    <d v="2024-12-10T00:00:00"/>
    <d v="2024-12-11T00:00:00"/>
    <n v="1"/>
    <n v="114900"/>
    <n v="0"/>
    <n v="0"/>
    <n v="114900"/>
    <n v="29900"/>
    <x v="0"/>
    <x v="2"/>
    <x v="1"/>
    <x v="0"/>
    <n v="3"/>
    <x v="2"/>
    <s v="December"/>
    <s v="Q4"/>
    <n v="7"/>
    <e v="#REF!"/>
    <s v="Normal"/>
    <n v="513"/>
  </r>
  <r>
    <s v="ORD-00340"/>
    <s v="C0124"/>
    <x v="12"/>
    <s v="2024-05"/>
    <s v="SR06"/>
    <x v="298"/>
    <m/>
    <m/>
    <n v="1"/>
    <n v="1599"/>
    <n v="0"/>
    <n v="0"/>
    <n v="1599"/>
    <n v="799"/>
    <x v="1"/>
    <x v="0"/>
    <x v="4"/>
    <x v="2"/>
    <m/>
    <x v="2"/>
    <s v="May"/>
    <s v="Q2"/>
    <m/>
    <e v="#REF!"/>
    <s v="Normal"/>
    <n v="715"/>
  </r>
  <r>
    <s v="ORD-00341"/>
    <s v="C0322"/>
    <x v="21"/>
    <s v="2022-09"/>
    <s v="SR07"/>
    <x v="299"/>
    <d v="2022-09-18T00:00:00"/>
    <d v="2022-09-18T00:00:00"/>
    <n v="4"/>
    <n v="59900"/>
    <n v="5"/>
    <n v="11980"/>
    <n v="227620"/>
    <n v="59620"/>
    <x v="0"/>
    <x v="2"/>
    <x v="2"/>
    <x v="1"/>
    <n v="4"/>
    <x v="0"/>
    <s v="September"/>
    <s v="Q3"/>
    <n v="7"/>
    <e v="#REF!"/>
    <s v="Normal"/>
    <n v="1327"/>
  </r>
  <r>
    <s v="ORD-00342"/>
    <s v="C0174"/>
    <x v="8"/>
    <s v="2023-12"/>
    <s v="SR03"/>
    <x v="300"/>
    <d v="2023-12-22T00:00:00"/>
    <d v="2023-12-23T00:00:00"/>
    <n v="4"/>
    <n v="6999"/>
    <n v="20"/>
    <n v="5599.2"/>
    <n v="22396.799999999999"/>
    <n v="5596.8"/>
    <x v="0"/>
    <x v="4"/>
    <x v="3"/>
    <x v="0"/>
    <n v="1"/>
    <x v="1"/>
    <s v="December"/>
    <s v="Q4"/>
    <n v="3"/>
    <e v="#REF!"/>
    <s v="Normal"/>
    <n v="863"/>
  </r>
  <r>
    <s v="ORD-00343"/>
    <s v="C0168"/>
    <x v="21"/>
    <s v="2024-01"/>
    <s v="SR04"/>
    <x v="301"/>
    <d v="2024-01-11T00:00:00"/>
    <d v="2024-01-12T00:00:00"/>
    <n v="4"/>
    <n v="59900"/>
    <n v="10"/>
    <n v="23960"/>
    <n v="215640"/>
    <n v="47640"/>
    <x v="0"/>
    <x v="1"/>
    <x v="2"/>
    <x v="4"/>
    <n v="1"/>
    <x v="2"/>
    <s v="January"/>
    <s v="Q1"/>
    <n v="1"/>
    <e v="#REF!"/>
    <s v="Normal"/>
    <n v="841"/>
  </r>
  <r>
    <s v="ORD-00344"/>
    <s v="C0218"/>
    <x v="23"/>
    <s v="2023-03"/>
    <s v="SR08"/>
    <x v="302"/>
    <d v="2023-03-17T00:00:00"/>
    <d v="2023-03-19T00:00:00"/>
    <n v="5"/>
    <n v="49990"/>
    <n v="10"/>
    <n v="24995"/>
    <n v="224955"/>
    <n v="49955"/>
    <x v="0"/>
    <x v="2"/>
    <x v="1"/>
    <x v="0"/>
    <n v="5"/>
    <x v="1"/>
    <s v="March"/>
    <s v="Q1"/>
    <n v="1"/>
    <e v="#REF!"/>
    <s v="Normal"/>
    <n v="1141"/>
  </r>
  <r>
    <s v="ORD-00345"/>
    <s v="C0399"/>
    <x v="1"/>
    <s v="2024-10"/>
    <s v="SR07"/>
    <x v="303"/>
    <m/>
    <m/>
    <n v="4"/>
    <n v="19999"/>
    <n v="15"/>
    <n v="11999.4"/>
    <n v="67996.600000000006"/>
    <n v="15996.6"/>
    <x v="2"/>
    <x v="4"/>
    <x v="0"/>
    <x v="1"/>
    <m/>
    <x v="2"/>
    <s v="October"/>
    <s v="Q4"/>
    <m/>
    <e v="#REF!"/>
    <s v="Normal"/>
    <n v="559"/>
  </r>
  <r>
    <s v="ORD-00346"/>
    <s v="C0375"/>
    <x v="3"/>
    <s v="2022-10"/>
    <s v="SR02"/>
    <x v="304"/>
    <m/>
    <m/>
    <n v="2"/>
    <n v="24999"/>
    <n v="15"/>
    <n v="7499.7"/>
    <n v="42498.3"/>
    <n v="8498.2999999999993"/>
    <x v="1"/>
    <x v="4"/>
    <x v="0"/>
    <x v="1"/>
    <m/>
    <x v="0"/>
    <s v="October"/>
    <s v="Q4"/>
    <m/>
    <e v="#REF!"/>
    <s v="Normal"/>
    <n v="1285"/>
  </r>
  <r>
    <s v="ORD-00347"/>
    <s v="C0067"/>
    <x v="22"/>
    <s v="2023-03"/>
    <s v="SR02"/>
    <x v="305"/>
    <d v="2023-03-16T00:00:00"/>
    <d v="2023-03-16T00:00:00"/>
    <n v="2"/>
    <n v="5999"/>
    <n v="20"/>
    <n v="2399.6"/>
    <n v="9598.4"/>
    <n v="1998.4"/>
    <x v="0"/>
    <x v="0"/>
    <x v="2"/>
    <x v="1"/>
    <n v="5"/>
    <x v="1"/>
    <s v="March"/>
    <s v="Q1"/>
    <n v="4"/>
    <e v="#REF!"/>
    <s v="Normal"/>
    <n v="1145"/>
  </r>
  <r>
    <s v="ORD-00348"/>
    <s v="C0437"/>
    <x v="3"/>
    <s v="2022-09"/>
    <s v="SR05"/>
    <x v="306"/>
    <d v="2022-09-10T00:00:00"/>
    <d v="2022-09-12T00:00:00"/>
    <n v="1"/>
    <n v="24999"/>
    <n v="20"/>
    <n v="4999.8"/>
    <n v="19999.2"/>
    <n v="2999.2"/>
    <x v="0"/>
    <x v="5"/>
    <x v="2"/>
    <x v="3"/>
    <n v="3"/>
    <x v="0"/>
    <s v="September"/>
    <s v="Q3"/>
    <n v="5"/>
    <e v="#REF!"/>
    <s v="Normal"/>
    <n v="1333"/>
  </r>
  <r>
    <s v="ORD-00349"/>
    <s v="C0157"/>
    <x v="17"/>
    <s v="2023-08"/>
    <s v="SR08"/>
    <x v="307"/>
    <d v="2023-08-27T00:00:00"/>
    <d v="2023-08-28T00:00:00"/>
    <n v="2"/>
    <n v="41900"/>
    <n v="10"/>
    <n v="8380"/>
    <n v="75420"/>
    <n v="19420"/>
    <x v="0"/>
    <x v="1"/>
    <x v="4"/>
    <x v="0"/>
    <n v="3"/>
    <x v="1"/>
    <s v="August"/>
    <s v="Q3"/>
    <n v="1"/>
    <e v="#REF!"/>
    <s v="Normal"/>
    <n v="978"/>
  </r>
  <r>
    <s v="ORD-00350"/>
    <s v="C0111"/>
    <x v="16"/>
    <s v="2022-01"/>
    <s v="SR06"/>
    <x v="308"/>
    <d v="2022-01-10T00:00:00"/>
    <d v="2022-01-12T00:00:00"/>
    <n v="1"/>
    <n v="38999"/>
    <n v="0"/>
    <n v="0"/>
    <n v="38999"/>
    <n v="11999"/>
    <x v="0"/>
    <x v="3"/>
    <x v="0"/>
    <x v="2"/>
    <n v="5"/>
    <x v="0"/>
    <s v="January"/>
    <s v="Q1"/>
    <n v="5"/>
    <e v="#REF!"/>
    <s v="Normal"/>
    <n v="1576"/>
  </r>
  <r>
    <s v="ORD-00351"/>
    <s v="C0159"/>
    <x v="15"/>
    <s v="2023-11"/>
    <s v="SR07"/>
    <x v="238"/>
    <d v="2023-11-27T00:00:00"/>
    <d v="2023-11-28T00:00:00"/>
    <n v="2"/>
    <n v="2499"/>
    <n v="20"/>
    <n v="999.6"/>
    <n v="3998.4"/>
    <n v="1598.4"/>
    <x v="0"/>
    <x v="4"/>
    <x v="0"/>
    <x v="1"/>
    <n v="4"/>
    <x v="1"/>
    <s v="November"/>
    <s v="Q4"/>
    <n v="4"/>
    <e v="#REF!"/>
    <s v="Normal"/>
    <n v="889"/>
  </r>
  <r>
    <s v="ORD-00352"/>
    <s v="C0342"/>
    <x v="19"/>
    <s v="2023-10"/>
    <s v="SR05"/>
    <x v="309"/>
    <d v="2023-11-05T00:00:00"/>
    <d v="2023-11-08T00:00:00"/>
    <n v="4"/>
    <n v="64999"/>
    <n v="5"/>
    <n v="12999.8"/>
    <n v="246996.2"/>
    <n v="66996.2"/>
    <x v="0"/>
    <x v="3"/>
    <x v="4"/>
    <x v="3"/>
    <n v="5"/>
    <x v="1"/>
    <s v="October"/>
    <s v="Q4"/>
    <n v="7"/>
    <e v="#REF!"/>
    <s v="Normal"/>
    <n v="914"/>
  </r>
  <r>
    <s v="ORD-00353"/>
    <s v="C0024"/>
    <x v="9"/>
    <s v="2023-07"/>
    <s v="SR06"/>
    <x v="310"/>
    <m/>
    <m/>
    <n v="1"/>
    <n v="7499"/>
    <n v="0"/>
    <n v="0"/>
    <n v="7499"/>
    <n v="2699"/>
    <x v="2"/>
    <x v="4"/>
    <x v="2"/>
    <x v="2"/>
    <m/>
    <x v="1"/>
    <s v="July"/>
    <s v="Q3"/>
    <m/>
    <e v="#REF!"/>
    <s v="Normal"/>
    <n v="1012"/>
  </r>
  <r>
    <s v="ORD-00354"/>
    <s v="C0293"/>
    <x v="11"/>
    <s v="2022-09"/>
    <s v="SR06"/>
    <x v="299"/>
    <m/>
    <m/>
    <n v="5"/>
    <n v="8495"/>
    <n v="0"/>
    <n v="0"/>
    <n v="42475"/>
    <n v="14975"/>
    <x v="2"/>
    <x v="5"/>
    <x v="1"/>
    <x v="2"/>
    <m/>
    <x v="0"/>
    <s v="September"/>
    <s v="Q3"/>
    <m/>
    <e v="#REF!"/>
    <s v="Normal"/>
    <n v="1327"/>
  </r>
  <r>
    <s v="ORD-00355"/>
    <s v="C0278"/>
    <x v="15"/>
    <s v="2024-12"/>
    <s v="SR01"/>
    <x v="250"/>
    <d v="2024-12-11T00:00:00"/>
    <d v="2024-12-14T00:00:00"/>
    <n v="5"/>
    <n v="2499"/>
    <n v="0"/>
    <n v="0"/>
    <n v="12495"/>
    <n v="6495"/>
    <x v="0"/>
    <x v="1"/>
    <x v="1"/>
    <x v="2"/>
    <n v="2"/>
    <x v="2"/>
    <s v="December"/>
    <s v="Q4"/>
    <n v="7"/>
    <e v="#REF!"/>
    <s v="Normal"/>
    <n v="512"/>
  </r>
  <r>
    <s v="ORD-00356"/>
    <s v="C0493"/>
    <x v="5"/>
    <s v="2023-02"/>
    <s v="SR05"/>
    <x v="311"/>
    <d v="2023-03-05T00:00:00"/>
    <d v="2023-03-08T00:00:00"/>
    <n v="1"/>
    <n v="79999"/>
    <n v="20"/>
    <n v="15999.8"/>
    <n v="63999.199999999997"/>
    <n v="8999.2000000000007"/>
    <x v="0"/>
    <x v="2"/>
    <x v="4"/>
    <x v="3"/>
    <n v="4"/>
    <x v="1"/>
    <s v="February"/>
    <s v="Q1"/>
    <n v="7"/>
    <e v="#REF!"/>
    <s v="Normal"/>
    <n v="1159"/>
  </r>
  <r>
    <s v="ORD-00357"/>
    <s v="C0302"/>
    <x v="24"/>
    <s v="2022-02"/>
    <s v="SR05"/>
    <x v="312"/>
    <d v="2022-02-21T00:00:00"/>
    <d v="2022-02-22T00:00:00"/>
    <n v="4"/>
    <n v="69999"/>
    <n v="0"/>
    <n v="0"/>
    <n v="279996"/>
    <n v="87996"/>
    <x v="0"/>
    <x v="2"/>
    <x v="4"/>
    <x v="3"/>
    <n v="4"/>
    <x v="0"/>
    <s v="February"/>
    <s v="Q1"/>
    <n v="4"/>
    <e v="#REF!"/>
    <s v="Normal"/>
    <n v="1533"/>
  </r>
  <r>
    <s v="ORD-00358"/>
    <s v="C0132"/>
    <x v="20"/>
    <s v="2022-07"/>
    <s v="SR03"/>
    <x v="313"/>
    <m/>
    <m/>
    <n v="2"/>
    <n v="114900"/>
    <n v="5"/>
    <n v="11490"/>
    <n v="218310"/>
    <n v="48310"/>
    <x v="1"/>
    <x v="5"/>
    <x v="3"/>
    <x v="0"/>
    <m/>
    <x v="0"/>
    <s v="July"/>
    <s v="Q3"/>
    <m/>
    <e v="#REF!"/>
    <s v="Normal"/>
    <n v="1377"/>
  </r>
  <r>
    <s v="ORD-00359"/>
    <s v="C0131"/>
    <x v="12"/>
    <s v="2022-11"/>
    <s v="SR02"/>
    <x v="314"/>
    <d v="2022-11-16T00:00:00"/>
    <d v="2022-11-17T00:00:00"/>
    <n v="1"/>
    <n v="1599"/>
    <n v="10"/>
    <n v="159.9"/>
    <n v="1439.1"/>
    <n v="639.1"/>
    <x v="0"/>
    <x v="5"/>
    <x v="2"/>
    <x v="1"/>
    <n v="1"/>
    <x v="0"/>
    <s v="November"/>
    <s v="Q4"/>
    <n v="4"/>
    <e v="#REF!"/>
    <s v="Normal"/>
    <n v="1265"/>
  </r>
  <r>
    <s v="ORD-00360"/>
    <s v="C0153"/>
    <x v="1"/>
    <s v="2023-10"/>
    <s v="SR02"/>
    <x v="315"/>
    <d v="2023-10-22T00:00:00"/>
    <d v="2023-10-24T00:00:00"/>
    <n v="3"/>
    <n v="19999"/>
    <n v="10"/>
    <n v="5999.7"/>
    <n v="53997.3"/>
    <n v="14997.3"/>
    <x v="0"/>
    <x v="1"/>
    <x v="2"/>
    <x v="1"/>
    <n v="2"/>
    <x v="1"/>
    <s v="October"/>
    <s v="Q4"/>
    <n v="4"/>
    <e v="#REF!"/>
    <s v="Normal"/>
    <n v="925"/>
  </r>
  <r>
    <s v="ORD-00361"/>
    <s v="C0123"/>
    <x v="12"/>
    <s v="2024-10"/>
    <s v="SR01"/>
    <x v="316"/>
    <m/>
    <m/>
    <n v="5"/>
    <n v="1599"/>
    <n v="10"/>
    <n v="799.5"/>
    <n v="7195.5"/>
    <n v="3195.5"/>
    <x v="1"/>
    <x v="1"/>
    <x v="4"/>
    <x v="2"/>
    <m/>
    <x v="2"/>
    <s v="October"/>
    <s v="Q4"/>
    <m/>
    <e v="#REF!"/>
    <s v="Normal"/>
    <n v="571"/>
  </r>
  <r>
    <s v="ORD-00362"/>
    <s v="C0032"/>
    <x v="7"/>
    <s v="2024-04"/>
    <s v="SR08"/>
    <x v="317"/>
    <d v="2024-04-17T00:00:00"/>
    <d v="2024-04-17T00:00:00"/>
    <n v="4"/>
    <n v="9999"/>
    <n v="5"/>
    <n v="1999.8"/>
    <n v="37996.199999999997"/>
    <n v="11996.2"/>
    <x v="0"/>
    <x v="1"/>
    <x v="4"/>
    <x v="0"/>
    <n v="5"/>
    <x v="2"/>
    <s v="April"/>
    <s v="Q2"/>
    <n v="4"/>
    <e v="#REF!"/>
    <s v="Normal"/>
    <n v="747"/>
  </r>
  <r>
    <s v="ORD-00363"/>
    <s v="C0494"/>
    <x v="15"/>
    <s v="2023-05"/>
    <s v="SR05"/>
    <x v="253"/>
    <m/>
    <m/>
    <n v="2"/>
    <n v="2499"/>
    <n v="5"/>
    <n v="249.9"/>
    <n v="4748.1000000000004"/>
    <n v="2348.1"/>
    <x v="1"/>
    <x v="2"/>
    <x v="0"/>
    <x v="3"/>
    <m/>
    <x v="1"/>
    <s v="May"/>
    <s v="Q2"/>
    <m/>
    <e v="#REF!"/>
    <s v="Normal"/>
    <n v="1076"/>
  </r>
  <r>
    <s v="ORD-00364"/>
    <s v="C0229"/>
    <x v="20"/>
    <s v="2022-10"/>
    <s v="SR01"/>
    <x v="318"/>
    <d v="2022-10-24T00:00:00"/>
    <d v="2022-10-25T00:00:00"/>
    <n v="2"/>
    <n v="114900"/>
    <n v="20"/>
    <n v="45960"/>
    <n v="183840"/>
    <n v="13840"/>
    <x v="0"/>
    <x v="3"/>
    <x v="1"/>
    <x v="2"/>
    <n v="4"/>
    <x v="0"/>
    <s v="October"/>
    <s v="Q4"/>
    <n v="5"/>
    <e v="#REF!"/>
    <s v="Normal"/>
    <n v="1289"/>
  </r>
  <r>
    <s v="ORD-00365"/>
    <s v="C0022"/>
    <x v="5"/>
    <s v="2023-08"/>
    <s v="SR07"/>
    <x v="319"/>
    <m/>
    <m/>
    <n v="2"/>
    <n v="79999"/>
    <n v="0"/>
    <n v="0"/>
    <n v="159998"/>
    <n v="49998"/>
    <x v="2"/>
    <x v="1"/>
    <x v="0"/>
    <x v="1"/>
    <m/>
    <x v="1"/>
    <s v="August"/>
    <s v="Q3"/>
    <m/>
    <e v="#REF!"/>
    <s v="Normal"/>
    <n v="988"/>
  </r>
  <r>
    <s v="ORD-00366"/>
    <s v="C0140"/>
    <x v="0"/>
    <s v="2024-02"/>
    <s v="SR06"/>
    <x v="320"/>
    <d v="2024-02-25T00:00:00"/>
    <d v="2024-02-26T00:00:00"/>
    <n v="5"/>
    <n v="3499"/>
    <n v="20"/>
    <n v="3499"/>
    <n v="13996"/>
    <n v="4996"/>
    <x v="0"/>
    <x v="0"/>
    <x v="2"/>
    <x v="2"/>
    <n v="2"/>
    <x v="2"/>
    <s v="February"/>
    <s v="Q1"/>
    <n v="7"/>
    <e v="#REF!"/>
    <s v="Normal"/>
    <n v="802"/>
  </r>
  <r>
    <s v="ORD-00367"/>
    <s v="C0379"/>
    <x v="6"/>
    <s v="2023-09"/>
    <s v="SR02"/>
    <x v="64"/>
    <d v="2023-09-12T00:00:00"/>
    <d v="2023-09-12T00:00:00"/>
    <n v="2"/>
    <n v="54999"/>
    <n v="20"/>
    <n v="21999.599999999999"/>
    <n v="87998.399999999994"/>
    <n v="11998.4"/>
    <x v="0"/>
    <x v="0"/>
    <x v="0"/>
    <x v="1"/>
    <n v="2"/>
    <x v="1"/>
    <s v="September"/>
    <s v="Q3"/>
    <n v="4"/>
    <e v="#REF!"/>
    <s v="Normal"/>
    <n v="965"/>
  </r>
  <r>
    <s v="ORD-00368"/>
    <s v="C0313"/>
    <x v="21"/>
    <s v="2023-12"/>
    <s v="SR08"/>
    <x v="321"/>
    <m/>
    <m/>
    <n v="3"/>
    <n v="59900"/>
    <n v="15"/>
    <n v="26955"/>
    <n v="152745"/>
    <n v="26745"/>
    <x v="2"/>
    <x v="0"/>
    <x v="3"/>
    <x v="0"/>
    <m/>
    <x v="1"/>
    <s v="December"/>
    <s v="Q4"/>
    <m/>
    <e v="#REF!"/>
    <s v="Normal"/>
    <n v="879"/>
  </r>
  <r>
    <s v="ORD-00369"/>
    <s v="C0340"/>
    <x v="7"/>
    <s v="2023-03"/>
    <s v="SR07"/>
    <x v="322"/>
    <d v="2023-03-13T00:00:00"/>
    <d v="2023-03-15T00:00:00"/>
    <n v="1"/>
    <n v="9999"/>
    <n v="0"/>
    <n v="0"/>
    <n v="9999"/>
    <n v="3499"/>
    <x v="0"/>
    <x v="4"/>
    <x v="2"/>
    <x v="1"/>
    <n v="5"/>
    <x v="1"/>
    <s v="March"/>
    <s v="Q1"/>
    <n v="5"/>
    <e v="#REF!"/>
    <s v="Normal"/>
    <n v="1149"/>
  </r>
  <r>
    <s v="ORD-00370"/>
    <s v="C0244"/>
    <x v="5"/>
    <s v="2022-12"/>
    <s v="SR02"/>
    <x v="323"/>
    <d v="2022-12-27T00:00:00"/>
    <d v="2022-12-30T00:00:00"/>
    <n v="4"/>
    <n v="79999"/>
    <n v="20"/>
    <n v="63999.199999999997"/>
    <n v="255996.79999999999"/>
    <n v="35996.800000000003"/>
    <x v="0"/>
    <x v="1"/>
    <x v="2"/>
    <x v="1"/>
    <n v="5"/>
    <x v="0"/>
    <s v="December"/>
    <s v="Q4"/>
    <n v="5"/>
    <e v="#REF!"/>
    <s v="Normal"/>
    <n v="1225"/>
  </r>
  <r>
    <s v="ORD-00371"/>
    <s v="C0016"/>
    <x v="9"/>
    <s v="2022-09"/>
    <s v="SR04"/>
    <x v="324"/>
    <d v="2022-09-17T00:00:00"/>
    <d v="2022-09-20T00:00:00"/>
    <n v="5"/>
    <n v="7499"/>
    <n v="10"/>
    <n v="3749.5"/>
    <n v="33745.5"/>
    <n v="9745.5"/>
    <x v="0"/>
    <x v="3"/>
    <x v="3"/>
    <x v="4"/>
    <n v="1"/>
    <x v="0"/>
    <s v="September"/>
    <s v="Q3"/>
    <n v="7"/>
    <e v="#REF!"/>
    <s v="Normal"/>
    <n v="1328"/>
  </r>
  <r>
    <s v="ORD-00372"/>
    <s v="C0064"/>
    <x v="19"/>
    <s v="2023-01"/>
    <s v="SR05"/>
    <x v="325"/>
    <d v="2023-02-01T00:00:00"/>
    <d v="2023-02-02T00:00:00"/>
    <n v="1"/>
    <n v="64999"/>
    <n v="5"/>
    <n v="3249.95"/>
    <n v="61749.05"/>
    <n v="16749.05"/>
    <x v="0"/>
    <x v="4"/>
    <x v="4"/>
    <x v="3"/>
    <n v="2"/>
    <x v="1"/>
    <s v="January"/>
    <s v="Q1"/>
    <n v="1"/>
    <e v="#REF!"/>
    <s v="Normal"/>
    <n v="1185"/>
  </r>
  <r>
    <s v="ORD-00373"/>
    <s v="C0047"/>
    <x v="0"/>
    <s v="2023-03"/>
    <s v="SR07"/>
    <x v="326"/>
    <d v="2023-04-02T00:00:00"/>
    <d v="2023-04-04T00:00:00"/>
    <n v="1"/>
    <n v="3499"/>
    <n v="5"/>
    <n v="174.95"/>
    <n v="3324.05"/>
    <n v="1524.05"/>
    <x v="0"/>
    <x v="3"/>
    <x v="1"/>
    <x v="1"/>
    <n v="2"/>
    <x v="1"/>
    <s v="March"/>
    <s v="Q1"/>
    <n v="4"/>
    <e v="#REF!"/>
    <s v="Normal"/>
    <n v="1128"/>
  </r>
  <r>
    <s v="ORD-00374"/>
    <s v="C0004"/>
    <x v="18"/>
    <s v="2022-08"/>
    <s v="SR06"/>
    <x v="153"/>
    <d v="2022-08-21T00:00:00"/>
    <d v="2022-08-24T00:00:00"/>
    <n v="2"/>
    <n v="26990"/>
    <n v="20"/>
    <n v="10796"/>
    <n v="43184"/>
    <n v="7184"/>
    <x v="0"/>
    <x v="5"/>
    <x v="1"/>
    <x v="2"/>
    <n v="5"/>
    <x v="0"/>
    <s v="August"/>
    <s v="Q3"/>
    <n v="5"/>
    <e v="#REF!"/>
    <s v="Normal"/>
    <n v="1353"/>
  </r>
  <r>
    <s v="ORD-00375"/>
    <s v="C0290"/>
    <x v="16"/>
    <s v="2022-09"/>
    <s v="SR02"/>
    <x v="11"/>
    <m/>
    <m/>
    <n v="1"/>
    <n v="38999"/>
    <n v="0"/>
    <n v="0"/>
    <n v="38999"/>
    <n v="11999"/>
    <x v="2"/>
    <x v="0"/>
    <x v="1"/>
    <x v="1"/>
    <m/>
    <x v="0"/>
    <s v="September"/>
    <s v="Q3"/>
    <m/>
    <e v="#REF!"/>
    <s v="Normal"/>
    <n v="1318"/>
  </r>
  <r>
    <s v="ORD-00376"/>
    <s v="C0439"/>
    <x v="8"/>
    <s v="2023-01"/>
    <s v="SR08"/>
    <x v="327"/>
    <m/>
    <m/>
    <n v="1"/>
    <n v="6999"/>
    <n v="20"/>
    <n v="1399.8"/>
    <n v="5599.2"/>
    <n v="1399.2"/>
    <x v="2"/>
    <x v="2"/>
    <x v="4"/>
    <x v="0"/>
    <m/>
    <x v="1"/>
    <s v="January"/>
    <s v="Q1"/>
    <m/>
    <e v="#REF!"/>
    <s v="Normal"/>
    <n v="1188"/>
  </r>
  <r>
    <s v="ORD-00377"/>
    <s v="C0349"/>
    <x v="6"/>
    <s v="2022-01"/>
    <s v="SR08"/>
    <x v="308"/>
    <d v="2022-01-11T00:00:00"/>
    <d v="2022-01-11T00:00:00"/>
    <n v="3"/>
    <n v="54999"/>
    <n v="10"/>
    <n v="16499.7"/>
    <n v="148497.29999999999"/>
    <n v="34497.300000000003"/>
    <x v="0"/>
    <x v="3"/>
    <x v="4"/>
    <x v="0"/>
    <n v="1"/>
    <x v="0"/>
    <s v="January"/>
    <s v="Q1"/>
    <n v="6"/>
    <e v="#REF!"/>
    <s v="Normal"/>
    <n v="1576"/>
  </r>
  <r>
    <s v="ORD-00378"/>
    <s v="C0349"/>
    <x v="21"/>
    <s v="2024-10"/>
    <s v="SR08"/>
    <x v="328"/>
    <d v="2024-10-16T00:00:00"/>
    <d v="2024-10-16T00:00:00"/>
    <n v="2"/>
    <n v="59900"/>
    <n v="0"/>
    <n v="0"/>
    <n v="119800"/>
    <n v="35800"/>
    <x v="0"/>
    <x v="0"/>
    <x v="0"/>
    <x v="0"/>
    <n v="5"/>
    <x v="2"/>
    <s v="October"/>
    <s v="Q4"/>
    <n v="5"/>
    <e v="#REF!"/>
    <s v="Normal"/>
    <n v="566"/>
  </r>
  <r>
    <s v="ORD-00379"/>
    <s v="C0230"/>
    <x v="7"/>
    <s v="2024-03"/>
    <s v="SR01"/>
    <x v="329"/>
    <d v="2024-03-16T00:00:00"/>
    <d v="2024-03-16T00:00:00"/>
    <n v="5"/>
    <n v="9999"/>
    <n v="0"/>
    <n v="0"/>
    <n v="49995"/>
    <n v="17495"/>
    <x v="0"/>
    <x v="4"/>
    <x v="3"/>
    <x v="2"/>
    <n v="4"/>
    <x v="2"/>
    <s v="March"/>
    <s v="Q1"/>
    <n v="3"/>
    <e v="#REF!"/>
    <s v="Normal"/>
    <n v="778"/>
  </r>
  <r>
    <s v="ORD-00380"/>
    <s v="C0491"/>
    <x v="20"/>
    <s v="2023-02"/>
    <s v="SR03"/>
    <x v="330"/>
    <d v="2023-02-11T00:00:00"/>
    <d v="2023-02-13T00:00:00"/>
    <n v="1"/>
    <n v="114900"/>
    <n v="0"/>
    <n v="0"/>
    <n v="114900"/>
    <n v="29900"/>
    <x v="0"/>
    <x v="1"/>
    <x v="0"/>
    <x v="0"/>
    <n v="4"/>
    <x v="1"/>
    <s v="February"/>
    <s v="Q1"/>
    <n v="3"/>
    <e v="#REF!"/>
    <s v="Normal"/>
    <n v="1177"/>
  </r>
  <r>
    <s v="ORD-00381"/>
    <s v="C0414"/>
    <x v="5"/>
    <s v="2023-05"/>
    <s v="SR05"/>
    <x v="95"/>
    <d v="2023-05-29T00:00:00"/>
    <d v="2023-06-01T00:00:00"/>
    <n v="2"/>
    <n v="79999"/>
    <n v="10"/>
    <n v="15999.8"/>
    <n v="143998.20000000001"/>
    <n v="33998.199999999997"/>
    <x v="0"/>
    <x v="1"/>
    <x v="4"/>
    <x v="3"/>
    <n v="5"/>
    <x v="1"/>
    <s v="May"/>
    <s v="Q2"/>
    <n v="1"/>
    <e v="#REF!"/>
    <s v="Normal"/>
    <n v="1068"/>
  </r>
  <r>
    <s v="ORD-00382"/>
    <s v="C0407"/>
    <x v="8"/>
    <s v="2024-06"/>
    <s v="SR03"/>
    <x v="331"/>
    <d v="2024-06-23T00:00:00"/>
    <d v="2024-06-26T00:00:00"/>
    <n v="5"/>
    <n v="6999"/>
    <n v="0"/>
    <n v="0"/>
    <n v="34995"/>
    <n v="13995"/>
    <x v="0"/>
    <x v="1"/>
    <x v="2"/>
    <x v="0"/>
    <n v="1"/>
    <x v="2"/>
    <s v="June"/>
    <s v="Q2"/>
    <n v="6"/>
    <e v="#REF!"/>
    <s v="Normal"/>
    <n v="682"/>
  </r>
  <r>
    <s v="ORD-00383"/>
    <s v="C0194"/>
    <x v="7"/>
    <s v="2022-09"/>
    <s v="SR02"/>
    <x v="135"/>
    <d v="2022-09-26T00:00:00"/>
    <d v="2022-09-29T00:00:00"/>
    <n v="1"/>
    <n v="9999"/>
    <n v="5"/>
    <n v="499.95"/>
    <n v="9499.0499999999993"/>
    <n v="2999.05"/>
    <x v="0"/>
    <x v="2"/>
    <x v="0"/>
    <x v="1"/>
    <n v="1"/>
    <x v="0"/>
    <s v="September"/>
    <s v="Q3"/>
    <n v="7"/>
    <e v="#REF!"/>
    <s v="Normal"/>
    <n v="1319"/>
  </r>
  <r>
    <s v="ORD-00384"/>
    <s v="C0053"/>
    <x v="9"/>
    <s v="2022-04"/>
    <s v="SR05"/>
    <x v="332"/>
    <d v="2022-04-24T00:00:00"/>
    <d v="2022-04-27T00:00:00"/>
    <n v="4"/>
    <n v="7499"/>
    <n v="0"/>
    <n v="0"/>
    <n v="29996"/>
    <n v="10796"/>
    <x v="0"/>
    <x v="2"/>
    <x v="0"/>
    <x v="3"/>
    <n v="2"/>
    <x v="0"/>
    <s v="April"/>
    <s v="Q2"/>
    <n v="7"/>
    <e v="#REF!"/>
    <s v="Normal"/>
    <n v="1474"/>
  </r>
  <r>
    <s v="ORD-00385"/>
    <s v="C0443"/>
    <x v="0"/>
    <s v="2024-07"/>
    <s v="SR04"/>
    <x v="257"/>
    <d v="2024-07-21T00:00:00"/>
    <d v="2024-07-24T00:00:00"/>
    <n v="5"/>
    <n v="3499"/>
    <n v="0"/>
    <n v="0"/>
    <n v="17495"/>
    <n v="8495"/>
    <x v="0"/>
    <x v="0"/>
    <x v="2"/>
    <x v="4"/>
    <n v="4"/>
    <x v="2"/>
    <s v="July"/>
    <s v="Q3"/>
    <n v="4"/>
    <e v="#REF!"/>
    <s v="Normal"/>
    <n v="652"/>
  </r>
  <r>
    <s v="ORD-00386"/>
    <s v="C0265"/>
    <x v="7"/>
    <s v="2022-08"/>
    <s v="SR05"/>
    <x v="333"/>
    <d v="2022-08-11T00:00:00"/>
    <d v="2022-08-11T00:00:00"/>
    <n v="5"/>
    <n v="9999"/>
    <n v="5"/>
    <n v="2499.75"/>
    <n v="47495.25"/>
    <n v="14995.25"/>
    <x v="0"/>
    <x v="2"/>
    <x v="3"/>
    <x v="3"/>
    <n v="5"/>
    <x v="0"/>
    <s v="August"/>
    <s v="Q3"/>
    <n v="1"/>
    <e v="#REF!"/>
    <s v="Normal"/>
    <n v="1359"/>
  </r>
  <r>
    <s v="ORD-00387"/>
    <s v="C0132"/>
    <x v="17"/>
    <s v="2024-09"/>
    <s v="SR08"/>
    <x v="334"/>
    <m/>
    <m/>
    <n v="5"/>
    <n v="41900"/>
    <n v="15"/>
    <n v="31425"/>
    <n v="178075"/>
    <n v="38075"/>
    <x v="2"/>
    <x v="5"/>
    <x v="3"/>
    <x v="0"/>
    <m/>
    <x v="2"/>
    <s v="September"/>
    <s v="Q3"/>
    <m/>
    <e v="#REF!"/>
    <s v="Normal"/>
    <n v="595"/>
  </r>
  <r>
    <s v="ORD-00388"/>
    <s v="C0071"/>
    <x v="24"/>
    <s v="2022-09"/>
    <s v="SR01"/>
    <x v="135"/>
    <d v="2022-09-24T00:00:00"/>
    <d v="2022-09-27T00:00:00"/>
    <n v="5"/>
    <n v="69999"/>
    <n v="10"/>
    <n v="34999.5"/>
    <n v="314995.5"/>
    <n v="74995.5"/>
    <x v="0"/>
    <x v="0"/>
    <x v="1"/>
    <x v="2"/>
    <n v="5"/>
    <x v="0"/>
    <s v="September"/>
    <s v="Q3"/>
    <n v="5"/>
    <e v="#REF!"/>
    <s v="Normal"/>
    <n v="1319"/>
  </r>
  <r>
    <s v="ORD-00389"/>
    <s v="C0398"/>
    <x v="23"/>
    <s v="2024-08"/>
    <s v="SR02"/>
    <x v="335"/>
    <d v="2024-08-24T00:00:00"/>
    <d v="2024-08-26T00:00:00"/>
    <n v="3"/>
    <n v="49990"/>
    <n v="10"/>
    <n v="14997"/>
    <n v="134973"/>
    <n v="29973"/>
    <x v="0"/>
    <x v="1"/>
    <x v="1"/>
    <x v="1"/>
    <n v="5"/>
    <x v="2"/>
    <s v="August"/>
    <s v="Q3"/>
    <n v="5"/>
    <e v="#REF!"/>
    <s v="Normal"/>
    <n v="619"/>
  </r>
  <r>
    <s v="ORD-00390"/>
    <s v="C0337"/>
    <x v="9"/>
    <s v="2022-04"/>
    <s v="SR03"/>
    <x v="336"/>
    <d v="2022-05-03T00:00:00"/>
    <d v="2022-05-03T00:00:00"/>
    <n v="4"/>
    <n v="7499"/>
    <n v="10"/>
    <n v="2999.6"/>
    <n v="26996.400000000001"/>
    <n v="7796.4"/>
    <x v="0"/>
    <x v="5"/>
    <x v="3"/>
    <x v="0"/>
    <n v="2"/>
    <x v="0"/>
    <s v="April"/>
    <s v="Q2"/>
    <n v="5"/>
    <e v="#REF!"/>
    <s v="Normal"/>
    <n v="1463"/>
  </r>
  <r>
    <s v="ORD-00391"/>
    <s v="C0403"/>
    <x v="20"/>
    <s v="2023-01"/>
    <s v="SR08"/>
    <x v="337"/>
    <m/>
    <m/>
    <n v="4"/>
    <n v="114900"/>
    <n v="15"/>
    <n v="68940"/>
    <n v="390660"/>
    <n v="50660"/>
    <x v="2"/>
    <x v="2"/>
    <x v="4"/>
    <x v="0"/>
    <m/>
    <x v="1"/>
    <s v="January"/>
    <s v="Q1"/>
    <m/>
    <e v="#REF!"/>
    <s v="High Outlier"/>
    <n v="1193"/>
  </r>
  <r>
    <s v="ORD-00392"/>
    <s v="C0437"/>
    <x v="15"/>
    <s v="2023-09"/>
    <s v="SR05"/>
    <x v="338"/>
    <d v="2023-09-09T00:00:00"/>
    <d v="2023-09-10T00:00:00"/>
    <n v="1"/>
    <n v="2499"/>
    <n v="15"/>
    <n v="374.85"/>
    <n v="2124.15"/>
    <n v="924.15"/>
    <x v="0"/>
    <x v="1"/>
    <x v="0"/>
    <x v="3"/>
    <n v="2"/>
    <x v="1"/>
    <s v="September"/>
    <s v="Q3"/>
    <n v="3"/>
    <e v="#REF!"/>
    <s v="Normal"/>
    <n v="967"/>
  </r>
  <r>
    <s v="ORD-00393"/>
    <s v="C0472"/>
    <x v="5"/>
    <s v="2023-04"/>
    <s v="SR01"/>
    <x v="177"/>
    <d v="2023-04-22T00:00:00"/>
    <d v="2023-04-23T00:00:00"/>
    <n v="2"/>
    <n v="79999"/>
    <n v="15"/>
    <n v="23999.7"/>
    <n v="135998.29999999999"/>
    <n v="25998.3"/>
    <x v="0"/>
    <x v="4"/>
    <x v="4"/>
    <x v="2"/>
    <n v="4"/>
    <x v="1"/>
    <s v="April"/>
    <s v="Q2"/>
    <n v="5"/>
    <e v="#REF!"/>
    <s v="Normal"/>
    <n v="1109"/>
  </r>
  <r>
    <s v="ORD-00394"/>
    <s v="C0106"/>
    <x v="1"/>
    <s v="2022-01"/>
    <s v="SR01"/>
    <x v="339"/>
    <d v="2022-01-15T00:00:00"/>
    <d v="2022-01-15T00:00:00"/>
    <n v="3"/>
    <n v="19999"/>
    <n v="0"/>
    <n v="0"/>
    <n v="59997"/>
    <n v="20997"/>
    <x v="0"/>
    <x v="2"/>
    <x v="2"/>
    <x v="2"/>
    <n v="2"/>
    <x v="0"/>
    <s v="January"/>
    <s v="Q1"/>
    <n v="1"/>
    <e v="#REF!"/>
    <s v="Normal"/>
    <n v="1567"/>
  </r>
  <r>
    <s v="ORD-00395"/>
    <s v="C0149"/>
    <x v="19"/>
    <s v="2024-01"/>
    <s v="SR01"/>
    <x v="340"/>
    <d v="2024-01-09T00:00:00"/>
    <d v="2024-01-10T00:00:00"/>
    <n v="2"/>
    <n v="64999"/>
    <n v="5"/>
    <n v="6499.9"/>
    <n v="123498.1"/>
    <n v="33498.1"/>
    <x v="0"/>
    <x v="5"/>
    <x v="3"/>
    <x v="2"/>
    <n v="3"/>
    <x v="2"/>
    <s v="January"/>
    <s v="Q1"/>
    <n v="1"/>
    <e v="#REF!"/>
    <s v="Normal"/>
    <n v="843"/>
  </r>
  <r>
    <s v="ORD-00396"/>
    <s v="C0369"/>
    <x v="16"/>
    <s v="2023-05"/>
    <s v="SR07"/>
    <x v="341"/>
    <d v="2023-05-21T00:00:00"/>
    <d v="2023-05-21T00:00:00"/>
    <n v="2"/>
    <n v="38999"/>
    <n v="5"/>
    <n v="3899.9"/>
    <n v="74098.100000000006"/>
    <n v="20098.099999999999"/>
    <x v="0"/>
    <x v="1"/>
    <x v="2"/>
    <x v="1"/>
    <n v="2"/>
    <x v="1"/>
    <s v="May"/>
    <s v="Q2"/>
    <n v="2"/>
    <e v="#REF!"/>
    <s v="Normal"/>
    <n v="1077"/>
  </r>
  <r>
    <s v="ORD-00397"/>
    <s v="C0195"/>
    <x v="11"/>
    <s v="2023-11"/>
    <s v="SR02"/>
    <x v="342"/>
    <d v="2023-11-28T00:00:00"/>
    <d v="2023-12-01T00:00:00"/>
    <n v="2"/>
    <n v="8495"/>
    <n v="10"/>
    <n v="1699"/>
    <n v="15291"/>
    <n v="4291"/>
    <x v="0"/>
    <x v="0"/>
    <x v="3"/>
    <x v="1"/>
    <n v="5"/>
    <x v="1"/>
    <s v="November"/>
    <s v="Q4"/>
    <n v="3"/>
    <e v="#REF!"/>
    <s v="Normal"/>
    <n v="887"/>
  </r>
  <r>
    <s v="ORD-00398"/>
    <s v="C0410"/>
    <x v="0"/>
    <s v="2022-05"/>
    <s v="SR07"/>
    <x v="343"/>
    <d v="2022-05-16T00:00:00"/>
    <d v="2022-05-17T00:00:00"/>
    <n v="2"/>
    <n v="3499"/>
    <n v="5"/>
    <n v="349.9"/>
    <n v="6648.1"/>
    <n v="3048.1"/>
    <x v="0"/>
    <x v="2"/>
    <x v="0"/>
    <x v="1"/>
    <n v="3"/>
    <x v="0"/>
    <s v="May"/>
    <s v="Q2"/>
    <n v="2"/>
    <e v="#REF!"/>
    <s v="Normal"/>
    <n v="1447"/>
  </r>
  <r>
    <s v="ORD-00399"/>
    <s v="C0163"/>
    <x v="0"/>
    <s v="2023-05"/>
    <s v="SR04"/>
    <x v="344"/>
    <d v="2023-05-23T00:00:00"/>
    <d v="2023-05-24T00:00:00"/>
    <n v="5"/>
    <n v="3499"/>
    <n v="5"/>
    <n v="874.75"/>
    <n v="16620.25"/>
    <n v="7620.25"/>
    <x v="0"/>
    <x v="5"/>
    <x v="4"/>
    <x v="4"/>
    <n v="2"/>
    <x v="1"/>
    <s v="May"/>
    <s v="Q2"/>
    <n v="7"/>
    <e v="#REF!"/>
    <s v="Normal"/>
    <n v="1080"/>
  </r>
  <r>
    <s v="ORD-00400"/>
    <s v="C0028"/>
    <x v="11"/>
    <s v="2022-09"/>
    <s v="SR08"/>
    <x v="26"/>
    <m/>
    <m/>
    <n v="5"/>
    <n v="8495"/>
    <n v="15"/>
    <n v="6371.25"/>
    <n v="36103.75"/>
    <n v="8603.75"/>
    <x v="1"/>
    <x v="5"/>
    <x v="2"/>
    <x v="0"/>
    <m/>
    <x v="0"/>
    <s v="September"/>
    <s v="Q3"/>
    <m/>
    <e v="#REF!"/>
    <s v="Normal"/>
    <n v="1322"/>
  </r>
  <r>
    <s v="ORD-00401"/>
    <s v="C0402"/>
    <x v="14"/>
    <s v="2022-12"/>
    <s v="SR02"/>
    <x v="345"/>
    <m/>
    <m/>
    <n v="4"/>
    <n v="29999"/>
    <n v="20"/>
    <n v="23999.200000000001"/>
    <n v="95996.800000000003"/>
    <n v="15996.8"/>
    <x v="1"/>
    <x v="0"/>
    <x v="0"/>
    <x v="1"/>
    <m/>
    <x v="0"/>
    <s v="December"/>
    <s v="Q4"/>
    <m/>
    <e v="#REF!"/>
    <s v="Normal"/>
    <n v="1238"/>
  </r>
  <r>
    <s v="ORD-00402"/>
    <s v="C0266"/>
    <x v="19"/>
    <s v="2023-10"/>
    <s v="SR04"/>
    <x v="51"/>
    <m/>
    <m/>
    <n v="3"/>
    <n v="64999"/>
    <n v="20"/>
    <n v="38999.4"/>
    <n v="155997.6"/>
    <n v="20997.599999999999"/>
    <x v="2"/>
    <x v="4"/>
    <x v="0"/>
    <x v="4"/>
    <m/>
    <x v="1"/>
    <s v="October"/>
    <s v="Q4"/>
    <m/>
    <e v="#REF!"/>
    <s v="Normal"/>
    <n v="921"/>
  </r>
  <r>
    <s v="ORD-00403"/>
    <s v="C0367"/>
    <x v="14"/>
    <s v="2023-07"/>
    <s v="SR05"/>
    <x v="346"/>
    <m/>
    <m/>
    <n v="4"/>
    <n v="29999"/>
    <n v="0"/>
    <n v="0"/>
    <n v="119996"/>
    <n v="39996"/>
    <x v="1"/>
    <x v="5"/>
    <x v="3"/>
    <x v="3"/>
    <m/>
    <x v="1"/>
    <s v="July"/>
    <s v="Q3"/>
    <m/>
    <e v="#REF!"/>
    <s v="Normal"/>
    <n v="1031"/>
  </r>
  <r>
    <s v="ORD-00404"/>
    <s v="C0459"/>
    <x v="18"/>
    <s v="2023-04"/>
    <s v="SR06"/>
    <x v="8"/>
    <d v="2023-04-28T00:00:00"/>
    <d v="2023-04-30T00:00:00"/>
    <n v="4"/>
    <n v="26990"/>
    <n v="10"/>
    <n v="10796"/>
    <n v="97164"/>
    <n v="25164"/>
    <x v="0"/>
    <x v="2"/>
    <x v="3"/>
    <x v="2"/>
    <n v="3"/>
    <x v="1"/>
    <s v="April"/>
    <s v="Q2"/>
    <n v="2"/>
    <e v="#REF!"/>
    <s v="Normal"/>
    <n v="1100"/>
  </r>
  <r>
    <s v="ORD-00405"/>
    <s v="C0131"/>
    <x v="6"/>
    <s v="2022-10"/>
    <s v="SR02"/>
    <x v="347"/>
    <d v="2022-10-06T00:00:00"/>
    <d v="2022-10-09T00:00:00"/>
    <n v="5"/>
    <n v="54999"/>
    <n v="10"/>
    <n v="27499.5"/>
    <n v="247495.5"/>
    <n v="57495.5"/>
    <x v="0"/>
    <x v="5"/>
    <x v="1"/>
    <x v="1"/>
    <n v="1"/>
    <x v="0"/>
    <s v="October"/>
    <s v="Q4"/>
    <n v="3"/>
    <e v="#REF!"/>
    <s v="Normal"/>
    <n v="1305"/>
  </r>
  <r>
    <s v="ORD-00406"/>
    <s v="C0239"/>
    <x v="21"/>
    <s v="2024-05"/>
    <s v="SR07"/>
    <x v="274"/>
    <d v="2024-05-26T00:00:00"/>
    <d v="2024-05-29T00:00:00"/>
    <n v="4"/>
    <n v="59900"/>
    <n v="10"/>
    <n v="23960"/>
    <n v="215640"/>
    <n v="47640"/>
    <x v="0"/>
    <x v="3"/>
    <x v="4"/>
    <x v="1"/>
    <n v="3"/>
    <x v="2"/>
    <s v="May"/>
    <s v="Q2"/>
    <n v="4"/>
    <e v="#REF!"/>
    <s v="Normal"/>
    <n v="708"/>
  </r>
  <r>
    <s v="ORD-00407"/>
    <s v="C0196"/>
    <x v="5"/>
    <s v="2024-06"/>
    <s v="SR05"/>
    <x v="29"/>
    <d v="2024-06-26T00:00:00"/>
    <d v="2024-06-26T00:00:00"/>
    <n v="3"/>
    <n v="79999"/>
    <n v="0"/>
    <n v="0"/>
    <n v="239997"/>
    <n v="74997"/>
    <x v="0"/>
    <x v="0"/>
    <x v="1"/>
    <x v="3"/>
    <n v="5"/>
    <x v="2"/>
    <s v="June"/>
    <s v="Q2"/>
    <n v="3"/>
    <e v="#REF!"/>
    <s v="Normal"/>
    <n v="676"/>
  </r>
  <r>
    <s v="ORD-00408"/>
    <s v="C0280"/>
    <x v="11"/>
    <s v="2023-07"/>
    <s v="SR02"/>
    <x v="154"/>
    <d v="2023-07-22T00:00:00"/>
    <d v="2023-07-22T00:00:00"/>
    <n v="1"/>
    <n v="8495"/>
    <n v="10"/>
    <n v="849.5"/>
    <n v="7645.5"/>
    <n v="2145.5"/>
    <x v="0"/>
    <x v="1"/>
    <x v="1"/>
    <x v="1"/>
    <n v="2"/>
    <x v="1"/>
    <s v="July"/>
    <s v="Q3"/>
    <n v="1"/>
    <e v="#REF!"/>
    <s v="Normal"/>
    <n v="1014"/>
  </r>
  <r>
    <s v="ORD-00409"/>
    <s v="C0171"/>
    <x v="18"/>
    <s v="2023-05"/>
    <s v="SR06"/>
    <x v="95"/>
    <d v="2023-06-03T00:00:00"/>
    <d v="2023-06-05T00:00:00"/>
    <n v="2"/>
    <n v="26990"/>
    <n v="0"/>
    <n v="0"/>
    <n v="53980"/>
    <n v="17980"/>
    <x v="0"/>
    <x v="4"/>
    <x v="1"/>
    <x v="2"/>
    <n v="3"/>
    <x v="1"/>
    <s v="May"/>
    <s v="Q2"/>
    <n v="6"/>
    <e v="#REF!"/>
    <s v="Normal"/>
    <n v="1068"/>
  </r>
  <r>
    <s v="ORD-00410"/>
    <s v="C0005"/>
    <x v="12"/>
    <s v="2023-08"/>
    <s v="SR05"/>
    <x v="348"/>
    <d v="2023-08-08T00:00:00"/>
    <d v="2023-08-11T00:00:00"/>
    <n v="4"/>
    <n v="1599"/>
    <n v="0"/>
    <n v="0"/>
    <n v="6396"/>
    <n v="3196"/>
    <x v="0"/>
    <x v="3"/>
    <x v="1"/>
    <x v="3"/>
    <n v="2"/>
    <x v="1"/>
    <s v="August"/>
    <s v="Q3"/>
    <n v="7"/>
    <e v="#REF!"/>
    <s v="Normal"/>
    <n v="1003"/>
  </r>
  <r>
    <s v="ORD-00411"/>
    <s v="C0444"/>
    <x v="1"/>
    <s v="2023-04"/>
    <s v="SR01"/>
    <x v="349"/>
    <m/>
    <m/>
    <n v="2"/>
    <n v="19999"/>
    <n v="15"/>
    <n v="5999.7"/>
    <n v="33998.300000000003"/>
    <n v="7998.3"/>
    <x v="2"/>
    <x v="5"/>
    <x v="1"/>
    <x v="2"/>
    <m/>
    <x v="1"/>
    <s v="April"/>
    <s v="Q2"/>
    <m/>
    <e v="#REF!"/>
    <s v="Normal"/>
    <n v="1116"/>
  </r>
  <r>
    <s v="ORD-00412"/>
    <s v="C0301"/>
    <x v="6"/>
    <s v="2024-08"/>
    <s v="SR07"/>
    <x v="92"/>
    <d v="2024-08-09T00:00:00"/>
    <d v="2024-08-09T00:00:00"/>
    <n v="3"/>
    <n v="54999"/>
    <n v="5"/>
    <n v="8249.85"/>
    <n v="156747.15"/>
    <n v="42747.15"/>
    <x v="0"/>
    <x v="3"/>
    <x v="0"/>
    <x v="1"/>
    <n v="2"/>
    <x v="2"/>
    <s v="August"/>
    <s v="Q3"/>
    <n v="7"/>
    <e v="#REF!"/>
    <s v="Normal"/>
    <n v="636"/>
  </r>
  <r>
    <s v="ORD-00413"/>
    <s v="C0225"/>
    <x v="19"/>
    <s v="2024-02"/>
    <s v="SR03"/>
    <x v="350"/>
    <d v="2024-02-12T00:00:00"/>
    <d v="2024-02-13T00:00:00"/>
    <n v="3"/>
    <n v="64999"/>
    <n v="0"/>
    <n v="0"/>
    <n v="194997"/>
    <n v="59997"/>
    <x v="0"/>
    <x v="3"/>
    <x v="4"/>
    <x v="0"/>
    <n v="3"/>
    <x v="2"/>
    <s v="February"/>
    <s v="Q1"/>
    <n v="5"/>
    <e v="#REF!"/>
    <s v="Normal"/>
    <n v="813"/>
  </r>
  <r>
    <s v="ORD-00414"/>
    <s v="C0116"/>
    <x v="3"/>
    <s v="2024-04"/>
    <s v="SR07"/>
    <x v="351"/>
    <m/>
    <m/>
    <n v="5"/>
    <n v="24999"/>
    <n v="5"/>
    <n v="6249.75"/>
    <n v="118745.25"/>
    <n v="33745.25"/>
    <x v="2"/>
    <x v="0"/>
    <x v="1"/>
    <x v="1"/>
    <m/>
    <x v="2"/>
    <s v="April"/>
    <s v="Q2"/>
    <m/>
    <e v="#REF!"/>
    <s v="Normal"/>
    <n v="754"/>
  </r>
  <r>
    <s v="ORD-00415"/>
    <s v="C0012"/>
    <x v="15"/>
    <s v="2022-10"/>
    <s v="SR01"/>
    <x v="352"/>
    <d v="2022-10-15T00:00:00"/>
    <d v="2022-10-18T00:00:00"/>
    <n v="4"/>
    <n v="2499"/>
    <n v="5"/>
    <n v="499.8"/>
    <n v="9496.2000000000007"/>
    <n v="4696.2"/>
    <x v="0"/>
    <x v="3"/>
    <x v="2"/>
    <x v="2"/>
    <n v="5"/>
    <x v="0"/>
    <s v="October"/>
    <s v="Q4"/>
    <n v="3"/>
    <e v="#REF!"/>
    <s v="Normal"/>
    <n v="1296"/>
  </r>
  <r>
    <s v="ORD-00416"/>
    <s v="C0198"/>
    <x v="18"/>
    <s v="2022-08"/>
    <s v="SR05"/>
    <x v="353"/>
    <d v="2022-08-16T00:00:00"/>
    <d v="2022-08-19T00:00:00"/>
    <n v="3"/>
    <n v="26990"/>
    <n v="0"/>
    <n v="0"/>
    <n v="80970"/>
    <n v="26970"/>
    <x v="0"/>
    <x v="5"/>
    <x v="2"/>
    <x v="3"/>
    <n v="5"/>
    <x v="0"/>
    <s v="August"/>
    <s v="Q3"/>
    <n v="5"/>
    <e v="#REF!"/>
    <s v="Normal"/>
    <n v="1358"/>
  </r>
  <r>
    <s v="ORD-00417"/>
    <s v="C0091"/>
    <x v="24"/>
    <s v="2022-02"/>
    <s v="SR07"/>
    <x v="354"/>
    <d v="2022-02-26T00:00:00"/>
    <d v="2022-02-26T00:00:00"/>
    <n v="4"/>
    <n v="69999"/>
    <n v="5"/>
    <n v="13999.8"/>
    <n v="265996.2"/>
    <n v="73996.2"/>
    <x v="0"/>
    <x v="5"/>
    <x v="3"/>
    <x v="1"/>
    <n v="3"/>
    <x v="0"/>
    <s v="February"/>
    <s v="Q1"/>
    <n v="2"/>
    <e v="#REF!"/>
    <s v="Normal"/>
    <n v="1526"/>
  </r>
  <r>
    <s v="ORD-00418"/>
    <s v="C0338"/>
    <x v="21"/>
    <s v="2024-07"/>
    <s v="SR05"/>
    <x v="355"/>
    <d v="2024-07-23T00:00:00"/>
    <d v="2024-07-23T00:00:00"/>
    <n v="2"/>
    <n v="59900"/>
    <n v="10"/>
    <n v="11980"/>
    <n v="107820"/>
    <n v="23820"/>
    <x v="0"/>
    <x v="3"/>
    <x v="0"/>
    <x v="3"/>
    <n v="2"/>
    <x v="2"/>
    <s v="July"/>
    <s v="Q3"/>
    <n v="3"/>
    <e v="#REF!"/>
    <s v="Normal"/>
    <n v="649"/>
  </r>
  <r>
    <s v="ORD-00419"/>
    <s v="C0057"/>
    <x v="23"/>
    <s v="2024-09"/>
    <s v="SR08"/>
    <x v="356"/>
    <m/>
    <m/>
    <n v="1"/>
    <n v="49990"/>
    <n v="10"/>
    <n v="4999"/>
    <n v="44991"/>
    <n v="9991"/>
    <x v="2"/>
    <x v="5"/>
    <x v="3"/>
    <x v="0"/>
    <m/>
    <x v="2"/>
    <s v="September"/>
    <s v="Q3"/>
    <m/>
    <e v="#REF!"/>
    <s v="Normal"/>
    <n v="601"/>
  </r>
  <r>
    <s v="ORD-00420"/>
    <s v="C0446"/>
    <x v="18"/>
    <s v="2024-06"/>
    <s v="SR06"/>
    <x v="272"/>
    <m/>
    <m/>
    <n v="4"/>
    <n v="26990"/>
    <n v="0"/>
    <n v="0"/>
    <n v="107960"/>
    <n v="35960"/>
    <x v="2"/>
    <x v="2"/>
    <x v="1"/>
    <x v="2"/>
    <m/>
    <x v="2"/>
    <s v="June"/>
    <s v="Q2"/>
    <m/>
    <e v="#REF!"/>
    <s v="Normal"/>
    <n v="695"/>
  </r>
  <r>
    <s v="ORD-00421"/>
    <s v="C0481"/>
    <x v="13"/>
    <s v="2024-10"/>
    <s v="SR04"/>
    <x v="357"/>
    <m/>
    <m/>
    <n v="4"/>
    <n v="12999"/>
    <n v="5"/>
    <n v="2599.8000000000002"/>
    <n v="49396.2"/>
    <n v="17396.2"/>
    <x v="2"/>
    <x v="5"/>
    <x v="2"/>
    <x v="4"/>
    <m/>
    <x v="2"/>
    <s v="October"/>
    <s v="Q4"/>
    <m/>
    <e v="#REF!"/>
    <s v="Normal"/>
    <n v="551"/>
  </r>
  <r>
    <s v="ORD-00422"/>
    <s v="C0074"/>
    <x v="19"/>
    <s v="2024-03"/>
    <s v="SR03"/>
    <x v="358"/>
    <m/>
    <m/>
    <n v="2"/>
    <n v="64999"/>
    <n v="20"/>
    <n v="25999.599999999999"/>
    <n v="103998.39999999999"/>
    <n v="13998.4"/>
    <x v="1"/>
    <x v="0"/>
    <x v="1"/>
    <x v="0"/>
    <m/>
    <x v="2"/>
    <s v="March"/>
    <s v="Q1"/>
    <m/>
    <e v="#REF!"/>
    <s v="Normal"/>
    <n v="763"/>
  </r>
  <r>
    <s v="ORD-00423"/>
    <s v="C0451"/>
    <x v="14"/>
    <s v="2024-08"/>
    <s v="SR05"/>
    <x v="359"/>
    <m/>
    <m/>
    <n v="1"/>
    <n v="29999"/>
    <n v="0"/>
    <n v="0"/>
    <n v="29999"/>
    <n v="9999"/>
    <x v="1"/>
    <x v="0"/>
    <x v="0"/>
    <x v="3"/>
    <m/>
    <x v="2"/>
    <s v="August"/>
    <s v="Q3"/>
    <m/>
    <e v="#REF!"/>
    <s v="Normal"/>
    <n v="633"/>
  </r>
  <r>
    <s v="ORD-00424"/>
    <s v="C0178"/>
    <x v="22"/>
    <s v="2024-03"/>
    <s v="SR07"/>
    <x v="360"/>
    <m/>
    <m/>
    <n v="2"/>
    <n v="5999"/>
    <n v="10"/>
    <n v="1199.8"/>
    <n v="10798.2"/>
    <n v="3198.2"/>
    <x v="1"/>
    <x v="5"/>
    <x v="3"/>
    <x v="1"/>
    <m/>
    <x v="2"/>
    <s v="March"/>
    <s v="Q1"/>
    <m/>
    <e v="#REF!"/>
    <s v="Normal"/>
    <n v="780"/>
  </r>
  <r>
    <s v="ORD-00425"/>
    <s v="C0461"/>
    <x v="0"/>
    <s v="2024-07"/>
    <s v="SR05"/>
    <x v="196"/>
    <d v="2024-08-01T00:00:00"/>
    <d v="2024-08-02T00:00:00"/>
    <n v="5"/>
    <n v="3499"/>
    <n v="0"/>
    <n v="0"/>
    <n v="17495"/>
    <n v="8495"/>
    <x v="0"/>
    <x v="3"/>
    <x v="2"/>
    <x v="3"/>
    <n v="2"/>
    <x v="2"/>
    <s v="July"/>
    <s v="Q3"/>
    <n v="6"/>
    <e v="#REF!"/>
    <s v="Normal"/>
    <n v="643"/>
  </r>
  <r>
    <s v="ORD-00426"/>
    <s v="C0454"/>
    <x v="16"/>
    <s v="2023-08"/>
    <s v="SR08"/>
    <x v="361"/>
    <m/>
    <m/>
    <n v="1"/>
    <n v="38999"/>
    <n v="5"/>
    <n v="1949.95"/>
    <n v="37049.050000000003"/>
    <n v="10049.049999999999"/>
    <x v="2"/>
    <x v="3"/>
    <x v="0"/>
    <x v="0"/>
    <m/>
    <x v="1"/>
    <s v="August"/>
    <s v="Q3"/>
    <m/>
    <e v="#REF!"/>
    <s v="Normal"/>
    <n v="983"/>
  </r>
  <r>
    <s v="ORD-00427"/>
    <s v="C0391"/>
    <x v="6"/>
    <s v="2024-01"/>
    <s v="SR01"/>
    <x v="54"/>
    <d v="2024-02-02T00:00:00"/>
    <d v="2024-02-02T00:00:00"/>
    <n v="5"/>
    <n v="54999"/>
    <n v="10"/>
    <n v="27499.5"/>
    <n v="247495.5"/>
    <n v="57495.5"/>
    <x v="0"/>
    <x v="3"/>
    <x v="0"/>
    <x v="2"/>
    <n v="2"/>
    <x v="2"/>
    <s v="January"/>
    <s v="Q1"/>
    <n v="7"/>
    <e v="#REF!"/>
    <s v="Normal"/>
    <n v="825"/>
  </r>
  <r>
    <s v="ORD-00428"/>
    <s v="C0130"/>
    <x v="18"/>
    <s v="2024-08"/>
    <s v="SR05"/>
    <x v="362"/>
    <d v="2024-08-05T00:00:00"/>
    <d v="2024-08-08T00:00:00"/>
    <n v="4"/>
    <n v="26990"/>
    <n v="10"/>
    <n v="10796"/>
    <n v="97164"/>
    <n v="25164"/>
    <x v="0"/>
    <x v="4"/>
    <x v="0"/>
    <x v="3"/>
    <n v="2"/>
    <x v="2"/>
    <s v="August"/>
    <s v="Q3"/>
    <n v="1"/>
    <e v="#REF!"/>
    <s v="Normal"/>
    <n v="634"/>
  </r>
  <r>
    <s v="ORD-00429"/>
    <s v="C0204"/>
    <x v="24"/>
    <s v="2023-05"/>
    <s v="SR02"/>
    <x v="157"/>
    <d v="2023-06-04T00:00:00"/>
    <d v="2023-06-05T00:00:00"/>
    <n v="3"/>
    <n v="69999"/>
    <n v="15"/>
    <n v="31499.55"/>
    <n v="178497.45"/>
    <n v="34497.449999999997"/>
    <x v="0"/>
    <x v="3"/>
    <x v="0"/>
    <x v="1"/>
    <n v="1"/>
    <x v="1"/>
    <s v="May"/>
    <s v="Q2"/>
    <n v="6"/>
    <e v="#REF!"/>
    <s v="Normal"/>
    <n v="1067"/>
  </r>
  <r>
    <s v="ORD-00430"/>
    <s v="C0043"/>
    <x v="6"/>
    <s v="2024-06"/>
    <s v="SR01"/>
    <x v="363"/>
    <d v="2024-06-19T00:00:00"/>
    <d v="2024-06-21T00:00:00"/>
    <n v="2"/>
    <n v="54999"/>
    <n v="0"/>
    <n v="0"/>
    <n v="109998"/>
    <n v="33998"/>
    <x v="0"/>
    <x v="1"/>
    <x v="1"/>
    <x v="2"/>
    <n v="1"/>
    <x v="2"/>
    <s v="June"/>
    <s v="Q2"/>
    <n v="4"/>
    <e v="#REF!"/>
    <s v="Normal"/>
    <n v="684"/>
  </r>
  <r>
    <s v="ORD-00431"/>
    <s v="C0091"/>
    <x v="13"/>
    <s v="2024-12"/>
    <s v="SR02"/>
    <x v="364"/>
    <m/>
    <m/>
    <n v="4"/>
    <n v="12999"/>
    <n v="0"/>
    <n v="0"/>
    <n v="51996"/>
    <n v="19996"/>
    <x v="2"/>
    <x v="1"/>
    <x v="2"/>
    <x v="1"/>
    <m/>
    <x v="2"/>
    <s v="December"/>
    <s v="Q4"/>
    <m/>
    <e v="#REF!"/>
    <s v="Normal"/>
    <n v="486"/>
  </r>
  <r>
    <s v="ORD-00432"/>
    <s v="C0347"/>
    <x v="4"/>
    <s v="2024-06"/>
    <s v="SR02"/>
    <x v="365"/>
    <d v="2024-06-23T00:00:00"/>
    <d v="2024-06-24T00:00:00"/>
    <n v="1"/>
    <n v="29900"/>
    <n v="20"/>
    <n v="5980"/>
    <n v="23920"/>
    <n v="3920"/>
    <x v="0"/>
    <x v="5"/>
    <x v="0"/>
    <x v="1"/>
    <n v="1"/>
    <x v="2"/>
    <s v="June"/>
    <s v="Q2"/>
    <n v="2"/>
    <e v="#REF!"/>
    <s v="Normal"/>
    <n v="678"/>
  </r>
  <r>
    <s v="ORD-00433"/>
    <s v="C0429"/>
    <x v="11"/>
    <s v="2024-03"/>
    <s v="SR01"/>
    <x v="366"/>
    <m/>
    <m/>
    <n v="3"/>
    <n v="8495"/>
    <n v="15"/>
    <n v="3822.75"/>
    <n v="21662.25"/>
    <n v="5162.25"/>
    <x v="2"/>
    <x v="1"/>
    <x v="1"/>
    <x v="2"/>
    <m/>
    <x v="2"/>
    <s v="March"/>
    <s v="Q1"/>
    <m/>
    <e v="#REF!"/>
    <s v="Normal"/>
    <n v="781"/>
  </r>
  <r>
    <s v="ORD-00434"/>
    <s v="C0003"/>
    <x v="24"/>
    <s v="2023-02"/>
    <s v="SR06"/>
    <x v="248"/>
    <d v="2023-02-21T00:00:00"/>
    <d v="2023-02-22T00:00:00"/>
    <n v="2"/>
    <n v="69999"/>
    <n v="0"/>
    <n v="0"/>
    <n v="139998"/>
    <n v="43998"/>
    <x v="0"/>
    <x v="1"/>
    <x v="0"/>
    <x v="2"/>
    <n v="1"/>
    <x v="1"/>
    <s v="February"/>
    <s v="Q1"/>
    <n v="3"/>
    <e v="#REF!"/>
    <s v="Normal"/>
    <n v="1167"/>
  </r>
  <r>
    <s v="ORD-00435"/>
    <s v="C0008"/>
    <x v="7"/>
    <s v="2022-05"/>
    <s v="SR01"/>
    <x v="167"/>
    <d v="2022-05-11T00:00:00"/>
    <d v="2022-05-12T00:00:00"/>
    <n v="2"/>
    <n v="9999"/>
    <n v="0"/>
    <n v="0"/>
    <n v="19998"/>
    <n v="6998"/>
    <x v="0"/>
    <x v="3"/>
    <x v="1"/>
    <x v="2"/>
    <n v="1"/>
    <x v="0"/>
    <s v="May"/>
    <s v="Q2"/>
    <n v="1"/>
    <e v="#REF!"/>
    <s v="Normal"/>
    <n v="1451"/>
  </r>
  <r>
    <s v="ORD-00436"/>
    <s v="C0418"/>
    <x v="7"/>
    <s v="2023-01"/>
    <s v="SR04"/>
    <x v="47"/>
    <m/>
    <m/>
    <n v="2"/>
    <n v="9999"/>
    <n v="20"/>
    <n v="3999.6"/>
    <n v="15998.4"/>
    <n v="2998.4"/>
    <x v="1"/>
    <x v="3"/>
    <x v="0"/>
    <x v="4"/>
    <m/>
    <x v="1"/>
    <s v="January"/>
    <s v="Q1"/>
    <m/>
    <e v="#REF!"/>
    <s v="Normal"/>
    <n v="1192"/>
  </r>
  <r>
    <s v="ORD-00437"/>
    <s v="C0062"/>
    <x v="8"/>
    <s v="2022-08"/>
    <s v="SR03"/>
    <x v="367"/>
    <d v="2022-08-08T00:00:00"/>
    <d v="2022-08-09T00:00:00"/>
    <n v="1"/>
    <n v="6999"/>
    <n v="10"/>
    <n v="699.9"/>
    <n v="6299.1"/>
    <n v="2099.1"/>
    <x v="0"/>
    <x v="4"/>
    <x v="4"/>
    <x v="0"/>
    <n v="1"/>
    <x v="0"/>
    <s v="August"/>
    <s v="Q3"/>
    <n v="3"/>
    <e v="#REF!"/>
    <s v="Normal"/>
    <n v="1364"/>
  </r>
  <r>
    <s v="ORD-00438"/>
    <s v="C0200"/>
    <x v="18"/>
    <s v="2023-03"/>
    <s v="SR07"/>
    <x v="368"/>
    <d v="2023-04-02T00:00:00"/>
    <d v="2023-04-04T00:00:00"/>
    <n v="5"/>
    <n v="26990"/>
    <n v="10"/>
    <n v="13495"/>
    <n v="121455"/>
    <n v="31455"/>
    <x v="0"/>
    <x v="1"/>
    <x v="2"/>
    <x v="1"/>
    <n v="2"/>
    <x v="1"/>
    <s v="March"/>
    <s v="Q1"/>
    <n v="6"/>
    <e v="#REF!"/>
    <s v="Normal"/>
    <n v="1130"/>
  </r>
  <r>
    <s v="ORD-00439"/>
    <s v="C0211"/>
    <x v="13"/>
    <s v="2022-07"/>
    <s v="SR08"/>
    <x v="369"/>
    <m/>
    <m/>
    <n v="5"/>
    <n v="12999"/>
    <n v="0"/>
    <n v="0"/>
    <n v="64995"/>
    <n v="24995"/>
    <x v="2"/>
    <x v="0"/>
    <x v="2"/>
    <x v="0"/>
    <m/>
    <x v="0"/>
    <s v="July"/>
    <s v="Q3"/>
    <m/>
    <e v="#REF!"/>
    <s v="Normal"/>
    <n v="1372"/>
  </r>
  <r>
    <s v="ORD-00440"/>
    <s v="C0308"/>
    <x v="7"/>
    <s v="2022-09"/>
    <s v="SR07"/>
    <x v="370"/>
    <d v="2022-10-02T00:00:00"/>
    <d v="2022-10-04T00:00:00"/>
    <n v="4"/>
    <n v="9999"/>
    <n v="0"/>
    <n v="0"/>
    <n v="39996"/>
    <n v="13996"/>
    <x v="0"/>
    <x v="0"/>
    <x v="2"/>
    <x v="1"/>
    <n v="5"/>
    <x v="0"/>
    <s v="September"/>
    <s v="Q3"/>
    <n v="2"/>
    <e v="#REF!"/>
    <s v="Normal"/>
    <n v="1308"/>
  </r>
  <r>
    <s v="ORD-00441"/>
    <s v="C0467"/>
    <x v="15"/>
    <s v="2024-02"/>
    <s v="SR06"/>
    <x v="67"/>
    <m/>
    <m/>
    <n v="2"/>
    <n v="2499"/>
    <n v="20"/>
    <n v="999.6"/>
    <n v="3998.4"/>
    <n v="1598.4"/>
    <x v="1"/>
    <x v="2"/>
    <x v="2"/>
    <x v="2"/>
    <m/>
    <x v="2"/>
    <s v="February"/>
    <s v="Q1"/>
    <m/>
    <e v="#REF!"/>
    <s v="Normal"/>
    <n v="797"/>
  </r>
  <r>
    <s v="ORD-00442"/>
    <s v="C0120"/>
    <x v="5"/>
    <s v="2023-09"/>
    <s v="SR04"/>
    <x v="371"/>
    <d v="2023-10-01T00:00:00"/>
    <d v="2023-10-04T00:00:00"/>
    <n v="2"/>
    <n v="79999"/>
    <n v="0"/>
    <n v="0"/>
    <n v="159998"/>
    <n v="49998"/>
    <x v="0"/>
    <x v="1"/>
    <x v="3"/>
    <x v="4"/>
    <n v="3"/>
    <x v="1"/>
    <s v="September"/>
    <s v="Q3"/>
    <n v="6"/>
    <e v="#REF!"/>
    <s v="Normal"/>
    <n v="948"/>
  </r>
  <r>
    <s v="ORD-00443"/>
    <s v="C0256"/>
    <x v="13"/>
    <s v="2022-11"/>
    <s v="SR03"/>
    <x v="372"/>
    <d v="2022-11-09T00:00:00"/>
    <d v="2022-11-09T00:00:00"/>
    <n v="2"/>
    <n v="12999"/>
    <n v="15"/>
    <n v="3899.7"/>
    <n v="22098.3"/>
    <n v="6098.3"/>
    <x v="0"/>
    <x v="4"/>
    <x v="4"/>
    <x v="0"/>
    <n v="2"/>
    <x v="0"/>
    <s v="November"/>
    <s v="Q4"/>
    <n v="2"/>
    <e v="#REF!"/>
    <s v="Normal"/>
    <n v="1270"/>
  </r>
  <r>
    <s v="ORD-00444"/>
    <s v="C0143"/>
    <x v="7"/>
    <s v="2024-12"/>
    <s v="SR03"/>
    <x v="82"/>
    <d v="2024-12-08T00:00:00"/>
    <d v="2024-12-10T00:00:00"/>
    <n v="1"/>
    <n v="9999"/>
    <n v="5"/>
    <n v="499.95"/>
    <n v="9499.0499999999993"/>
    <n v="2999.05"/>
    <x v="0"/>
    <x v="4"/>
    <x v="4"/>
    <x v="0"/>
    <n v="3"/>
    <x v="2"/>
    <s v="December"/>
    <s v="Q4"/>
    <n v="6"/>
    <e v="#REF!"/>
    <s v="Normal"/>
    <n v="514"/>
  </r>
  <r>
    <s v="ORD-00445"/>
    <s v="C0125"/>
    <x v="18"/>
    <s v="2023-05"/>
    <s v="SR01"/>
    <x v="373"/>
    <m/>
    <m/>
    <n v="2"/>
    <n v="26990"/>
    <n v="10"/>
    <n v="5398"/>
    <n v="48582"/>
    <n v="12582"/>
    <x v="2"/>
    <x v="2"/>
    <x v="4"/>
    <x v="2"/>
    <m/>
    <x v="1"/>
    <s v="May"/>
    <s v="Q2"/>
    <m/>
    <e v="#REF!"/>
    <s v="Normal"/>
    <n v="1072"/>
  </r>
  <r>
    <s v="ORD-00446"/>
    <s v="C0094"/>
    <x v="19"/>
    <s v="2022-05"/>
    <s v="SR05"/>
    <x v="374"/>
    <d v="2022-05-14T00:00:00"/>
    <d v="2022-05-15T00:00:00"/>
    <n v="1"/>
    <n v="64999"/>
    <n v="0"/>
    <n v="0"/>
    <n v="64999"/>
    <n v="19999"/>
    <x v="0"/>
    <x v="5"/>
    <x v="3"/>
    <x v="3"/>
    <n v="1"/>
    <x v="0"/>
    <s v="May"/>
    <s v="Q2"/>
    <n v="1"/>
    <e v="#REF!"/>
    <s v="Normal"/>
    <n v="1448"/>
  </r>
  <r>
    <s v="ORD-00447"/>
    <s v="C0089"/>
    <x v="15"/>
    <s v="2023-04"/>
    <s v="SR02"/>
    <x v="146"/>
    <m/>
    <m/>
    <n v="1"/>
    <n v="2499"/>
    <n v="10"/>
    <n v="249.9"/>
    <n v="2249.1"/>
    <n v="1049.0999999999999"/>
    <x v="1"/>
    <x v="4"/>
    <x v="0"/>
    <x v="1"/>
    <m/>
    <x v="1"/>
    <s v="April"/>
    <s v="Q2"/>
    <m/>
    <e v="#REF!"/>
    <s v="Normal"/>
    <n v="1097"/>
  </r>
  <r>
    <s v="ORD-00448"/>
    <s v="C0160"/>
    <x v="16"/>
    <s v="2023-05"/>
    <s v="SR04"/>
    <x v="122"/>
    <d v="2023-05-19T00:00:00"/>
    <d v="2023-05-20T00:00:00"/>
    <n v="3"/>
    <n v="38999"/>
    <n v="5"/>
    <n v="5849.85"/>
    <n v="111147.15"/>
    <n v="30147.15"/>
    <x v="0"/>
    <x v="2"/>
    <x v="0"/>
    <x v="4"/>
    <n v="2"/>
    <x v="1"/>
    <s v="May"/>
    <s v="Q2"/>
    <n v="2"/>
    <e v="#REF!"/>
    <s v="Normal"/>
    <n v="1079"/>
  </r>
  <r>
    <s v="ORD-00449"/>
    <s v="C0140"/>
    <x v="14"/>
    <s v="2024-01"/>
    <s v="SR01"/>
    <x v="375"/>
    <d v="2024-01-11T00:00:00"/>
    <d v="2024-01-12T00:00:00"/>
    <n v="4"/>
    <n v="29999"/>
    <n v="15"/>
    <n v="17999.400000000001"/>
    <n v="101996.6"/>
    <n v="21996.6"/>
    <x v="0"/>
    <x v="3"/>
    <x v="1"/>
    <x v="2"/>
    <n v="5"/>
    <x v="2"/>
    <s v="January"/>
    <s v="Q1"/>
    <n v="4"/>
    <e v="#REF!"/>
    <s v="Normal"/>
    <n v="844"/>
  </r>
  <r>
    <s v="ORD-00450"/>
    <s v="C0377"/>
    <x v="3"/>
    <s v="2024-09"/>
    <s v="SR03"/>
    <x v="376"/>
    <d v="2024-09-21T00:00:00"/>
    <d v="2024-09-24T00:00:00"/>
    <n v="4"/>
    <n v="24999"/>
    <n v="0"/>
    <n v="0"/>
    <n v="99996"/>
    <n v="31996"/>
    <x v="0"/>
    <x v="0"/>
    <x v="1"/>
    <x v="0"/>
    <n v="5"/>
    <x v="2"/>
    <s v="September"/>
    <s v="Q3"/>
    <n v="7"/>
    <e v="#REF!"/>
    <s v="Normal"/>
    <n v="593"/>
  </r>
  <r>
    <s v="ORD-00451"/>
    <s v="C0079"/>
    <x v="6"/>
    <s v="2023-06"/>
    <s v="SR02"/>
    <x v="145"/>
    <d v="2023-06-15T00:00:00"/>
    <d v="2023-06-17T00:00:00"/>
    <n v="4"/>
    <n v="54999"/>
    <n v="5"/>
    <n v="10999.8"/>
    <n v="208996.2"/>
    <n v="56996.2"/>
    <x v="0"/>
    <x v="3"/>
    <x v="1"/>
    <x v="1"/>
    <n v="5"/>
    <x v="1"/>
    <s v="June"/>
    <s v="Q2"/>
    <n v="4"/>
    <e v="#REF!"/>
    <s v="Normal"/>
    <n v="1054"/>
  </r>
  <r>
    <s v="ORD-00452"/>
    <s v="C0247"/>
    <x v="20"/>
    <s v="2022-10"/>
    <s v="SR07"/>
    <x v="377"/>
    <m/>
    <m/>
    <n v="4"/>
    <n v="114900"/>
    <n v="5"/>
    <n v="22980"/>
    <n v="436620"/>
    <n v="96620"/>
    <x v="2"/>
    <x v="5"/>
    <x v="3"/>
    <x v="1"/>
    <m/>
    <x v="0"/>
    <s v="October"/>
    <s v="Q4"/>
    <m/>
    <e v="#REF!"/>
    <s v="High Outlier"/>
    <n v="1301"/>
  </r>
  <r>
    <s v="ORD-00453"/>
    <s v="C0003"/>
    <x v="5"/>
    <s v="2024-10"/>
    <s v="SR06"/>
    <x v="267"/>
    <d v="2024-10-07T00:00:00"/>
    <d v="2024-10-10T00:00:00"/>
    <n v="3"/>
    <n v="79999"/>
    <n v="10"/>
    <n v="23999.7"/>
    <n v="215997.3"/>
    <n v="50997.3"/>
    <x v="0"/>
    <x v="3"/>
    <x v="4"/>
    <x v="2"/>
    <n v="5"/>
    <x v="2"/>
    <s v="October"/>
    <s v="Q4"/>
    <n v="4"/>
    <e v="#REF!"/>
    <s v="Normal"/>
    <n v="574"/>
  </r>
  <r>
    <s v="ORD-00454"/>
    <s v="C0037"/>
    <x v="3"/>
    <s v="2022-09"/>
    <s v="SR01"/>
    <x v="378"/>
    <d v="2022-09-17T00:00:00"/>
    <d v="2022-09-18T00:00:00"/>
    <n v="2"/>
    <n v="24999"/>
    <n v="10"/>
    <n v="4999.8"/>
    <n v="44998.2"/>
    <n v="10998.2"/>
    <x v="0"/>
    <x v="0"/>
    <x v="4"/>
    <x v="2"/>
    <n v="5"/>
    <x v="0"/>
    <s v="September"/>
    <s v="Q3"/>
    <n v="5"/>
    <e v="#REF!"/>
    <s v="Normal"/>
    <n v="1326"/>
  </r>
  <r>
    <s v="ORD-00455"/>
    <s v="C0364"/>
    <x v="14"/>
    <s v="2022-04"/>
    <s v="SR05"/>
    <x v="295"/>
    <m/>
    <m/>
    <n v="4"/>
    <n v="29999"/>
    <n v="10"/>
    <n v="11999.6"/>
    <n v="107996.4"/>
    <n v="27996.400000000001"/>
    <x v="2"/>
    <x v="4"/>
    <x v="3"/>
    <x v="3"/>
    <m/>
    <x v="0"/>
    <s v="April"/>
    <s v="Q2"/>
    <m/>
    <e v="#REF!"/>
    <s v="Normal"/>
    <n v="1462"/>
  </r>
  <r>
    <s v="ORD-00456"/>
    <s v="C0125"/>
    <x v="14"/>
    <s v="2024-01"/>
    <s v="SR01"/>
    <x v="13"/>
    <m/>
    <m/>
    <n v="1"/>
    <n v="29999"/>
    <n v="0"/>
    <n v="0"/>
    <n v="29999"/>
    <n v="9999"/>
    <x v="2"/>
    <x v="0"/>
    <x v="1"/>
    <x v="2"/>
    <m/>
    <x v="2"/>
    <s v="January"/>
    <s v="Q1"/>
    <m/>
    <e v="#REF!"/>
    <s v="Normal"/>
    <n v="840"/>
  </r>
  <r>
    <s v="ORD-00457"/>
    <s v="C0234"/>
    <x v="9"/>
    <s v="2023-06"/>
    <s v="SR04"/>
    <x v="379"/>
    <d v="2023-06-10T00:00:00"/>
    <d v="2023-06-11T00:00:00"/>
    <n v="1"/>
    <n v="7499"/>
    <n v="0"/>
    <n v="0"/>
    <n v="7499"/>
    <n v="2699"/>
    <x v="0"/>
    <x v="1"/>
    <x v="0"/>
    <x v="4"/>
    <n v="4"/>
    <x v="1"/>
    <s v="June"/>
    <s v="Q2"/>
    <n v="5"/>
    <e v="#REF!"/>
    <s v="Normal"/>
    <n v="1060"/>
  </r>
  <r>
    <s v="ORD-00458"/>
    <s v="C0362"/>
    <x v="15"/>
    <s v="2024-11"/>
    <s v="SR02"/>
    <x v="380"/>
    <d v="2024-12-01T00:00:00"/>
    <d v="2024-12-02T00:00:00"/>
    <n v="4"/>
    <n v="2499"/>
    <n v="5"/>
    <n v="499.8"/>
    <n v="9496.2000000000007"/>
    <n v="4696.2"/>
    <x v="0"/>
    <x v="4"/>
    <x v="4"/>
    <x v="1"/>
    <n v="5"/>
    <x v="2"/>
    <s v="November"/>
    <s v="Q4"/>
    <n v="4"/>
    <e v="#REF!"/>
    <s v="Normal"/>
    <n v="519"/>
  </r>
  <r>
    <s v="ORD-00459"/>
    <s v="C0496"/>
    <x v="6"/>
    <s v="2023-09"/>
    <s v="SR07"/>
    <x v="381"/>
    <m/>
    <m/>
    <n v="4"/>
    <n v="54999"/>
    <n v="0"/>
    <n v="0"/>
    <n v="219996"/>
    <n v="67996"/>
    <x v="2"/>
    <x v="1"/>
    <x v="1"/>
    <x v="1"/>
    <m/>
    <x v="1"/>
    <s v="September"/>
    <s v="Q3"/>
    <m/>
    <e v="#REF!"/>
    <s v="Normal"/>
    <n v="950"/>
  </r>
  <r>
    <s v="ORD-00460"/>
    <s v="C0398"/>
    <x v="17"/>
    <s v="2023-07"/>
    <s v="SR02"/>
    <x v="382"/>
    <m/>
    <m/>
    <n v="2"/>
    <n v="41900"/>
    <n v="10"/>
    <n v="8380"/>
    <n v="75420"/>
    <n v="19420"/>
    <x v="2"/>
    <x v="4"/>
    <x v="4"/>
    <x v="1"/>
    <m/>
    <x v="1"/>
    <s v="July"/>
    <s v="Q3"/>
    <m/>
    <e v="#REF!"/>
    <s v="Normal"/>
    <n v="1030"/>
  </r>
  <r>
    <s v="ORD-00461"/>
    <s v="C0004"/>
    <x v="16"/>
    <s v="2022-01"/>
    <s v="SR06"/>
    <x v="383"/>
    <d v="2022-01-05T00:00:00"/>
    <d v="2022-01-08T00:00:00"/>
    <n v="5"/>
    <n v="38999"/>
    <n v="10"/>
    <n v="19499.5"/>
    <n v="175495.5"/>
    <n v="40495.5"/>
    <x v="0"/>
    <x v="4"/>
    <x v="4"/>
    <x v="2"/>
    <n v="4"/>
    <x v="0"/>
    <s v="January"/>
    <s v="Q1"/>
    <n v="1"/>
    <e v="#REF!"/>
    <s v="Normal"/>
    <n v="1577"/>
  </r>
  <r>
    <s v="ORD-00462"/>
    <s v="C0088"/>
    <x v="16"/>
    <s v="2023-01"/>
    <s v="SR06"/>
    <x v="384"/>
    <m/>
    <m/>
    <n v="2"/>
    <n v="38999"/>
    <n v="5"/>
    <n v="3899.9"/>
    <n v="74098.100000000006"/>
    <n v="20098.099999999999"/>
    <x v="2"/>
    <x v="3"/>
    <x v="3"/>
    <x v="2"/>
    <m/>
    <x v="1"/>
    <s v="January"/>
    <s v="Q1"/>
    <m/>
    <e v="#REF!"/>
    <s v="Normal"/>
    <n v="1199"/>
  </r>
  <r>
    <s v="ORD-00463"/>
    <s v="C0258"/>
    <x v="10"/>
    <s v="2023-03"/>
    <s v="SR07"/>
    <x v="305"/>
    <d v="2023-03-14T00:00:00"/>
    <d v="2023-03-14T00:00:00"/>
    <n v="2"/>
    <n v="55990"/>
    <n v="5"/>
    <n v="5599"/>
    <n v="106381"/>
    <n v="26381"/>
    <x v="0"/>
    <x v="0"/>
    <x v="0"/>
    <x v="1"/>
    <n v="4"/>
    <x v="1"/>
    <s v="March"/>
    <s v="Q1"/>
    <n v="2"/>
    <e v="#REF!"/>
    <s v="Normal"/>
    <n v="1145"/>
  </r>
  <r>
    <s v="ORD-00464"/>
    <s v="C0321"/>
    <x v="0"/>
    <s v="2022-12"/>
    <s v="SR01"/>
    <x v="385"/>
    <d v="2022-12-10T00:00:00"/>
    <d v="2022-12-10T00:00:00"/>
    <n v="4"/>
    <n v="3499"/>
    <n v="0"/>
    <n v="0"/>
    <n v="13996"/>
    <n v="6796"/>
    <x v="0"/>
    <x v="0"/>
    <x v="2"/>
    <x v="2"/>
    <n v="3"/>
    <x v="0"/>
    <s v="December"/>
    <s v="Q4"/>
    <n v="3"/>
    <e v="#REF!"/>
    <s v="Normal"/>
    <n v="1240"/>
  </r>
  <r>
    <s v="ORD-00465"/>
    <s v="C0016"/>
    <x v="15"/>
    <s v="2024-09"/>
    <s v="SR04"/>
    <x v="386"/>
    <d v="2024-09-11T00:00:00"/>
    <d v="2024-09-11T00:00:00"/>
    <n v="1"/>
    <n v="2499"/>
    <n v="0"/>
    <n v="0"/>
    <n v="2499"/>
    <n v="1299"/>
    <x v="0"/>
    <x v="0"/>
    <x v="2"/>
    <x v="4"/>
    <n v="5"/>
    <x v="2"/>
    <s v="September"/>
    <s v="Q3"/>
    <n v="6"/>
    <e v="#REF!"/>
    <s v="Normal"/>
    <n v="602"/>
  </r>
  <r>
    <s v="ORD-00466"/>
    <s v="C0405"/>
    <x v="24"/>
    <s v="2023-03"/>
    <s v="SR03"/>
    <x v="387"/>
    <m/>
    <m/>
    <n v="1"/>
    <n v="69999"/>
    <n v="10"/>
    <n v="6999.9"/>
    <n v="62999.1"/>
    <n v="14999.1"/>
    <x v="1"/>
    <x v="2"/>
    <x v="1"/>
    <x v="0"/>
    <m/>
    <x v="1"/>
    <s v="March"/>
    <s v="Q1"/>
    <m/>
    <e v="#REF!"/>
    <s v="Normal"/>
    <n v="1148"/>
  </r>
  <r>
    <s v="ORD-00467"/>
    <s v="C0493"/>
    <x v="12"/>
    <s v="2024-09"/>
    <s v="SR05"/>
    <x v="388"/>
    <d v="2024-09-29T00:00:00"/>
    <d v="2024-10-01T00:00:00"/>
    <n v="5"/>
    <n v="1599"/>
    <n v="10"/>
    <n v="799.5"/>
    <n v="7195.5"/>
    <n v="3195.5"/>
    <x v="0"/>
    <x v="0"/>
    <x v="4"/>
    <x v="3"/>
    <n v="3"/>
    <x v="2"/>
    <s v="September"/>
    <s v="Q3"/>
    <n v="7"/>
    <e v="#REF!"/>
    <s v="Normal"/>
    <n v="585"/>
  </r>
  <r>
    <s v="ORD-00468"/>
    <s v="C0162"/>
    <x v="8"/>
    <s v="2024-03"/>
    <s v="SR07"/>
    <x v="389"/>
    <d v="2024-04-01T00:00:00"/>
    <d v="2024-04-01T00:00:00"/>
    <n v="3"/>
    <n v="6999"/>
    <n v="10"/>
    <n v="2099.6999999999998"/>
    <n v="18897.3"/>
    <n v="6297.3"/>
    <x v="0"/>
    <x v="1"/>
    <x v="2"/>
    <x v="1"/>
    <n v="4"/>
    <x v="2"/>
    <s v="March"/>
    <s v="Q1"/>
    <n v="5"/>
    <e v="#REF!"/>
    <s v="Normal"/>
    <n v="764"/>
  </r>
  <r>
    <s v="ORD-00469"/>
    <s v="C0446"/>
    <x v="22"/>
    <s v="2022-10"/>
    <s v="SR06"/>
    <x v="352"/>
    <d v="2022-10-17T00:00:00"/>
    <d v="2022-10-17T00:00:00"/>
    <n v="5"/>
    <n v="5999"/>
    <n v="5"/>
    <n v="1499.75"/>
    <n v="28495.25"/>
    <n v="9495.25"/>
    <x v="0"/>
    <x v="4"/>
    <x v="3"/>
    <x v="2"/>
    <n v="3"/>
    <x v="0"/>
    <s v="October"/>
    <s v="Q4"/>
    <n v="5"/>
    <e v="#REF!"/>
    <s v="Normal"/>
    <n v="1296"/>
  </r>
  <r>
    <s v="ORD-00470"/>
    <s v="C0232"/>
    <x v="0"/>
    <s v="2024-11"/>
    <s v="SR07"/>
    <x v="390"/>
    <d v="2024-11-26T00:00:00"/>
    <d v="2024-11-27T00:00:00"/>
    <n v="1"/>
    <n v="3499"/>
    <n v="10"/>
    <n v="349.9"/>
    <n v="3149.1"/>
    <n v="1349.1"/>
    <x v="0"/>
    <x v="1"/>
    <x v="4"/>
    <x v="1"/>
    <n v="1"/>
    <x v="2"/>
    <s v="November"/>
    <s v="Q4"/>
    <n v="6"/>
    <e v="#REF!"/>
    <s v="Normal"/>
    <n v="526"/>
  </r>
  <r>
    <s v="ORD-00471"/>
    <s v="C0497"/>
    <x v="2"/>
    <s v="2024-06"/>
    <s v="SR06"/>
    <x v="391"/>
    <d v="2024-07-03T00:00:00"/>
    <d v="2024-07-06T00:00:00"/>
    <n v="4"/>
    <n v="4999"/>
    <n v="0"/>
    <n v="0"/>
    <n v="19996"/>
    <n v="8796"/>
    <x v="0"/>
    <x v="0"/>
    <x v="0"/>
    <x v="2"/>
    <n v="4"/>
    <x v="2"/>
    <s v="June"/>
    <s v="Q2"/>
    <n v="5"/>
    <e v="#REF!"/>
    <s v="Normal"/>
    <n v="671"/>
  </r>
  <r>
    <s v="ORD-00472"/>
    <s v="C0338"/>
    <x v="22"/>
    <s v="2024-02"/>
    <s v="SR05"/>
    <x v="392"/>
    <d v="2024-03-04T00:00:00"/>
    <d v="2024-03-05T00:00:00"/>
    <n v="2"/>
    <n v="5999"/>
    <n v="20"/>
    <n v="2399.6"/>
    <n v="9598.4"/>
    <n v="1998.4"/>
    <x v="0"/>
    <x v="2"/>
    <x v="1"/>
    <x v="3"/>
    <n v="1"/>
    <x v="2"/>
    <s v="February"/>
    <s v="Q1"/>
    <n v="5"/>
    <e v="#REF!"/>
    <s v="Normal"/>
    <n v="792"/>
  </r>
  <r>
    <s v="ORD-00473"/>
    <s v="C0066"/>
    <x v="14"/>
    <s v="2023-09"/>
    <s v="SR02"/>
    <x v="393"/>
    <m/>
    <m/>
    <n v="5"/>
    <n v="29999"/>
    <n v="15"/>
    <n v="22499.25"/>
    <n v="127495.75"/>
    <n v="27495.75"/>
    <x v="2"/>
    <x v="5"/>
    <x v="0"/>
    <x v="1"/>
    <m/>
    <x v="1"/>
    <s v="September"/>
    <s v="Q3"/>
    <m/>
    <e v="#REF!"/>
    <s v="Normal"/>
    <n v="963"/>
  </r>
  <r>
    <s v="ORD-00474"/>
    <s v="C0489"/>
    <x v="10"/>
    <s v="2023-05"/>
    <s v="SR05"/>
    <x v="394"/>
    <d v="2023-05-11T00:00:00"/>
    <d v="2023-05-12T00:00:00"/>
    <n v="1"/>
    <n v="55990"/>
    <n v="0"/>
    <n v="0"/>
    <n v="55990"/>
    <n v="15990"/>
    <x v="0"/>
    <x v="3"/>
    <x v="2"/>
    <x v="3"/>
    <n v="2"/>
    <x v="1"/>
    <s v="May"/>
    <s v="Q2"/>
    <n v="2"/>
    <e v="#REF!"/>
    <s v="Normal"/>
    <n v="1087"/>
  </r>
  <r>
    <s v="ORD-00475"/>
    <s v="C0476"/>
    <x v="7"/>
    <s v="2023-07"/>
    <s v="SR08"/>
    <x v="395"/>
    <d v="2023-08-04T00:00:00"/>
    <d v="2023-08-06T00:00:00"/>
    <n v="4"/>
    <n v="9999"/>
    <n v="0"/>
    <n v="0"/>
    <n v="39996"/>
    <n v="13996"/>
    <x v="0"/>
    <x v="4"/>
    <x v="3"/>
    <x v="0"/>
    <n v="5"/>
    <x v="1"/>
    <s v="July"/>
    <s v="Q3"/>
    <n v="6"/>
    <e v="#REF!"/>
    <s v="Normal"/>
    <n v="1006"/>
  </r>
  <r>
    <s v="ORD-00476"/>
    <s v="C0325"/>
    <x v="2"/>
    <s v="2022-07"/>
    <s v="SR06"/>
    <x v="93"/>
    <m/>
    <m/>
    <n v="3"/>
    <n v="4999"/>
    <n v="5"/>
    <n v="749.85"/>
    <n v="14247.15"/>
    <n v="5847.15"/>
    <x v="2"/>
    <x v="2"/>
    <x v="1"/>
    <x v="2"/>
    <m/>
    <x v="0"/>
    <s v="July"/>
    <s v="Q3"/>
    <m/>
    <e v="#REF!"/>
    <s v="Normal"/>
    <n v="1395"/>
  </r>
  <r>
    <s v="ORD-00477"/>
    <s v="C0034"/>
    <x v="11"/>
    <s v="2024-02"/>
    <s v="SR06"/>
    <x v="396"/>
    <m/>
    <m/>
    <n v="4"/>
    <n v="8495"/>
    <n v="20"/>
    <n v="6796"/>
    <n v="27184"/>
    <n v="5184"/>
    <x v="2"/>
    <x v="3"/>
    <x v="3"/>
    <x v="2"/>
    <m/>
    <x v="2"/>
    <s v="February"/>
    <s v="Q1"/>
    <m/>
    <e v="#REF!"/>
    <s v="Normal"/>
    <n v="808"/>
  </r>
  <r>
    <s v="ORD-00478"/>
    <s v="C0115"/>
    <x v="4"/>
    <s v="2023-08"/>
    <s v="SR01"/>
    <x v="275"/>
    <d v="2023-08-20T00:00:00"/>
    <d v="2023-08-20T00:00:00"/>
    <n v="3"/>
    <n v="29900"/>
    <n v="5"/>
    <n v="4485"/>
    <n v="85215"/>
    <n v="25215"/>
    <x v="0"/>
    <x v="4"/>
    <x v="2"/>
    <x v="2"/>
    <n v="5"/>
    <x v="1"/>
    <s v="August"/>
    <s v="Q3"/>
    <n v="1"/>
    <e v="#REF!"/>
    <s v="Normal"/>
    <n v="985"/>
  </r>
  <r>
    <s v="ORD-00479"/>
    <s v="C0189"/>
    <x v="23"/>
    <s v="2024-02"/>
    <s v="SR08"/>
    <x v="320"/>
    <m/>
    <m/>
    <n v="1"/>
    <n v="49990"/>
    <n v="5"/>
    <n v="2499.5"/>
    <n v="47490.5"/>
    <n v="12490.5"/>
    <x v="1"/>
    <x v="1"/>
    <x v="1"/>
    <x v="0"/>
    <m/>
    <x v="2"/>
    <s v="February"/>
    <s v="Q1"/>
    <m/>
    <e v="#REF!"/>
    <s v="Normal"/>
    <n v="802"/>
  </r>
  <r>
    <s v="ORD-00480"/>
    <s v="C0275"/>
    <x v="18"/>
    <s v="2024-05"/>
    <s v="SR06"/>
    <x v="397"/>
    <d v="2024-05-24T00:00:00"/>
    <d v="2024-05-26T00:00:00"/>
    <n v="2"/>
    <n v="26990"/>
    <n v="20"/>
    <n v="10796"/>
    <n v="43184"/>
    <n v="7184"/>
    <x v="0"/>
    <x v="4"/>
    <x v="1"/>
    <x v="2"/>
    <n v="5"/>
    <x v="2"/>
    <s v="May"/>
    <s v="Q2"/>
    <n v="7"/>
    <e v="#REF!"/>
    <s v="Normal"/>
    <n v="713"/>
  </r>
  <r>
    <s v="ORD-00481"/>
    <s v="C0114"/>
    <x v="10"/>
    <s v="2022-01"/>
    <s v="SR04"/>
    <x v="398"/>
    <m/>
    <m/>
    <n v="4"/>
    <n v="55990"/>
    <n v="10"/>
    <n v="22396"/>
    <n v="201564"/>
    <n v="41564"/>
    <x v="1"/>
    <x v="5"/>
    <x v="4"/>
    <x v="4"/>
    <m/>
    <x v="0"/>
    <s v="January"/>
    <s v="Q1"/>
    <m/>
    <e v="#REF!"/>
    <s v="Normal"/>
    <n v="1562"/>
  </r>
  <r>
    <s v="ORD-00482"/>
    <s v="C0429"/>
    <x v="8"/>
    <s v="2024-07"/>
    <s v="SR06"/>
    <x v="399"/>
    <d v="2024-07-27T00:00:00"/>
    <d v="2024-07-29T00:00:00"/>
    <n v="2"/>
    <n v="6999"/>
    <n v="0"/>
    <n v="0"/>
    <n v="13998"/>
    <n v="5598"/>
    <x v="0"/>
    <x v="2"/>
    <x v="4"/>
    <x v="2"/>
    <n v="3"/>
    <x v="2"/>
    <s v="July"/>
    <s v="Q3"/>
    <n v="5"/>
    <e v="#REF!"/>
    <s v="Normal"/>
    <n v="647"/>
  </r>
  <r>
    <s v="ORD-00483"/>
    <s v="C0258"/>
    <x v="22"/>
    <s v="2023-07"/>
    <s v="SR02"/>
    <x v="400"/>
    <m/>
    <m/>
    <n v="5"/>
    <n v="5999"/>
    <n v="15"/>
    <n v="4499.25"/>
    <n v="25495.75"/>
    <n v="6495.75"/>
    <x v="2"/>
    <x v="4"/>
    <x v="3"/>
    <x v="1"/>
    <m/>
    <x v="1"/>
    <s v="July"/>
    <s v="Q3"/>
    <m/>
    <e v="#REF!"/>
    <s v="Normal"/>
    <n v="1020"/>
  </r>
  <r>
    <s v="ORD-00484"/>
    <s v="C0254"/>
    <x v="13"/>
    <s v="2022-05"/>
    <s v="SR08"/>
    <x v="401"/>
    <d v="2022-05-03T00:00:00"/>
    <d v="2022-05-04T00:00:00"/>
    <n v="2"/>
    <n v="12999"/>
    <n v="0"/>
    <n v="0"/>
    <n v="25998"/>
    <n v="9998"/>
    <x v="0"/>
    <x v="5"/>
    <x v="0"/>
    <x v="0"/>
    <n v="4"/>
    <x v="0"/>
    <s v="May"/>
    <s v="Q2"/>
    <n v="2"/>
    <e v="#REF!"/>
    <s v="Normal"/>
    <n v="1460"/>
  </r>
  <r>
    <s v="ORD-00485"/>
    <s v="C0154"/>
    <x v="9"/>
    <s v="2022-02"/>
    <s v="SR01"/>
    <x v="62"/>
    <m/>
    <m/>
    <n v="4"/>
    <n v="7499"/>
    <n v="10"/>
    <n v="2999.6"/>
    <n v="26996.400000000001"/>
    <n v="7796.4"/>
    <x v="1"/>
    <x v="3"/>
    <x v="0"/>
    <x v="2"/>
    <m/>
    <x v="0"/>
    <s v="February"/>
    <s v="Q1"/>
    <m/>
    <e v="#REF!"/>
    <s v="Normal"/>
    <n v="1536"/>
  </r>
  <r>
    <s v="ORD-00486"/>
    <s v="C0179"/>
    <x v="12"/>
    <s v="2024-03"/>
    <s v="SR07"/>
    <x v="360"/>
    <d v="2024-03-16T00:00:00"/>
    <d v="2024-03-18T00:00:00"/>
    <n v="3"/>
    <n v="1599"/>
    <n v="5"/>
    <n v="239.85"/>
    <n v="4557.1499999999996"/>
    <n v="2157.15"/>
    <x v="0"/>
    <x v="4"/>
    <x v="1"/>
    <x v="1"/>
    <n v="4"/>
    <x v="2"/>
    <s v="March"/>
    <s v="Q1"/>
    <n v="5"/>
    <e v="#REF!"/>
    <s v="Normal"/>
    <n v="780"/>
  </r>
  <r>
    <s v="ORD-00487"/>
    <s v="C0050"/>
    <x v="23"/>
    <s v="2022-04"/>
    <s v="SR06"/>
    <x v="402"/>
    <m/>
    <m/>
    <n v="3"/>
    <n v="49990"/>
    <n v="15"/>
    <n v="22495.5"/>
    <n v="127474.5"/>
    <n v="22474.5"/>
    <x v="2"/>
    <x v="4"/>
    <x v="3"/>
    <x v="2"/>
    <m/>
    <x v="0"/>
    <s v="April"/>
    <s v="Q2"/>
    <m/>
    <e v="#REF!"/>
    <s v="Normal"/>
    <n v="1470"/>
  </r>
  <r>
    <s v="ORD-00488"/>
    <s v="C0296"/>
    <x v="23"/>
    <s v="2024-09"/>
    <s v="SR06"/>
    <x v="286"/>
    <d v="2024-09-17T00:00:00"/>
    <d v="2024-09-18T00:00:00"/>
    <n v="2"/>
    <n v="49990"/>
    <n v="5"/>
    <n v="4999"/>
    <n v="94981"/>
    <n v="24981"/>
    <x v="0"/>
    <x v="4"/>
    <x v="2"/>
    <x v="2"/>
    <n v="3"/>
    <x v="2"/>
    <s v="September"/>
    <s v="Q3"/>
    <n v="2"/>
    <e v="#REF!"/>
    <s v="Normal"/>
    <n v="592"/>
  </r>
  <r>
    <s v="ORD-00489"/>
    <s v="C0372"/>
    <x v="15"/>
    <s v="2022-10"/>
    <s v="SR03"/>
    <x v="403"/>
    <d v="2022-11-03T00:00:00"/>
    <d v="2022-11-04T00:00:00"/>
    <n v="1"/>
    <n v="2499"/>
    <n v="0"/>
    <n v="0"/>
    <n v="2499"/>
    <n v="1299"/>
    <x v="0"/>
    <x v="0"/>
    <x v="0"/>
    <x v="0"/>
    <n v="2"/>
    <x v="0"/>
    <s v="October"/>
    <s v="Q4"/>
    <n v="4"/>
    <e v="#REF!"/>
    <s v="Normal"/>
    <n v="1278"/>
  </r>
  <r>
    <s v="ORD-00490"/>
    <s v="C0484"/>
    <x v="24"/>
    <s v="2024-11"/>
    <s v="SR02"/>
    <x v="404"/>
    <m/>
    <m/>
    <n v="3"/>
    <n v="69999"/>
    <n v="10"/>
    <n v="20999.7"/>
    <n v="188997.3"/>
    <n v="44997.3"/>
    <x v="2"/>
    <x v="5"/>
    <x v="0"/>
    <x v="1"/>
    <m/>
    <x v="2"/>
    <s v="November"/>
    <s v="Q4"/>
    <m/>
    <e v="#REF!"/>
    <s v="Normal"/>
    <n v="525"/>
  </r>
  <r>
    <s v="ORD-00491"/>
    <s v="C0126"/>
    <x v="24"/>
    <s v="2023-05"/>
    <s v="SR02"/>
    <x v="394"/>
    <d v="2023-05-13T00:00:00"/>
    <d v="2023-05-15T00:00:00"/>
    <n v="5"/>
    <n v="69999"/>
    <n v="0"/>
    <n v="0"/>
    <n v="349995"/>
    <n v="109995"/>
    <x v="0"/>
    <x v="4"/>
    <x v="0"/>
    <x v="1"/>
    <n v="1"/>
    <x v="1"/>
    <s v="May"/>
    <s v="Q2"/>
    <n v="4"/>
    <e v="#REF!"/>
    <s v="Normal"/>
    <n v="1087"/>
  </r>
  <r>
    <s v="ORD-00492"/>
    <s v="C0399"/>
    <x v="19"/>
    <s v="2023-07"/>
    <s v="SR07"/>
    <x v="405"/>
    <m/>
    <m/>
    <n v="4"/>
    <n v="64999"/>
    <n v="10"/>
    <n v="25999.599999999999"/>
    <n v="233996.4"/>
    <n v="53996.4"/>
    <x v="2"/>
    <x v="1"/>
    <x v="2"/>
    <x v="1"/>
    <m/>
    <x v="1"/>
    <s v="July"/>
    <s v="Q3"/>
    <m/>
    <e v="#REF!"/>
    <s v="Normal"/>
    <n v="1017"/>
  </r>
  <r>
    <s v="ORD-00493"/>
    <s v="C0060"/>
    <x v="20"/>
    <s v="2024-09"/>
    <s v="SR03"/>
    <x v="406"/>
    <m/>
    <m/>
    <n v="5"/>
    <n v="114900"/>
    <n v="5"/>
    <n v="28725"/>
    <n v="545775"/>
    <n v="120775"/>
    <x v="2"/>
    <x v="1"/>
    <x v="1"/>
    <x v="0"/>
    <m/>
    <x v="2"/>
    <s v="September"/>
    <s v="Q3"/>
    <m/>
    <e v="#REF!"/>
    <s v="High Outlier"/>
    <n v="579"/>
  </r>
  <r>
    <s v="ORD-00494"/>
    <s v="C0294"/>
    <x v="15"/>
    <s v="2023-07"/>
    <s v="SR04"/>
    <x v="400"/>
    <m/>
    <m/>
    <n v="1"/>
    <n v="2499"/>
    <n v="0"/>
    <n v="0"/>
    <n v="2499"/>
    <n v="1299"/>
    <x v="2"/>
    <x v="3"/>
    <x v="0"/>
    <x v="4"/>
    <m/>
    <x v="1"/>
    <s v="July"/>
    <s v="Q3"/>
    <m/>
    <e v="#REF!"/>
    <s v="Normal"/>
    <n v="1020"/>
  </r>
  <r>
    <s v="ORD-00495"/>
    <s v="C0331"/>
    <x v="22"/>
    <s v="2023-09"/>
    <s v="SR06"/>
    <x v="407"/>
    <m/>
    <m/>
    <n v="2"/>
    <n v="5999"/>
    <n v="0"/>
    <n v="0"/>
    <n v="11998"/>
    <n v="4398"/>
    <x v="1"/>
    <x v="0"/>
    <x v="2"/>
    <x v="2"/>
    <m/>
    <x v="1"/>
    <s v="September"/>
    <s v="Q3"/>
    <m/>
    <e v="#REF!"/>
    <s v="Normal"/>
    <n v="969"/>
  </r>
  <r>
    <s v="ORD-00496"/>
    <s v="C0366"/>
    <x v="6"/>
    <s v="2024-04"/>
    <s v="SR01"/>
    <x v="128"/>
    <m/>
    <m/>
    <n v="1"/>
    <n v="54999"/>
    <n v="10"/>
    <n v="5499.9"/>
    <n v="49499.1"/>
    <n v="11499.1"/>
    <x v="2"/>
    <x v="2"/>
    <x v="1"/>
    <x v="2"/>
    <m/>
    <x v="2"/>
    <s v="April"/>
    <s v="Q2"/>
    <m/>
    <e v="#REF!"/>
    <s v="Normal"/>
    <n v="750"/>
  </r>
  <r>
    <s v="ORD-00497"/>
    <s v="C0402"/>
    <x v="21"/>
    <s v="2022-05"/>
    <s v="SR07"/>
    <x v="24"/>
    <m/>
    <m/>
    <n v="5"/>
    <n v="59900"/>
    <n v="20"/>
    <n v="59900"/>
    <n v="239600"/>
    <n v="29600"/>
    <x v="1"/>
    <x v="4"/>
    <x v="2"/>
    <x v="1"/>
    <m/>
    <x v="0"/>
    <s v="May"/>
    <s v="Q2"/>
    <m/>
    <e v="#REF!"/>
    <s v="Normal"/>
    <n v="1450"/>
  </r>
  <r>
    <s v="ORD-00498"/>
    <s v="C0386"/>
    <x v="12"/>
    <s v="2022-08"/>
    <s v="SR01"/>
    <x v="408"/>
    <d v="2022-09-05T00:00:00"/>
    <d v="2022-09-06T00:00:00"/>
    <n v="1"/>
    <n v="1599"/>
    <n v="20"/>
    <n v="319.8"/>
    <n v="1279.2"/>
    <n v="479.2"/>
    <x v="0"/>
    <x v="3"/>
    <x v="4"/>
    <x v="2"/>
    <n v="1"/>
    <x v="0"/>
    <s v="August"/>
    <s v="Q3"/>
    <n v="7"/>
    <e v="#REF!"/>
    <s v="Normal"/>
    <n v="1340"/>
  </r>
  <r>
    <s v="ORD-00499"/>
    <s v="C0021"/>
    <x v="23"/>
    <s v="2022-11"/>
    <s v="SR03"/>
    <x v="197"/>
    <d v="2022-12-02T00:00:00"/>
    <d v="2022-12-04T00:00:00"/>
    <n v="1"/>
    <n v="49990"/>
    <n v="0"/>
    <n v="0"/>
    <n v="49990"/>
    <n v="14990"/>
    <x v="0"/>
    <x v="1"/>
    <x v="1"/>
    <x v="0"/>
    <n v="3"/>
    <x v="0"/>
    <s v="November"/>
    <s v="Q4"/>
    <n v="5"/>
    <e v="#REF!"/>
    <s v="Normal"/>
    <n v="1250"/>
  </r>
  <r>
    <s v="ORD-00500"/>
    <s v="C0187"/>
    <x v="6"/>
    <s v="2024-05"/>
    <s v="SR02"/>
    <x v="409"/>
    <m/>
    <m/>
    <n v="1"/>
    <n v="54999"/>
    <n v="5"/>
    <n v="2749.95"/>
    <n v="52249.05"/>
    <n v="14249.05"/>
    <x v="2"/>
    <x v="0"/>
    <x v="2"/>
    <x v="1"/>
    <m/>
    <x v="2"/>
    <s v="May"/>
    <s v="Q2"/>
    <m/>
    <e v="#REF!"/>
    <s v="Normal"/>
    <n v="7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76D7AF-92A6-4FED-9F07-1611FE0DBADB}" name="PivotTable3"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Channels" colHeaderCaption="Payment Method">
  <location ref="A62:H70" firstHeaderRow="1" firstDataRow="2" firstDataCol="1"/>
  <pivotFields count="30">
    <pivotField showAll="0"/>
    <pivotField showAll="0"/>
    <pivotField showAll="0"/>
    <pivotField showAll="0"/>
    <pivotField showAll="0"/>
    <pivotField numFmtId="14" showAll="0">
      <items count="411">
        <item x="383"/>
        <item x="308"/>
        <item x="258"/>
        <item x="118"/>
        <item x="264"/>
        <item x="339"/>
        <item x="31"/>
        <item x="398"/>
        <item x="39"/>
        <item x="89"/>
        <item x="138"/>
        <item x="76"/>
        <item x="113"/>
        <item x="19"/>
        <item x="239"/>
        <item x="284"/>
        <item x="62"/>
        <item x="119"/>
        <item x="312"/>
        <item x="163"/>
        <item x="354"/>
        <item x="230"/>
        <item x="180"/>
        <item x="141"/>
        <item x="256"/>
        <item x="61"/>
        <item x="0"/>
        <item x="283"/>
        <item x="80"/>
        <item x="289"/>
        <item x="41"/>
        <item x="176"/>
        <item x="73"/>
        <item x="168"/>
        <item x="287"/>
        <item x="214"/>
        <item x="100"/>
        <item x="123"/>
        <item x="332"/>
        <item x="148"/>
        <item x="77"/>
        <item x="402"/>
        <item x="254"/>
        <item x="38"/>
        <item x="336"/>
        <item x="295"/>
        <item x="401"/>
        <item x="155"/>
        <item x="143"/>
        <item x="167"/>
        <item x="24"/>
        <item x="374"/>
        <item x="343"/>
        <item x="159"/>
        <item x="53"/>
        <item x="3"/>
        <item x="55"/>
        <item x="66"/>
        <item x="22"/>
        <item x="161"/>
        <item x="25"/>
        <item x="294"/>
        <item x="182"/>
        <item x="207"/>
        <item x="260"/>
        <item x="93"/>
        <item x="116"/>
        <item x="63"/>
        <item x="18"/>
        <item x="125"/>
        <item x="240"/>
        <item x="149"/>
        <item x="52"/>
        <item x="313"/>
        <item x="369"/>
        <item x="367"/>
        <item x="279"/>
        <item x="45"/>
        <item x="333"/>
        <item x="353"/>
        <item x="153"/>
        <item x="127"/>
        <item x="5"/>
        <item x="201"/>
        <item x="408"/>
        <item x="228"/>
        <item x="43"/>
        <item x="306"/>
        <item x="152"/>
        <item x="251"/>
        <item x="324"/>
        <item x="299"/>
        <item x="378"/>
        <item x="26"/>
        <item x="135"/>
        <item x="11"/>
        <item x="70"/>
        <item x="69"/>
        <item x="370"/>
        <item x="170"/>
        <item x="347"/>
        <item x="377"/>
        <item x="216"/>
        <item x="190"/>
        <item x="352"/>
        <item x="165"/>
        <item x="266"/>
        <item x="318"/>
        <item x="304"/>
        <item x="133"/>
        <item x="403"/>
        <item x="193"/>
        <item x="247"/>
        <item x="246"/>
        <item x="372"/>
        <item x="86"/>
        <item x="231"/>
        <item x="68"/>
        <item x="314"/>
        <item x="9"/>
        <item x="290"/>
        <item x="58"/>
        <item x="48"/>
        <item x="197"/>
        <item x="186"/>
        <item x="32"/>
        <item x="234"/>
        <item x="385"/>
        <item x="345"/>
        <item x="21"/>
        <item x="169"/>
        <item x="131"/>
        <item x="323"/>
        <item x="172"/>
        <item x="179"/>
        <item x="56"/>
        <item x="265"/>
        <item x="139"/>
        <item x="126"/>
        <item x="85"/>
        <item x="187"/>
        <item x="49"/>
        <item x="208"/>
        <item x="384"/>
        <item x="35"/>
        <item x="34"/>
        <item x="227"/>
        <item x="337"/>
        <item x="47"/>
        <item x="261"/>
        <item x="327"/>
        <item x="325"/>
        <item x="107"/>
        <item x="134"/>
        <item x="16"/>
        <item x="330"/>
        <item x="42"/>
        <item x="221"/>
        <item x="1"/>
        <item x="248"/>
        <item x="84"/>
        <item x="75"/>
        <item x="311"/>
        <item x="121"/>
        <item x="282"/>
        <item x="322"/>
        <item x="387"/>
        <item x="269"/>
        <item x="305"/>
        <item x="302"/>
        <item x="205"/>
        <item x="217"/>
        <item x="7"/>
        <item x="368"/>
        <item x="326"/>
        <item x="219"/>
        <item x="209"/>
        <item x="242"/>
        <item x="349"/>
        <item x="177"/>
        <item x="87"/>
        <item x="8"/>
        <item x="136"/>
        <item x="146"/>
        <item x="115"/>
        <item x="394"/>
        <item x="71"/>
        <item x="344"/>
        <item x="122"/>
        <item x="341"/>
        <item x="253"/>
        <item x="183"/>
        <item x="373"/>
        <item x="44"/>
        <item x="95"/>
        <item x="157"/>
        <item x="379"/>
        <item x="263"/>
        <item x="145"/>
        <item x="268"/>
        <item x="6"/>
        <item x="288"/>
        <item x="346"/>
        <item x="382"/>
        <item x="188"/>
        <item x="23"/>
        <item x="27"/>
        <item x="229"/>
        <item x="400"/>
        <item x="405"/>
        <item x="154"/>
        <item x="191"/>
        <item x="310"/>
        <item x="395"/>
        <item x="348"/>
        <item x="171"/>
        <item x="144"/>
        <item x="74"/>
        <item x="319"/>
        <item x="275"/>
        <item x="361"/>
        <item x="78"/>
        <item x="307"/>
        <item x="276"/>
        <item x="407"/>
        <item x="338"/>
        <item x="109"/>
        <item x="64"/>
        <item x="255"/>
        <item x="393"/>
        <item x="166"/>
        <item x="381"/>
        <item x="371"/>
        <item x="83"/>
        <item x="150"/>
        <item x="296"/>
        <item x="198"/>
        <item x="213"/>
        <item x="315"/>
        <item x="72"/>
        <item x="51"/>
        <item x="215"/>
        <item x="271"/>
        <item x="90"/>
        <item x="309"/>
        <item x="117"/>
        <item x="104"/>
        <item x="101"/>
        <item x="160"/>
        <item x="108"/>
        <item x="97"/>
        <item x="189"/>
        <item x="238"/>
        <item x="342"/>
        <item x="237"/>
        <item x="37"/>
        <item x="321"/>
        <item x="14"/>
        <item x="30"/>
        <item x="297"/>
        <item x="194"/>
        <item x="2"/>
        <item x="173"/>
        <item x="300"/>
        <item x="236"/>
        <item x="20"/>
        <item x="124"/>
        <item x="375"/>
        <item x="340"/>
        <item x="292"/>
        <item x="301"/>
        <item x="13"/>
        <item x="291"/>
        <item x="223"/>
        <item x="103"/>
        <item x="54"/>
        <item x="204"/>
        <item x="212"/>
        <item x="88"/>
        <item x="350"/>
        <item x="60"/>
        <item x="396"/>
        <item x="46"/>
        <item x="320"/>
        <item x="67"/>
        <item x="147"/>
        <item x="130"/>
        <item x="392"/>
        <item x="81"/>
        <item x="114"/>
        <item x="162"/>
        <item x="366"/>
        <item x="360"/>
        <item x="158"/>
        <item x="329"/>
        <item x="94"/>
        <item x="270"/>
        <item x="281"/>
        <item x="110"/>
        <item x="249"/>
        <item x="389"/>
        <item x="358"/>
        <item x="129"/>
        <item x="244"/>
        <item x="351"/>
        <item x="280"/>
        <item x="128"/>
        <item x="185"/>
        <item x="317"/>
        <item x="259"/>
        <item x="195"/>
        <item x="59"/>
        <item x="277"/>
        <item x="112"/>
        <item x="206"/>
        <item x="210"/>
        <item x="181"/>
        <item x="98"/>
        <item x="298"/>
        <item x="409"/>
        <item x="397"/>
        <item x="224"/>
        <item x="274"/>
        <item x="243"/>
        <item x="293"/>
        <item x="233"/>
        <item x="272"/>
        <item x="28"/>
        <item x="241"/>
        <item x="363"/>
        <item x="36"/>
        <item x="331"/>
        <item x="252"/>
        <item x="365"/>
        <item x="29"/>
        <item x="218"/>
        <item x="4"/>
        <item x="391"/>
        <item x="151"/>
        <item x="278"/>
        <item x="15"/>
        <item x="257"/>
        <item x="99"/>
        <item x="355"/>
        <item x="102"/>
        <item x="399"/>
        <item x="226"/>
        <item x="12"/>
        <item x="196"/>
        <item x="262"/>
        <item x="57"/>
        <item x="92"/>
        <item x="362"/>
        <item x="359"/>
        <item x="174"/>
        <item x="142"/>
        <item x="245"/>
        <item x="285"/>
        <item x="220"/>
        <item x="335"/>
        <item x="178"/>
        <item x="200"/>
        <item x="111"/>
        <item x="137"/>
        <item x="235"/>
        <item x="386"/>
        <item x="356"/>
        <item x="211"/>
        <item x="334"/>
        <item x="376"/>
        <item x="286"/>
        <item x="79"/>
        <item x="388"/>
        <item x="17"/>
        <item x="65"/>
        <item x="406"/>
        <item x="273"/>
        <item x="232"/>
        <item x="267"/>
        <item x="156"/>
        <item x="10"/>
        <item x="316"/>
        <item x="132"/>
        <item x="328"/>
        <item x="225"/>
        <item x="106"/>
        <item x="175"/>
        <item x="140"/>
        <item x="303"/>
        <item x="199"/>
        <item x="164"/>
        <item x="222"/>
        <item x="357"/>
        <item x="184"/>
        <item x="96"/>
        <item x="203"/>
        <item x="390"/>
        <item x="404"/>
        <item x="91"/>
        <item x="33"/>
        <item x="380"/>
        <item x="82"/>
        <item x="40"/>
        <item x="250"/>
        <item x="50"/>
        <item x="202"/>
        <item x="105"/>
        <item x="192"/>
        <item x="120"/>
        <item x="364"/>
        <item t="default"/>
      </items>
    </pivotField>
    <pivotField showAll="0"/>
    <pivotField showAll="0"/>
    <pivotField showAll="0"/>
    <pivotField showAll="0"/>
    <pivotField showAll="0"/>
    <pivotField showAll="0"/>
    <pivotField dataField="1" showAll="0"/>
    <pivotField showAll="0"/>
    <pivotField name="Order Status" axis="axisRow" multipleItemSelectionAllowed="1" showAll="0">
      <items count="4">
        <item h="1" x="2"/>
        <item x="0"/>
        <item h="1" x="1"/>
        <item t="default"/>
      </items>
    </pivotField>
    <pivotField axis="axisCol" showAll="0">
      <items count="7">
        <item x="2"/>
        <item x="1"/>
        <item x="5"/>
        <item x="4"/>
        <item x="3"/>
        <item x="0"/>
        <item t="default"/>
      </items>
    </pivotField>
    <pivotField axis="axisRow" showAll="0">
      <items count="6">
        <item x="0"/>
        <item x="3"/>
        <item x="4"/>
        <item x="1"/>
        <item x="2"/>
        <item t="default"/>
      </items>
    </pivotField>
    <pivotField showAll="0">
      <items count="6">
        <item x="4"/>
        <item x="3"/>
        <item x="1"/>
        <item x="0"/>
        <item x="2"/>
        <item t="default"/>
      </items>
    </pivotField>
    <pivotField showAll="0"/>
    <pivotField showAll="0">
      <items count="4">
        <item x="0"/>
        <item x="1"/>
        <item x="2"/>
        <item t="default"/>
      </items>
    </pivotField>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5">
        <item x="0"/>
        <item x="1"/>
        <item x="2"/>
        <item x="3"/>
        <item x="4"/>
      </items>
    </pivotField>
  </pivotFields>
  <rowFields count="2">
    <field x="14"/>
    <field x="16"/>
  </rowFields>
  <rowItems count="7">
    <i>
      <x v="1"/>
    </i>
    <i r="1">
      <x/>
    </i>
    <i r="1">
      <x v="1"/>
    </i>
    <i r="1">
      <x v="2"/>
    </i>
    <i r="1">
      <x v="3"/>
    </i>
    <i r="1">
      <x v="4"/>
    </i>
    <i t="grand">
      <x/>
    </i>
  </rowItems>
  <colFields count="1">
    <field x="15"/>
  </colFields>
  <colItems count="7">
    <i>
      <x/>
    </i>
    <i>
      <x v="1"/>
    </i>
    <i>
      <x v="2"/>
    </i>
    <i>
      <x v="3"/>
    </i>
    <i>
      <x v="4"/>
    </i>
    <i>
      <x v="5"/>
    </i>
    <i t="grand">
      <x/>
    </i>
  </colItems>
  <dataFields count="1">
    <dataField name=" " fld="12" baseField="0" baseItem="0" numFmtId="166"/>
  </dataFields>
  <formats count="2">
    <format dxfId="2">
      <pivotArea field="14" type="button" dataOnly="0" labelOnly="1" outline="0" axis="axisRow" fieldPosition="0"/>
    </format>
    <format dxfId="3">
      <pivotArea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E35F8A-2155-430B-9CE0-A1E894301804}" name="PivotTable4"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Product ID">
  <location ref="B42:D54" firstHeaderRow="0" firstDataRow="1" firstDataCol="1"/>
  <pivotFields count="30">
    <pivotField showAll="0"/>
    <pivotField showAll="0"/>
    <pivotField axis="axisRow" showAll="0" measureFilter="1" sortType="descending">
      <items count="51">
        <item m="1" x="30"/>
        <item m="1" x="49"/>
        <item m="1" x="45"/>
        <item m="1" x="35"/>
        <item m="1" x="48"/>
        <item m="1" x="41"/>
        <item m="1" x="43"/>
        <item m="1" x="33"/>
        <item m="1" x="29"/>
        <item m="1" x="38"/>
        <item m="1" x="32"/>
        <item m="1" x="42"/>
        <item m="1" x="26"/>
        <item m="1" x="28"/>
        <item m="1" x="44"/>
        <item m="1" x="39"/>
        <item m="1" x="46"/>
        <item m="1" x="31"/>
        <item m="1" x="40"/>
        <item m="1" x="25"/>
        <item m="1" x="36"/>
        <item m="1" x="34"/>
        <item m="1" x="47"/>
        <item m="1" x="27"/>
        <item m="1" x="37"/>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411">
        <item x="383"/>
        <item x="308"/>
        <item x="258"/>
        <item x="118"/>
        <item x="264"/>
        <item x="339"/>
        <item x="31"/>
        <item x="398"/>
        <item x="39"/>
        <item x="89"/>
        <item x="138"/>
        <item x="76"/>
        <item x="113"/>
        <item x="19"/>
        <item x="239"/>
        <item x="284"/>
        <item x="62"/>
        <item x="119"/>
        <item x="312"/>
        <item x="163"/>
        <item x="354"/>
        <item x="230"/>
        <item x="180"/>
        <item x="141"/>
        <item x="256"/>
        <item x="61"/>
        <item x="0"/>
        <item x="283"/>
        <item x="80"/>
        <item x="289"/>
        <item x="41"/>
        <item x="176"/>
        <item x="73"/>
        <item x="168"/>
        <item x="287"/>
        <item x="214"/>
        <item x="100"/>
        <item x="123"/>
        <item x="332"/>
        <item x="148"/>
        <item x="77"/>
        <item x="402"/>
        <item x="254"/>
        <item x="38"/>
        <item x="336"/>
        <item x="295"/>
        <item x="401"/>
        <item x="155"/>
        <item x="143"/>
        <item x="167"/>
        <item x="24"/>
        <item x="374"/>
        <item x="343"/>
        <item x="159"/>
        <item x="53"/>
        <item x="3"/>
        <item x="55"/>
        <item x="66"/>
        <item x="22"/>
        <item x="161"/>
        <item x="25"/>
        <item x="294"/>
        <item x="182"/>
        <item x="207"/>
        <item x="260"/>
        <item x="93"/>
        <item x="116"/>
        <item x="63"/>
        <item x="18"/>
        <item x="125"/>
        <item x="240"/>
        <item x="149"/>
        <item x="52"/>
        <item x="313"/>
        <item x="369"/>
        <item x="367"/>
        <item x="279"/>
        <item x="45"/>
        <item x="333"/>
        <item x="353"/>
        <item x="153"/>
        <item x="127"/>
        <item x="5"/>
        <item x="201"/>
        <item x="408"/>
        <item x="228"/>
        <item x="43"/>
        <item x="306"/>
        <item x="152"/>
        <item x="251"/>
        <item x="324"/>
        <item x="299"/>
        <item x="378"/>
        <item x="26"/>
        <item x="135"/>
        <item x="11"/>
        <item x="70"/>
        <item x="69"/>
        <item x="370"/>
        <item x="170"/>
        <item x="347"/>
        <item x="377"/>
        <item x="216"/>
        <item x="190"/>
        <item x="352"/>
        <item x="165"/>
        <item x="266"/>
        <item x="318"/>
        <item x="304"/>
        <item x="133"/>
        <item x="403"/>
        <item x="193"/>
        <item x="247"/>
        <item x="246"/>
        <item x="372"/>
        <item x="86"/>
        <item x="231"/>
        <item x="68"/>
        <item x="314"/>
        <item x="9"/>
        <item x="290"/>
        <item x="58"/>
        <item x="48"/>
        <item x="197"/>
        <item x="186"/>
        <item x="32"/>
        <item x="234"/>
        <item x="385"/>
        <item x="345"/>
        <item x="21"/>
        <item x="169"/>
        <item x="131"/>
        <item x="323"/>
        <item x="172"/>
        <item x="179"/>
        <item x="56"/>
        <item x="265"/>
        <item x="139"/>
        <item x="126"/>
        <item x="85"/>
        <item x="187"/>
        <item x="49"/>
        <item x="208"/>
        <item x="384"/>
        <item x="35"/>
        <item x="34"/>
        <item x="227"/>
        <item x="337"/>
        <item x="47"/>
        <item x="261"/>
        <item x="327"/>
        <item x="325"/>
        <item x="107"/>
        <item x="134"/>
        <item x="16"/>
        <item x="330"/>
        <item x="42"/>
        <item x="221"/>
        <item x="1"/>
        <item x="248"/>
        <item x="84"/>
        <item x="75"/>
        <item x="311"/>
        <item x="121"/>
        <item x="282"/>
        <item x="322"/>
        <item x="387"/>
        <item x="269"/>
        <item x="305"/>
        <item x="302"/>
        <item x="205"/>
        <item x="217"/>
        <item x="7"/>
        <item x="368"/>
        <item x="326"/>
        <item x="219"/>
        <item x="209"/>
        <item x="242"/>
        <item x="349"/>
        <item x="177"/>
        <item x="87"/>
        <item x="8"/>
        <item x="136"/>
        <item x="146"/>
        <item x="115"/>
        <item x="394"/>
        <item x="71"/>
        <item x="344"/>
        <item x="122"/>
        <item x="341"/>
        <item x="253"/>
        <item x="183"/>
        <item x="373"/>
        <item x="44"/>
        <item x="95"/>
        <item x="157"/>
        <item x="379"/>
        <item x="263"/>
        <item x="145"/>
        <item x="268"/>
        <item x="6"/>
        <item x="288"/>
        <item x="346"/>
        <item x="382"/>
        <item x="188"/>
        <item x="23"/>
        <item x="27"/>
        <item x="229"/>
        <item x="400"/>
        <item x="405"/>
        <item x="154"/>
        <item x="191"/>
        <item x="310"/>
        <item x="395"/>
        <item x="348"/>
        <item x="171"/>
        <item x="144"/>
        <item x="74"/>
        <item x="319"/>
        <item x="275"/>
        <item x="361"/>
        <item x="78"/>
        <item x="307"/>
        <item x="276"/>
        <item x="407"/>
        <item x="338"/>
        <item x="109"/>
        <item x="64"/>
        <item x="255"/>
        <item x="393"/>
        <item x="166"/>
        <item x="381"/>
        <item x="371"/>
        <item x="83"/>
        <item x="150"/>
        <item x="296"/>
        <item x="198"/>
        <item x="213"/>
        <item x="315"/>
        <item x="72"/>
        <item x="51"/>
        <item x="215"/>
        <item x="271"/>
        <item x="90"/>
        <item x="309"/>
        <item x="117"/>
        <item x="104"/>
        <item x="101"/>
        <item x="160"/>
        <item x="108"/>
        <item x="97"/>
        <item x="189"/>
        <item x="238"/>
        <item x="342"/>
        <item x="237"/>
        <item x="37"/>
        <item x="321"/>
        <item x="14"/>
        <item x="30"/>
        <item x="297"/>
        <item x="194"/>
        <item x="2"/>
        <item x="173"/>
        <item x="300"/>
        <item x="236"/>
        <item x="20"/>
        <item x="124"/>
        <item x="375"/>
        <item x="340"/>
        <item x="292"/>
        <item x="301"/>
        <item x="13"/>
        <item x="291"/>
        <item x="223"/>
        <item x="103"/>
        <item x="54"/>
        <item x="204"/>
        <item x="212"/>
        <item x="88"/>
        <item x="350"/>
        <item x="60"/>
        <item x="396"/>
        <item x="46"/>
        <item x="320"/>
        <item x="67"/>
        <item x="147"/>
        <item x="130"/>
        <item x="392"/>
        <item x="81"/>
        <item x="114"/>
        <item x="162"/>
        <item x="366"/>
        <item x="360"/>
        <item x="158"/>
        <item x="329"/>
        <item x="94"/>
        <item x="270"/>
        <item x="281"/>
        <item x="110"/>
        <item x="249"/>
        <item x="389"/>
        <item x="358"/>
        <item x="129"/>
        <item x="244"/>
        <item x="351"/>
        <item x="280"/>
        <item x="128"/>
        <item x="185"/>
        <item x="317"/>
        <item x="259"/>
        <item x="195"/>
        <item x="59"/>
        <item x="277"/>
        <item x="112"/>
        <item x="206"/>
        <item x="210"/>
        <item x="181"/>
        <item x="98"/>
        <item x="298"/>
        <item x="409"/>
        <item x="397"/>
        <item x="224"/>
        <item x="274"/>
        <item x="243"/>
        <item x="293"/>
        <item x="233"/>
        <item x="272"/>
        <item x="28"/>
        <item x="241"/>
        <item x="363"/>
        <item x="36"/>
        <item x="331"/>
        <item x="252"/>
        <item x="365"/>
        <item x="29"/>
        <item x="218"/>
        <item x="4"/>
        <item x="391"/>
        <item x="151"/>
        <item x="278"/>
        <item x="15"/>
        <item x="257"/>
        <item x="99"/>
        <item x="355"/>
        <item x="102"/>
        <item x="399"/>
        <item x="226"/>
        <item x="12"/>
        <item x="196"/>
        <item x="262"/>
        <item x="57"/>
        <item x="92"/>
        <item x="362"/>
        <item x="359"/>
        <item x="174"/>
        <item x="142"/>
        <item x="245"/>
        <item x="285"/>
        <item x="220"/>
        <item x="335"/>
        <item x="178"/>
        <item x="200"/>
        <item x="111"/>
        <item x="137"/>
        <item x="235"/>
        <item x="386"/>
        <item x="356"/>
        <item x="211"/>
        <item x="334"/>
        <item x="376"/>
        <item x="286"/>
        <item x="79"/>
        <item x="388"/>
        <item x="17"/>
        <item x="65"/>
        <item x="406"/>
        <item x="273"/>
        <item x="232"/>
        <item x="267"/>
        <item x="156"/>
        <item x="10"/>
        <item x="316"/>
        <item x="132"/>
        <item x="328"/>
        <item x="225"/>
        <item x="106"/>
        <item x="175"/>
        <item x="140"/>
        <item x="303"/>
        <item x="199"/>
        <item x="164"/>
        <item x="222"/>
        <item x="357"/>
        <item x="184"/>
        <item x="96"/>
        <item x="203"/>
        <item x="390"/>
        <item x="404"/>
        <item x="91"/>
        <item x="33"/>
        <item x="380"/>
        <item x="82"/>
        <item x="40"/>
        <item x="250"/>
        <item x="50"/>
        <item x="202"/>
        <item x="105"/>
        <item x="192"/>
        <item x="120"/>
        <item x="364"/>
        <item t="default"/>
      </items>
    </pivotField>
    <pivotField showAll="0"/>
    <pivotField showAll="0"/>
    <pivotField showAll="0"/>
    <pivotField showAll="0"/>
    <pivotField showAll="0"/>
    <pivotField showAll="0"/>
    <pivotField dataField="1" showAll="0"/>
    <pivotField dataField="1" showAll="0"/>
    <pivotField axis="axisRow" multipleItemSelectionAllowed="1" showAll="0">
      <items count="4">
        <item h="1" x="2"/>
        <item x="0"/>
        <item h="1" x="1"/>
        <item t="default"/>
      </items>
    </pivotField>
    <pivotField showAll="0"/>
    <pivotField showAll="0">
      <items count="6">
        <item x="0"/>
        <item x="3"/>
        <item x="4"/>
        <item x="1"/>
        <item x="2"/>
        <item t="default"/>
      </items>
    </pivotField>
    <pivotField showAll="0">
      <items count="6">
        <item x="4"/>
        <item x="3"/>
        <item x="1"/>
        <item x="0"/>
        <item x="2"/>
        <item t="default"/>
      </items>
    </pivotField>
    <pivotField showAll="0"/>
    <pivotField showAll="0">
      <items count="4">
        <item x="0"/>
        <item x="1"/>
        <item x="2"/>
        <item t="default"/>
      </items>
    </pivotField>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5">
        <item x="0"/>
        <item x="1"/>
        <item x="2"/>
        <item x="3"/>
        <item x="4"/>
      </items>
    </pivotField>
  </pivotFields>
  <rowFields count="2">
    <field x="14"/>
    <field x="2"/>
  </rowFields>
  <rowItems count="12">
    <i>
      <x v="1"/>
    </i>
    <i r="1">
      <x v="49"/>
    </i>
    <i r="1">
      <x v="45"/>
    </i>
    <i r="1">
      <x v="30"/>
    </i>
    <i r="1">
      <x v="44"/>
    </i>
    <i r="1">
      <x v="31"/>
    </i>
    <i r="1">
      <x v="41"/>
    </i>
    <i r="1">
      <x v="29"/>
    </i>
    <i r="1">
      <x v="46"/>
    </i>
    <i r="1">
      <x v="43"/>
    </i>
    <i r="1">
      <x v="48"/>
    </i>
    <i t="grand">
      <x/>
    </i>
  </rowItems>
  <colFields count="1">
    <field x="-2"/>
  </colFields>
  <colItems count="2">
    <i>
      <x/>
    </i>
    <i i="1">
      <x v="1"/>
    </i>
  </colItems>
  <dataFields count="2">
    <dataField name="Total Revenue" fld="12" baseField="0" baseItem="0"/>
    <dataField name="Total Profit"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B123A4-F382-47D3-92E5-2BA2638D3D20}" name="PivotTable2"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Months">
  <location ref="A22:B35" firstHeaderRow="1" firstDataRow="1" firstDataCol="1"/>
  <pivotFields count="30">
    <pivotField showAll="0"/>
    <pivotField showAll="0"/>
    <pivotField showAll="0"/>
    <pivotField showAll="0"/>
    <pivotField showAll="0"/>
    <pivotField axis="axisRow" numFmtId="14" showAll="0">
      <items count="411">
        <item x="383"/>
        <item x="308"/>
        <item x="258"/>
        <item x="118"/>
        <item x="264"/>
        <item x="339"/>
        <item x="31"/>
        <item x="398"/>
        <item x="39"/>
        <item x="89"/>
        <item x="138"/>
        <item x="76"/>
        <item x="113"/>
        <item x="19"/>
        <item x="239"/>
        <item x="284"/>
        <item x="62"/>
        <item x="119"/>
        <item x="312"/>
        <item x="163"/>
        <item x="354"/>
        <item x="230"/>
        <item x="180"/>
        <item x="141"/>
        <item x="256"/>
        <item x="61"/>
        <item x="0"/>
        <item x="283"/>
        <item x="80"/>
        <item x="289"/>
        <item x="41"/>
        <item x="176"/>
        <item x="73"/>
        <item x="168"/>
        <item x="287"/>
        <item x="214"/>
        <item x="100"/>
        <item x="123"/>
        <item x="332"/>
        <item x="148"/>
        <item x="77"/>
        <item x="402"/>
        <item x="254"/>
        <item x="38"/>
        <item x="336"/>
        <item x="295"/>
        <item x="401"/>
        <item x="155"/>
        <item x="143"/>
        <item x="167"/>
        <item x="24"/>
        <item x="374"/>
        <item x="343"/>
        <item x="159"/>
        <item x="53"/>
        <item x="3"/>
        <item x="55"/>
        <item x="66"/>
        <item x="22"/>
        <item x="161"/>
        <item x="25"/>
        <item x="294"/>
        <item x="182"/>
        <item x="207"/>
        <item x="260"/>
        <item x="93"/>
        <item x="116"/>
        <item x="63"/>
        <item x="18"/>
        <item x="125"/>
        <item x="240"/>
        <item x="149"/>
        <item x="52"/>
        <item x="313"/>
        <item x="369"/>
        <item x="367"/>
        <item x="279"/>
        <item x="45"/>
        <item x="333"/>
        <item x="353"/>
        <item x="153"/>
        <item x="127"/>
        <item x="5"/>
        <item x="201"/>
        <item x="408"/>
        <item x="228"/>
        <item x="43"/>
        <item x="306"/>
        <item x="152"/>
        <item x="251"/>
        <item x="324"/>
        <item x="299"/>
        <item x="378"/>
        <item x="26"/>
        <item x="135"/>
        <item x="11"/>
        <item x="70"/>
        <item x="69"/>
        <item x="370"/>
        <item x="170"/>
        <item x="347"/>
        <item x="377"/>
        <item x="216"/>
        <item x="190"/>
        <item x="352"/>
        <item x="165"/>
        <item x="266"/>
        <item x="318"/>
        <item x="304"/>
        <item x="133"/>
        <item x="403"/>
        <item x="193"/>
        <item x="247"/>
        <item x="246"/>
        <item x="372"/>
        <item x="86"/>
        <item x="231"/>
        <item x="68"/>
        <item x="314"/>
        <item x="9"/>
        <item x="290"/>
        <item x="58"/>
        <item x="48"/>
        <item x="197"/>
        <item x="186"/>
        <item x="32"/>
        <item x="234"/>
        <item x="385"/>
        <item x="345"/>
        <item x="21"/>
        <item x="169"/>
        <item x="131"/>
        <item x="323"/>
        <item x="172"/>
        <item x="179"/>
        <item x="56"/>
        <item x="265"/>
        <item x="139"/>
        <item x="126"/>
        <item x="85"/>
        <item x="187"/>
        <item x="49"/>
        <item x="208"/>
        <item x="384"/>
        <item x="35"/>
        <item x="34"/>
        <item x="227"/>
        <item x="337"/>
        <item x="47"/>
        <item x="261"/>
        <item x="327"/>
        <item x="325"/>
        <item x="107"/>
        <item x="134"/>
        <item x="16"/>
        <item x="330"/>
        <item x="42"/>
        <item x="221"/>
        <item x="1"/>
        <item x="248"/>
        <item x="84"/>
        <item x="75"/>
        <item x="311"/>
        <item x="121"/>
        <item x="282"/>
        <item x="322"/>
        <item x="387"/>
        <item x="269"/>
        <item x="305"/>
        <item x="302"/>
        <item x="205"/>
        <item x="217"/>
        <item x="7"/>
        <item x="368"/>
        <item x="326"/>
        <item x="219"/>
        <item x="209"/>
        <item x="242"/>
        <item x="349"/>
        <item x="177"/>
        <item x="87"/>
        <item x="8"/>
        <item x="136"/>
        <item x="146"/>
        <item x="115"/>
        <item x="394"/>
        <item x="71"/>
        <item x="344"/>
        <item x="122"/>
        <item x="341"/>
        <item x="253"/>
        <item x="183"/>
        <item x="373"/>
        <item x="44"/>
        <item x="95"/>
        <item x="157"/>
        <item x="379"/>
        <item x="263"/>
        <item x="145"/>
        <item x="268"/>
        <item x="6"/>
        <item x="288"/>
        <item x="346"/>
        <item x="382"/>
        <item x="188"/>
        <item x="23"/>
        <item x="27"/>
        <item x="229"/>
        <item x="400"/>
        <item x="405"/>
        <item x="154"/>
        <item x="191"/>
        <item x="310"/>
        <item x="395"/>
        <item x="348"/>
        <item x="171"/>
        <item x="144"/>
        <item x="74"/>
        <item x="319"/>
        <item x="275"/>
        <item x="361"/>
        <item x="78"/>
        <item x="307"/>
        <item x="276"/>
        <item x="407"/>
        <item x="338"/>
        <item x="109"/>
        <item x="64"/>
        <item x="255"/>
        <item x="393"/>
        <item x="166"/>
        <item x="381"/>
        <item x="371"/>
        <item x="83"/>
        <item x="150"/>
        <item x="296"/>
        <item x="198"/>
        <item x="213"/>
        <item x="315"/>
        <item x="72"/>
        <item x="51"/>
        <item x="215"/>
        <item x="271"/>
        <item x="90"/>
        <item x="309"/>
        <item x="117"/>
        <item x="104"/>
        <item x="101"/>
        <item x="160"/>
        <item x="108"/>
        <item x="97"/>
        <item x="189"/>
        <item x="238"/>
        <item x="342"/>
        <item x="237"/>
        <item x="37"/>
        <item x="321"/>
        <item x="14"/>
        <item x="30"/>
        <item x="297"/>
        <item x="194"/>
        <item x="2"/>
        <item x="173"/>
        <item x="300"/>
        <item x="236"/>
        <item x="20"/>
        <item x="124"/>
        <item x="375"/>
        <item x="340"/>
        <item x="292"/>
        <item x="301"/>
        <item x="13"/>
        <item x="291"/>
        <item x="223"/>
        <item x="103"/>
        <item x="54"/>
        <item x="204"/>
        <item x="212"/>
        <item x="88"/>
        <item x="350"/>
        <item x="60"/>
        <item x="396"/>
        <item x="46"/>
        <item x="320"/>
        <item x="67"/>
        <item x="147"/>
        <item x="130"/>
        <item x="392"/>
        <item x="81"/>
        <item x="114"/>
        <item x="162"/>
        <item x="366"/>
        <item x="360"/>
        <item x="158"/>
        <item x="329"/>
        <item x="94"/>
        <item x="270"/>
        <item x="281"/>
        <item x="110"/>
        <item x="249"/>
        <item x="389"/>
        <item x="358"/>
        <item x="129"/>
        <item x="244"/>
        <item x="351"/>
        <item x="280"/>
        <item x="128"/>
        <item x="185"/>
        <item x="317"/>
        <item x="259"/>
        <item x="195"/>
        <item x="59"/>
        <item x="277"/>
        <item x="112"/>
        <item x="206"/>
        <item x="210"/>
        <item x="181"/>
        <item x="98"/>
        <item x="298"/>
        <item x="409"/>
        <item x="397"/>
        <item x="224"/>
        <item x="274"/>
        <item x="243"/>
        <item x="293"/>
        <item x="233"/>
        <item x="272"/>
        <item x="28"/>
        <item x="241"/>
        <item x="363"/>
        <item x="36"/>
        <item x="331"/>
        <item x="252"/>
        <item x="365"/>
        <item x="29"/>
        <item x="218"/>
        <item x="4"/>
        <item x="391"/>
        <item x="151"/>
        <item x="278"/>
        <item x="15"/>
        <item x="257"/>
        <item x="99"/>
        <item x="355"/>
        <item x="102"/>
        <item x="399"/>
        <item x="226"/>
        <item x="12"/>
        <item x="196"/>
        <item x="262"/>
        <item x="57"/>
        <item x="92"/>
        <item x="362"/>
        <item x="359"/>
        <item x="174"/>
        <item x="142"/>
        <item x="245"/>
        <item x="285"/>
        <item x="220"/>
        <item x="335"/>
        <item x="178"/>
        <item x="200"/>
        <item x="111"/>
        <item x="137"/>
        <item x="235"/>
        <item x="386"/>
        <item x="356"/>
        <item x="211"/>
        <item x="334"/>
        <item x="376"/>
        <item x="286"/>
        <item x="79"/>
        <item x="388"/>
        <item x="17"/>
        <item x="65"/>
        <item x="406"/>
        <item x="273"/>
        <item x="232"/>
        <item x="267"/>
        <item x="156"/>
        <item x="10"/>
        <item x="316"/>
        <item x="132"/>
        <item x="328"/>
        <item x="225"/>
        <item x="106"/>
        <item x="175"/>
        <item x="140"/>
        <item x="303"/>
        <item x="199"/>
        <item x="164"/>
        <item x="222"/>
        <item x="357"/>
        <item x="184"/>
        <item x="96"/>
        <item x="203"/>
        <item x="390"/>
        <item x="404"/>
        <item x="91"/>
        <item x="33"/>
        <item x="380"/>
        <item x="82"/>
        <item x="40"/>
        <item x="250"/>
        <item x="50"/>
        <item x="202"/>
        <item x="105"/>
        <item x="192"/>
        <item x="120"/>
        <item x="364"/>
        <item t="default"/>
      </items>
    </pivotField>
    <pivotField showAll="0"/>
    <pivotField showAll="0"/>
    <pivotField showAll="0"/>
    <pivotField showAll="0"/>
    <pivotField showAll="0"/>
    <pivotField showAll="0"/>
    <pivotField dataField="1" showAll="0"/>
    <pivotField showAll="0"/>
    <pivotField axis="axisRow" multipleItemSelectionAllowed="1" showAll="0">
      <items count="4">
        <item h="1" x="2"/>
        <item x="0"/>
        <item h="1" x="1"/>
        <item t="default"/>
      </items>
    </pivotField>
    <pivotField showAll="0"/>
    <pivotField showAll="0">
      <items count="6">
        <item x="0"/>
        <item x="3"/>
        <item x="4"/>
        <item x="1"/>
        <item x="2"/>
        <item t="default"/>
      </items>
    </pivotField>
    <pivotField showAll="0">
      <items count="6">
        <item x="4"/>
        <item x="3"/>
        <item x="1"/>
        <item x="0"/>
        <item x="2"/>
        <item t="default"/>
      </items>
    </pivotField>
    <pivotField showAll="0"/>
    <pivotField showAll="0">
      <items count="4">
        <item x="0"/>
        <item x="1"/>
        <item x="2"/>
        <item t="default"/>
      </items>
    </pivotField>
    <pivotField showAll="0"/>
    <pivotField showAll="0"/>
    <pivotField showAll="0"/>
    <pivotField showAll="0"/>
    <pivotField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sd="0" x="1"/>
        <item sd="0" x="2"/>
        <item sd="0" x="3"/>
        <item sd="0" x="4"/>
        <item t="default"/>
      </items>
    </pivotField>
  </pivotFields>
  <rowFields count="3">
    <field x="27"/>
    <field x="5"/>
    <field x="14"/>
  </rowFields>
  <rowItems count="13">
    <i>
      <x v="1"/>
    </i>
    <i>
      <x v="2"/>
    </i>
    <i>
      <x v="3"/>
    </i>
    <i>
      <x v="4"/>
    </i>
    <i>
      <x v="5"/>
    </i>
    <i>
      <x v="6"/>
    </i>
    <i>
      <x v="7"/>
    </i>
    <i>
      <x v="8"/>
    </i>
    <i>
      <x v="9"/>
    </i>
    <i>
      <x v="10"/>
    </i>
    <i>
      <x v="11"/>
    </i>
    <i>
      <x v="12"/>
    </i>
    <i t="grand">
      <x/>
    </i>
  </rowItems>
  <colItems count="1">
    <i/>
  </colItems>
  <dataFields count="1">
    <dataField name="Monthly Revenue" fld="12" baseField="29" baseItem="1"/>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3D0572-B55B-4740-AF50-760D77D0B5EC}" name="PivotTable1"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Region">
  <location ref="A3:E9" firstHeaderRow="0" firstDataRow="1" firstDataCol="1"/>
  <pivotFields count="30">
    <pivotField dataField="1" showAll="0"/>
    <pivotField showAll="0"/>
    <pivotField showAll="0"/>
    <pivotField showAll="0"/>
    <pivotField showAll="0"/>
    <pivotField numFmtId="14" showAll="0">
      <items count="411">
        <item x="383"/>
        <item x="308"/>
        <item x="258"/>
        <item x="118"/>
        <item x="264"/>
        <item x="339"/>
        <item x="31"/>
        <item x="398"/>
        <item x="39"/>
        <item x="89"/>
        <item x="138"/>
        <item x="76"/>
        <item x="113"/>
        <item x="19"/>
        <item x="239"/>
        <item x="284"/>
        <item x="62"/>
        <item x="119"/>
        <item x="312"/>
        <item x="163"/>
        <item x="354"/>
        <item x="230"/>
        <item x="180"/>
        <item x="141"/>
        <item x="256"/>
        <item x="61"/>
        <item x="0"/>
        <item x="283"/>
        <item x="80"/>
        <item x="289"/>
        <item x="41"/>
        <item x="176"/>
        <item x="73"/>
        <item x="168"/>
        <item x="287"/>
        <item x="214"/>
        <item x="100"/>
        <item x="123"/>
        <item x="332"/>
        <item x="148"/>
        <item x="77"/>
        <item x="402"/>
        <item x="254"/>
        <item x="38"/>
        <item x="336"/>
        <item x="295"/>
        <item x="401"/>
        <item x="155"/>
        <item x="143"/>
        <item x="167"/>
        <item x="24"/>
        <item x="374"/>
        <item x="343"/>
        <item x="159"/>
        <item x="53"/>
        <item x="3"/>
        <item x="55"/>
        <item x="66"/>
        <item x="22"/>
        <item x="161"/>
        <item x="25"/>
        <item x="294"/>
        <item x="182"/>
        <item x="207"/>
        <item x="260"/>
        <item x="93"/>
        <item x="116"/>
        <item x="63"/>
        <item x="18"/>
        <item x="125"/>
        <item x="240"/>
        <item x="149"/>
        <item x="52"/>
        <item x="313"/>
        <item x="369"/>
        <item x="367"/>
        <item x="279"/>
        <item x="45"/>
        <item x="333"/>
        <item x="353"/>
        <item x="153"/>
        <item x="127"/>
        <item x="5"/>
        <item x="201"/>
        <item x="408"/>
        <item x="228"/>
        <item x="43"/>
        <item x="306"/>
        <item x="152"/>
        <item x="251"/>
        <item x="324"/>
        <item x="299"/>
        <item x="378"/>
        <item x="26"/>
        <item x="135"/>
        <item x="11"/>
        <item x="70"/>
        <item x="69"/>
        <item x="370"/>
        <item x="170"/>
        <item x="347"/>
        <item x="377"/>
        <item x="216"/>
        <item x="190"/>
        <item x="352"/>
        <item x="165"/>
        <item x="266"/>
        <item x="318"/>
        <item x="304"/>
        <item x="133"/>
        <item x="403"/>
        <item x="193"/>
        <item x="247"/>
        <item x="246"/>
        <item x="372"/>
        <item x="86"/>
        <item x="231"/>
        <item x="68"/>
        <item x="314"/>
        <item x="9"/>
        <item x="290"/>
        <item x="58"/>
        <item x="48"/>
        <item x="197"/>
        <item x="186"/>
        <item x="32"/>
        <item x="234"/>
        <item x="385"/>
        <item x="345"/>
        <item x="21"/>
        <item x="169"/>
        <item x="131"/>
        <item x="323"/>
        <item x="172"/>
        <item x="179"/>
        <item x="56"/>
        <item x="265"/>
        <item x="139"/>
        <item x="126"/>
        <item x="85"/>
        <item x="187"/>
        <item x="49"/>
        <item x="208"/>
        <item x="384"/>
        <item x="35"/>
        <item x="34"/>
        <item x="227"/>
        <item x="337"/>
        <item x="47"/>
        <item x="261"/>
        <item x="327"/>
        <item x="325"/>
        <item x="107"/>
        <item x="134"/>
        <item x="16"/>
        <item x="330"/>
        <item x="42"/>
        <item x="221"/>
        <item x="1"/>
        <item x="248"/>
        <item x="84"/>
        <item x="75"/>
        <item x="311"/>
        <item x="121"/>
        <item x="282"/>
        <item x="322"/>
        <item x="387"/>
        <item x="269"/>
        <item x="305"/>
        <item x="302"/>
        <item x="205"/>
        <item x="217"/>
        <item x="7"/>
        <item x="368"/>
        <item x="326"/>
        <item x="219"/>
        <item x="209"/>
        <item x="242"/>
        <item x="349"/>
        <item x="177"/>
        <item x="87"/>
        <item x="8"/>
        <item x="136"/>
        <item x="146"/>
        <item x="115"/>
        <item x="394"/>
        <item x="71"/>
        <item x="344"/>
        <item x="122"/>
        <item x="341"/>
        <item x="253"/>
        <item x="183"/>
        <item x="373"/>
        <item x="44"/>
        <item x="95"/>
        <item x="157"/>
        <item x="379"/>
        <item x="263"/>
        <item x="145"/>
        <item x="268"/>
        <item x="6"/>
        <item x="288"/>
        <item x="346"/>
        <item x="382"/>
        <item x="188"/>
        <item x="23"/>
        <item x="27"/>
        <item x="229"/>
        <item x="400"/>
        <item x="405"/>
        <item x="154"/>
        <item x="191"/>
        <item x="310"/>
        <item x="395"/>
        <item x="348"/>
        <item x="171"/>
        <item x="144"/>
        <item x="74"/>
        <item x="319"/>
        <item x="275"/>
        <item x="361"/>
        <item x="78"/>
        <item x="307"/>
        <item x="276"/>
        <item x="407"/>
        <item x="338"/>
        <item x="109"/>
        <item x="64"/>
        <item x="255"/>
        <item x="393"/>
        <item x="166"/>
        <item x="381"/>
        <item x="371"/>
        <item x="83"/>
        <item x="150"/>
        <item x="296"/>
        <item x="198"/>
        <item x="213"/>
        <item x="315"/>
        <item x="72"/>
        <item x="51"/>
        <item x="215"/>
        <item x="271"/>
        <item x="90"/>
        <item x="309"/>
        <item x="117"/>
        <item x="104"/>
        <item x="101"/>
        <item x="160"/>
        <item x="108"/>
        <item x="97"/>
        <item x="189"/>
        <item x="238"/>
        <item x="342"/>
        <item x="237"/>
        <item x="37"/>
        <item x="321"/>
        <item x="14"/>
        <item x="30"/>
        <item x="297"/>
        <item x="194"/>
        <item x="2"/>
        <item x="173"/>
        <item x="300"/>
        <item x="236"/>
        <item x="20"/>
        <item x="124"/>
        <item x="375"/>
        <item x="340"/>
        <item x="292"/>
        <item x="301"/>
        <item x="13"/>
        <item x="291"/>
        <item x="223"/>
        <item x="103"/>
        <item x="54"/>
        <item x="204"/>
        <item x="212"/>
        <item x="88"/>
        <item x="350"/>
        <item x="60"/>
        <item x="396"/>
        <item x="46"/>
        <item x="320"/>
        <item x="67"/>
        <item x="147"/>
        <item x="130"/>
        <item x="392"/>
        <item x="81"/>
        <item x="114"/>
        <item x="162"/>
        <item x="366"/>
        <item x="360"/>
        <item x="158"/>
        <item x="329"/>
        <item x="94"/>
        <item x="270"/>
        <item x="281"/>
        <item x="110"/>
        <item x="249"/>
        <item x="389"/>
        <item x="358"/>
        <item x="129"/>
        <item x="244"/>
        <item x="351"/>
        <item x="280"/>
        <item x="128"/>
        <item x="185"/>
        <item x="317"/>
        <item x="259"/>
        <item x="195"/>
        <item x="59"/>
        <item x="277"/>
        <item x="112"/>
        <item x="206"/>
        <item x="210"/>
        <item x="181"/>
        <item x="98"/>
        <item x="298"/>
        <item x="409"/>
        <item x="397"/>
        <item x="224"/>
        <item x="274"/>
        <item x="243"/>
        <item x="293"/>
        <item x="233"/>
        <item x="272"/>
        <item x="28"/>
        <item x="241"/>
        <item x="363"/>
        <item x="36"/>
        <item x="331"/>
        <item x="252"/>
        <item x="365"/>
        <item x="29"/>
        <item x="218"/>
        <item x="4"/>
        <item x="391"/>
        <item x="151"/>
        <item x="278"/>
        <item x="15"/>
        <item x="257"/>
        <item x="99"/>
        <item x="355"/>
        <item x="102"/>
        <item x="399"/>
        <item x="226"/>
        <item x="12"/>
        <item x="196"/>
        <item x="262"/>
        <item x="57"/>
        <item x="92"/>
        <item x="362"/>
        <item x="359"/>
        <item x="174"/>
        <item x="142"/>
        <item x="245"/>
        <item x="285"/>
        <item x="220"/>
        <item x="335"/>
        <item x="178"/>
        <item x="200"/>
        <item x="111"/>
        <item x="137"/>
        <item x="235"/>
        <item x="386"/>
        <item x="356"/>
        <item x="211"/>
        <item x="334"/>
        <item x="376"/>
        <item x="286"/>
        <item x="79"/>
        <item x="388"/>
        <item x="17"/>
        <item x="65"/>
        <item x="406"/>
        <item x="273"/>
        <item x="232"/>
        <item x="267"/>
        <item x="156"/>
        <item x="10"/>
        <item x="316"/>
        <item x="132"/>
        <item x="328"/>
        <item x="225"/>
        <item x="106"/>
        <item x="175"/>
        <item x="140"/>
        <item x="303"/>
        <item x="199"/>
        <item x="164"/>
        <item x="222"/>
        <item x="357"/>
        <item x="184"/>
        <item x="96"/>
        <item x="203"/>
        <item x="390"/>
        <item x="404"/>
        <item x="91"/>
        <item x="33"/>
        <item x="380"/>
        <item x="82"/>
        <item x="40"/>
        <item x="250"/>
        <item x="50"/>
        <item x="202"/>
        <item x="105"/>
        <item x="192"/>
        <item x="120"/>
        <item x="364"/>
        <item t="default"/>
      </items>
    </pivotField>
    <pivotField showAll="0"/>
    <pivotField showAll="0"/>
    <pivotField showAll="0"/>
    <pivotField showAll="0"/>
    <pivotField showAll="0"/>
    <pivotField showAll="0"/>
    <pivotField dataField="1" showAll="0"/>
    <pivotField dataField="1" showAll="0"/>
    <pivotField showAll="0"/>
    <pivotField showAll="0"/>
    <pivotField showAll="0">
      <items count="6">
        <item x="0"/>
        <item x="3"/>
        <item x="4"/>
        <item x="1"/>
        <item x="2"/>
        <item t="default"/>
      </items>
    </pivotField>
    <pivotField axis="axisRow"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6">
    <i>
      <x v="2"/>
    </i>
    <i>
      <x v="4"/>
    </i>
    <i>
      <x v="3"/>
    </i>
    <i>
      <x v="1"/>
    </i>
    <i>
      <x/>
    </i>
    <i t="grand">
      <x/>
    </i>
  </rowItems>
  <colFields count="1">
    <field x="-2"/>
  </colFields>
  <colItems count="4">
    <i>
      <x/>
    </i>
    <i i="1">
      <x v="1"/>
    </i>
    <i i="2">
      <x v="2"/>
    </i>
    <i i="3">
      <x v="3"/>
    </i>
  </colItems>
  <dataFields count="4">
    <dataField name="Total Revenue" fld="12" baseField="17" baseItem="0"/>
    <dataField name="Total Orders" fld="0" subtotal="count" baseField="17" baseItem="0"/>
    <dataField name="Total Profit" fld="13" baseField="17" baseItem="0"/>
    <dataField name="Profit Margin % " fld="26" baseField="0" baseItem="0"/>
  </dataFields>
  <formats count="2">
    <format dxfId="0">
      <pivotArea dataOnly="0" outline="0" fieldPosition="0">
        <references count="1">
          <reference field="4294967294" count="2">
            <x v="0"/>
            <x v="2"/>
          </reference>
        </references>
      </pivotArea>
    </format>
    <format dxfId="1">
      <pivotArea dataOnly="0" outline="0" fieldPosition="0">
        <references count="1">
          <reference field="4294967294" count="1">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series="1">
      <pivotArea type="data" outline="0" fieldPosition="0">
        <references count="1">
          <reference field="4294967294" count="1" selected="0">
            <x v="2"/>
          </reference>
        </references>
      </pivotArea>
    </chartFormat>
    <chartFormat chart="1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BF5934-00AB-4F5F-88B3-6C3334E63EE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p Name">
  <location ref="A82:E130" firstHeaderRow="0" firstDataRow="1" firstDataCol="1"/>
  <pivotFields count="27">
    <pivotField showAll="0"/>
    <pivotField axis="axisRow" showAll="0" sortType="descending">
      <items count="48">
        <item x="38"/>
        <item x="21"/>
        <item x="13"/>
        <item x="4"/>
        <item x="10"/>
        <item x="23"/>
        <item x="33"/>
        <item x="22"/>
        <item x="16"/>
        <item x="15"/>
        <item x="39"/>
        <item x="2"/>
        <item x="28"/>
        <item x="44"/>
        <item x="41"/>
        <item x="7"/>
        <item x="30"/>
        <item x="19"/>
        <item x="35"/>
        <item x="24"/>
        <item x="9"/>
        <item x="37"/>
        <item x="26"/>
        <item x="31"/>
        <item x="3"/>
        <item x="5"/>
        <item x="6"/>
        <item x="17"/>
        <item x="0"/>
        <item x="46"/>
        <item x="25"/>
        <item x="18"/>
        <item x="32"/>
        <item x="34"/>
        <item x="36"/>
        <item x="14"/>
        <item x="12"/>
        <item x="11"/>
        <item x="27"/>
        <item x="8"/>
        <item x="29"/>
        <item x="40"/>
        <item x="1"/>
        <item x="42"/>
        <item x="20"/>
        <item x="43"/>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pivotField numFmtId="14" showAll="0"/>
    <pivotField showAll="0"/>
    <pivotField dataField="1" showAll="0"/>
    <pivotField showAll="0"/>
    <pivotField dataField="1" showAll="0"/>
    <pivotField showAll="0"/>
    <pivotField showAll="0"/>
    <pivotField dataField="1" showAll="0"/>
    <pivotField showAll="0"/>
    <pivotField showAll="0"/>
    <pivotField showAll="0"/>
    <pivotField showAll="0"/>
    <pivotField showAll="0"/>
    <pivotField showAll="0"/>
    <pivotField dataField="1" showAll="0"/>
  </pivotFields>
  <rowFields count="1">
    <field x="1"/>
  </rowFields>
  <rowItems count="48">
    <i>
      <x v="3"/>
    </i>
    <i>
      <x v="7"/>
    </i>
    <i>
      <x v="4"/>
    </i>
    <i>
      <x v="5"/>
    </i>
    <i>
      <x v="29"/>
    </i>
    <i>
      <x v="10"/>
    </i>
    <i>
      <x v="41"/>
    </i>
    <i>
      <x v="17"/>
    </i>
    <i>
      <x v="20"/>
    </i>
    <i>
      <x v="32"/>
    </i>
    <i>
      <x v="21"/>
    </i>
    <i>
      <x v="16"/>
    </i>
    <i>
      <x v="37"/>
    </i>
    <i>
      <x v="27"/>
    </i>
    <i>
      <x v="6"/>
    </i>
    <i>
      <x v="39"/>
    </i>
    <i>
      <x v="9"/>
    </i>
    <i>
      <x v="30"/>
    </i>
    <i>
      <x v="15"/>
    </i>
    <i>
      <x v="22"/>
    </i>
    <i>
      <x v="11"/>
    </i>
    <i>
      <x v="23"/>
    </i>
    <i>
      <x v="44"/>
    </i>
    <i>
      <x v="26"/>
    </i>
    <i>
      <x v="36"/>
    </i>
    <i>
      <x v="1"/>
    </i>
    <i>
      <x v="2"/>
    </i>
    <i>
      <x v="34"/>
    </i>
    <i>
      <x v="14"/>
    </i>
    <i>
      <x v="38"/>
    </i>
    <i>
      <x v="33"/>
    </i>
    <i>
      <x v="45"/>
    </i>
    <i>
      <x v="40"/>
    </i>
    <i>
      <x v="25"/>
    </i>
    <i>
      <x/>
    </i>
    <i>
      <x v="42"/>
    </i>
    <i>
      <x v="24"/>
    </i>
    <i>
      <x v="19"/>
    </i>
    <i>
      <x v="8"/>
    </i>
    <i>
      <x v="13"/>
    </i>
    <i>
      <x v="35"/>
    </i>
    <i>
      <x v="28"/>
    </i>
    <i>
      <x v="46"/>
    </i>
    <i>
      <x v="18"/>
    </i>
    <i>
      <x v="12"/>
    </i>
    <i>
      <x v="43"/>
    </i>
    <i>
      <x v="31"/>
    </i>
    <i t="grand">
      <x/>
    </i>
  </rowItems>
  <colFields count="1">
    <field x="-2"/>
  </colFields>
  <colItems count="4">
    <i>
      <x/>
    </i>
    <i i="1">
      <x v="1"/>
    </i>
    <i i="2">
      <x v="2"/>
    </i>
    <i i="3">
      <x v="3"/>
    </i>
  </colItems>
  <dataFields count="4">
    <dataField name="Total Deal Value" fld="14" baseField="0" baseItem="0"/>
    <dataField name="Deals Won" fld="26" baseField="0" baseItem="0"/>
    <dataField name="Commission Earned" fld="16" baseField="0" baseItem="0"/>
    <dataField name="Avg Close Days" fld="19" subtotal="average" baseField="1" baseItem="2"/>
  </dataFields>
  <conditionalFormats count="1">
    <conditionalFormat priority="1">
      <pivotAreas count="1">
        <pivotArea type="data" collapsedLevelsAreSubtotals="1" fieldPosition="0">
          <references count="2">
            <reference field="4294967294" count="1" selected="0">
              <x v="0"/>
            </reference>
            <reference field="1" count="47">
              <x v="0"/>
              <x v="1"/>
              <x v="2"/>
              <x v="3"/>
              <x v="4"/>
              <x v="5"/>
              <x v="6"/>
              <x v="7"/>
              <x v="8"/>
              <x v="9"/>
              <x v="10"/>
              <x v="11"/>
              <x v="12"/>
              <x v="13"/>
              <x v="14"/>
              <x v="15"/>
              <x v="16"/>
              <x v="17"/>
              <x v="18"/>
              <x v="19"/>
              <x v="20"/>
              <x v="21"/>
              <x v="22"/>
              <x v="23"/>
              <x v="24"/>
              <x v="25"/>
              <x v="26"/>
              <x v="27"/>
              <x v="28"/>
              <x v="29"/>
              <x v="30"/>
              <x v="31"/>
              <x v="32"/>
              <x v="33"/>
              <x v="34"/>
              <x v="35"/>
              <x v="36"/>
              <x v="37"/>
              <x v="38"/>
              <x v="39"/>
              <x v="40"/>
              <x v="41"/>
              <x v="42"/>
              <x v="43"/>
              <x v="44"/>
              <x v="45"/>
              <x v="46"/>
            </reference>
          </references>
        </pivotArea>
      </pivotAreas>
    </conditionalFormat>
  </conditional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2"/>
          </reference>
        </references>
      </pivotArea>
    </chartFormat>
    <chartFormat chart="7"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B1084F-94DD-4753-979C-35B8A64FB383}" name="PivotTable5"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Channels">
  <location ref="A72:C78" firstHeaderRow="0" firstDataRow="1" firstDataCol="1"/>
  <pivotFields count="30">
    <pivotField dataField="1" showAll="0"/>
    <pivotField showAll="0"/>
    <pivotField showAll="0"/>
    <pivotField showAll="0"/>
    <pivotField showAll="0"/>
    <pivotField numFmtId="14" showAll="0">
      <items count="411">
        <item x="383"/>
        <item x="308"/>
        <item x="258"/>
        <item x="118"/>
        <item x="264"/>
        <item x="339"/>
        <item x="31"/>
        <item x="398"/>
        <item x="39"/>
        <item x="89"/>
        <item x="138"/>
        <item x="76"/>
        <item x="113"/>
        <item x="19"/>
        <item x="239"/>
        <item x="284"/>
        <item x="62"/>
        <item x="119"/>
        <item x="312"/>
        <item x="163"/>
        <item x="354"/>
        <item x="230"/>
        <item x="180"/>
        <item x="141"/>
        <item x="256"/>
        <item x="61"/>
        <item x="0"/>
        <item x="283"/>
        <item x="80"/>
        <item x="289"/>
        <item x="41"/>
        <item x="176"/>
        <item x="73"/>
        <item x="168"/>
        <item x="287"/>
        <item x="214"/>
        <item x="100"/>
        <item x="123"/>
        <item x="332"/>
        <item x="148"/>
        <item x="77"/>
        <item x="402"/>
        <item x="254"/>
        <item x="38"/>
        <item x="336"/>
        <item x="295"/>
        <item x="401"/>
        <item x="155"/>
        <item x="143"/>
        <item x="167"/>
        <item x="24"/>
        <item x="374"/>
        <item x="343"/>
        <item x="159"/>
        <item x="53"/>
        <item x="3"/>
        <item x="55"/>
        <item x="66"/>
        <item x="22"/>
        <item x="161"/>
        <item x="25"/>
        <item x="294"/>
        <item x="182"/>
        <item x="207"/>
        <item x="260"/>
        <item x="93"/>
        <item x="116"/>
        <item x="63"/>
        <item x="18"/>
        <item x="125"/>
        <item x="240"/>
        <item x="149"/>
        <item x="52"/>
        <item x="313"/>
        <item x="369"/>
        <item x="367"/>
        <item x="279"/>
        <item x="45"/>
        <item x="333"/>
        <item x="353"/>
        <item x="153"/>
        <item x="127"/>
        <item x="5"/>
        <item x="201"/>
        <item x="408"/>
        <item x="228"/>
        <item x="43"/>
        <item x="306"/>
        <item x="152"/>
        <item x="251"/>
        <item x="324"/>
        <item x="299"/>
        <item x="378"/>
        <item x="26"/>
        <item x="135"/>
        <item x="11"/>
        <item x="70"/>
        <item x="69"/>
        <item x="370"/>
        <item x="170"/>
        <item x="347"/>
        <item x="377"/>
        <item x="216"/>
        <item x="190"/>
        <item x="352"/>
        <item x="165"/>
        <item x="266"/>
        <item x="318"/>
        <item x="304"/>
        <item x="133"/>
        <item x="403"/>
        <item x="193"/>
        <item x="247"/>
        <item x="246"/>
        <item x="372"/>
        <item x="86"/>
        <item x="231"/>
        <item x="68"/>
        <item x="314"/>
        <item x="9"/>
        <item x="290"/>
        <item x="58"/>
        <item x="48"/>
        <item x="197"/>
        <item x="186"/>
        <item x="32"/>
        <item x="234"/>
        <item x="385"/>
        <item x="345"/>
        <item x="21"/>
        <item x="169"/>
        <item x="131"/>
        <item x="323"/>
        <item x="172"/>
        <item x="179"/>
        <item x="56"/>
        <item x="265"/>
        <item x="139"/>
        <item x="126"/>
        <item x="85"/>
        <item x="187"/>
        <item x="49"/>
        <item x="208"/>
        <item x="384"/>
        <item x="35"/>
        <item x="34"/>
        <item x="227"/>
        <item x="337"/>
        <item x="47"/>
        <item x="261"/>
        <item x="327"/>
        <item x="325"/>
        <item x="107"/>
        <item x="134"/>
        <item x="16"/>
        <item x="330"/>
        <item x="42"/>
        <item x="221"/>
        <item x="1"/>
        <item x="248"/>
        <item x="84"/>
        <item x="75"/>
        <item x="311"/>
        <item x="121"/>
        <item x="282"/>
        <item x="322"/>
        <item x="387"/>
        <item x="269"/>
        <item x="305"/>
        <item x="302"/>
        <item x="205"/>
        <item x="217"/>
        <item x="7"/>
        <item x="368"/>
        <item x="326"/>
        <item x="219"/>
        <item x="209"/>
        <item x="242"/>
        <item x="349"/>
        <item x="177"/>
        <item x="87"/>
        <item x="8"/>
        <item x="136"/>
        <item x="146"/>
        <item x="115"/>
        <item x="394"/>
        <item x="71"/>
        <item x="344"/>
        <item x="122"/>
        <item x="341"/>
        <item x="253"/>
        <item x="183"/>
        <item x="373"/>
        <item x="44"/>
        <item x="95"/>
        <item x="157"/>
        <item x="379"/>
        <item x="263"/>
        <item x="145"/>
        <item x="268"/>
        <item x="6"/>
        <item x="288"/>
        <item x="346"/>
        <item x="382"/>
        <item x="188"/>
        <item x="23"/>
        <item x="27"/>
        <item x="229"/>
        <item x="400"/>
        <item x="405"/>
        <item x="154"/>
        <item x="191"/>
        <item x="310"/>
        <item x="395"/>
        <item x="348"/>
        <item x="171"/>
        <item x="144"/>
        <item x="74"/>
        <item x="319"/>
        <item x="275"/>
        <item x="361"/>
        <item x="78"/>
        <item x="307"/>
        <item x="276"/>
        <item x="407"/>
        <item x="338"/>
        <item x="109"/>
        <item x="64"/>
        <item x="255"/>
        <item x="393"/>
        <item x="166"/>
        <item x="381"/>
        <item x="371"/>
        <item x="83"/>
        <item x="150"/>
        <item x="296"/>
        <item x="198"/>
        <item x="213"/>
        <item x="315"/>
        <item x="72"/>
        <item x="51"/>
        <item x="215"/>
        <item x="271"/>
        <item x="90"/>
        <item x="309"/>
        <item x="117"/>
        <item x="104"/>
        <item x="101"/>
        <item x="160"/>
        <item x="108"/>
        <item x="97"/>
        <item x="189"/>
        <item x="238"/>
        <item x="342"/>
        <item x="237"/>
        <item x="37"/>
        <item x="321"/>
        <item x="14"/>
        <item x="30"/>
        <item x="297"/>
        <item x="194"/>
        <item x="2"/>
        <item x="173"/>
        <item x="300"/>
        <item x="236"/>
        <item x="20"/>
        <item x="124"/>
        <item x="375"/>
        <item x="340"/>
        <item x="292"/>
        <item x="301"/>
        <item x="13"/>
        <item x="291"/>
        <item x="223"/>
        <item x="103"/>
        <item x="54"/>
        <item x="204"/>
        <item x="212"/>
        <item x="88"/>
        <item x="350"/>
        <item x="60"/>
        <item x="396"/>
        <item x="46"/>
        <item x="320"/>
        <item x="67"/>
        <item x="147"/>
        <item x="130"/>
        <item x="392"/>
        <item x="81"/>
        <item x="114"/>
        <item x="162"/>
        <item x="366"/>
        <item x="360"/>
        <item x="158"/>
        <item x="329"/>
        <item x="94"/>
        <item x="270"/>
        <item x="281"/>
        <item x="110"/>
        <item x="249"/>
        <item x="389"/>
        <item x="358"/>
        <item x="129"/>
        <item x="244"/>
        <item x="351"/>
        <item x="280"/>
        <item x="128"/>
        <item x="185"/>
        <item x="317"/>
        <item x="259"/>
        <item x="195"/>
        <item x="59"/>
        <item x="277"/>
        <item x="112"/>
        <item x="206"/>
        <item x="210"/>
        <item x="181"/>
        <item x="98"/>
        <item x="298"/>
        <item x="409"/>
        <item x="397"/>
        <item x="224"/>
        <item x="274"/>
        <item x="243"/>
        <item x="293"/>
        <item x="233"/>
        <item x="272"/>
        <item x="28"/>
        <item x="241"/>
        <item x="363"/>
        <item x="36"/>
        <item x="331"/>
        <item x="252"/>
        <item x="365"/>
        <item x="29"/>
        <item x="218"/>
        <item x="4"/>
        <item x="391"/>
        <item x="151"/>
        <item x="278"/>
        <item x="15"/>
        <item x="257"/>
        <item x="99"/>
        <item x="355"/>
        <item x="102"/>
        <item x="399"/>
        <item x="226"/>
        <item x="12"/>
        <item x="196"/>
        <item x="262"/>
        <item x="57"/>
        <item x="92"/>
        <item x="362"/>
        <item x="359"/>
        <item x="174"/>
        <item x="142"/>
        <item x="245"/>
        <item x="285"/>
        <item x="220"/>
        <item x="335"/>
        <item x="178"/>
        <item x="200"/>
        <item x="111"/>
        <item x="137"/>
        <item x="235"/>
        <item x="386"/>
        <item x="356"/>
        <item x="211"/>
        <item x="334"/>
        <item x="376"/>
        <item x="286"/>
        <item x="79"/>
        <item x="388"/>
        <item x="17"/>
        <item x="65"/>
        <item x="406"/>
        <item x="273"/>
        <item x="232"/>
        <item x="267"/>
        <item x="156"/>
        <item x="10"/>
        <item x="316"/>
        <item x="132"/>
        <item x="328"/>
        <item x="225"/>
        <item x="106"/>
        <item x="175"/>
        <item x="140"/>
        <item x="303"/>
        <item x="199"/>
        <item x="164"/>
        <item x="222"/>
        <item x="357"/>
        <item x="184"/>
        <item x="96"/>
        <item x="203"/>
        <item x="390"/>
        <item x="404"/>
        <item x="91"/>
        <item x="33"/>
        <item x="380"/>
        <item x="82"/>
        <item x="40"/>
        <item x="250"/>
        <item x="50"/>
        <item x="202"/>
        <item x="105"/>
        <item x="192"/>
        <item x="120"/>
        <item x="364"/>
        <item t="default"/>
      </items>
    </pivotField>
    <pivotField showAll="0"/>
    <pivotField showAll="0"/>
    <pivotField showAll="0"/>
    <pivotField showAll="0"/>
    <pivotField showAll="0"/>
    <pivotField showAll="0"/>
    <pivotField dataField="1"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items count="6">
        <item x="4"/>
        <item x="3"/>
        <item x="1"/>
        <item x="0"/>
        <item x="2"/>
        <item t="default"/>
      </items>
    </pivotField>
    <pivotField showAll="0"/>
    <pivotField showAll="0">
      <items count="4">
        <item x="0"/>
        <item x="1"/>
        <item x="2"/>
        <item t="default"/>
      </items>
    </pivotField>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5">
        <item x="0"/>
        <item x="1"/>
        <item x="2"/>
        <item x="3"/>
        <item x="4"/>
      </items>
    </pivotField>
  </pivotFields>
  <rowFields count="1">
    <field x="16"/>
  </rowFields>
  <rowItems count="6">
    <i>
      <x v="3"/>
    </i>
    <i>
      <x v="2"/>
    </i>
    <i>
      <x v="1"/>
    </i>
    <i>
      <x/>
    </i>
    <i>
      <x v="4"/>
    </i>
    <i t="grand">
      <x/>
    </i>
  </rowItems>
  <colFields count="1">
    <field x="-2"/>
  </colFields>
  <colItems count="2">
    <i>
      <x/>
    </i>
    <i i="1">
      <x v="1"/>
    </i>
  </colItems>
  <dataFields count="2">
    <dataField name="Average Order Value" fld="12" subtotal="average" baseField="16" baseItem="0"/>
    <dataField name="Orders" fld="0" subtotal="count" baseField="0" baseItem="0"/>
  </dataFields>
  <chartFormats count="26">
    <chartFormat chart="15" format="0" series="1">
      <pivotArea type="data" outline="0" fieldPosition="0">
        <references count="1">
          <reference field="4294967294" count="1" selected="0">
            <x v="1"/>
          </reference>
        </references>
      </pivotArea>
    </chartFormat>
    <chartFormat chart="15" format="1"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1"/>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6" count="1" selected="0">
            <x v="3"/>
          </reference>
        </references>
      </pivotArea>
    </chartFormat>
    <chartFormat chart="16" format="3">
      <pivotArea type="data" outline="0" fieldPosition="0">
        <references count="2">
          <reference field="4294967294" count="1" selected="0">
            <x v="0"/>
          </reference>
          <reference field="16" count="1" selected="0">
            <x v="2"/>
          </reference>
        </references>
      </pivotArea>
    </chartFormat>
    <chartFormat chart="16" format="4">
      <pivotArea type="data" outline="0" fieldPosition="0">
        <references count="2">
          <reference field="4294967294" count="1" selected="0">
            <x v="0"/>
          </reference>
          <reference field="16" count="1" selected="0">
            <x v="1"/>
          </reference>
        </references>
      </pivotArea>
    </chartFormat>
    <chartFormat chart="16" format="5">
      <pivotArea type="data" outline="0" fieldPosition="0">
        <references count="2">
          <reference field="4294967294" count="1" selected="0">
            <x v="0"/>
          </reference>
          <reference field="16" count="1" selected="0">
            <x v="0"/>
          </reference>
        </references>
      </pivotArea>
    </chartFormat>
    <chartFormat chart="16" format="6">
      <pivotArea type="data" outline="0" fieldPosition="0">
        <references count="2">
          <reference field="4294967294" count="1" selected="0">
            <x v="0"/>
          </reference>
          <reference field="16" count="1" selected="0">
            <x v="4"/>
          </reference>
        </references>
      </pivotArea>
    </chartFormat>
    <chartFormat chart="16" format="7">
      <pivotArea type="data" outline="0" fieldPosition="0">
        <references count="2">
          <reference field="4294967294" count="1" selected="0">
            <x v="1"/>
          </reference>
          <reference field="16" count="1" selected="0">
            <x v="3"/>
          </reference>
        </references>
      </pivotArea>
    </chartFormat>
    <chartFormat chart="16" format="8">
      <pivotArea type="data" outline="0" fieldPosition="0">
        <references count="2">
          <reference field="4294967294" count="1" selected="0">
            <x v="1"/>
          </reference>
          <reference field="16" count="1" selected="0">
            <x v="2"/>
          </reference>
        </references>
      </pivotArea>
    </chartFormat>
    <chartFormat chart="16" format="9">
      <pivotArea type="data" outline="0" fieldPosition="0">
        <references count="2">
          <reference field="4294967294" count="1" selected="0">
            <x v="1"/>
          </reference>
          <reference field="16" count="1" selected="0">
            <x v="1"/>
          </reference>
        </references>
      </pivotArea>
    </chartFormat>
    <chartFormat chart="16" format="10">
      <pivotArea type="data" outline="0" fieldPosition="0">
        <references count="2">
          <reference field="4294967294" count="1" selected="0">
            <x v="1"/>
          </reference>
          <reference field="16" count="1" selected="0">
            <x v="0"/>
          </reference>
        </references>
      </pivotArea>
    </chartFormat>
    <chartFormat chart="16" format="11">
      <pivotArea type="data" outline="0" fieldPosition="0">
        <references count="2">
          <reference field="4294967294" count="1" selected="0">
            <x v="1"/>
          </reference>
          <reference field="16" count="1" selected="0">
            <x v="4"/>
          </reference>
        </references>
      </pivotArea>
    </chartFormat>
    <chartFormat chart="18" format="24" series="1">
      <pivotArea type="data" outline="0" fieldPosition="0">
        <references count="1">
          <reference field="4294967294" count="1" selected="0">
            <x v="0"/>
          </reference>
        </references>
      </pivotArea>
    </chartFormat>
    <chartFormat chart="18" format="25">
      <pivotArea type="data" outline="0" fieldPosition="0">
        <references count="2">
          <reference field="4294967294" count="1" selected="0">
            <x v="0"/>
          </reference>
          <reference field="16" count="1" selected="0">
            <x v="3"/>
          </reference>
        </references>
      </pivotArea>
    </chartFormat>
    <chartFormat chart="18" format="26">
      <pivotArea type="data" outline="0" fieldPosition="0">
        <references count="2">
          <reference field="4294967294" count="1" selected="0">
            <x v="0"/>
          </reference>
          <reference field="16" count="1" selected="0">
            <x v="2"/>
          </reference>
        </references>
      </pivotArea>
    </chartFormat>
    <chartFormat chart="18" format="27">
      <pivotArea type="data" outline="0" fieldPosition="0">
        <references count="2">
          <reference field="4294967294" count="1" selected="0">
            <x v="0"/>
          </reference>
          <reference field="16" count="1" selected="0">
            <x v="1"/>
          </reference>
        </references>
      </pivotArea>
    </chartFormat>
    <chartFormat chart="18" format="28">
      <pivotArea type="data" outline="0" fieldPosition="0">
        <references count="2">
          <reference field="4294967294" count="1" selected="0">
            <x v="0"/>
          </reference>
          <reference field="16" count="1" selected="0">
            <x v="0"/>
          </reference>
        </references>
      </pivotArea>
    </chartFormat>
    <chartFormat chart="18" format="29">
      <pivotArea type="data" outline="0" fieldPosition="0">
        <references count="2">
          <reference field="4294967294" count="1" selected="0">
            <x v="0"/>
          </reference>
          <reference field="16" count="1" selected="0">
            <x v="4"/>
          </reference>
        </references>
      </pivotArea>
    </chartFormat>
    <chartFormat chart="18" format="30" series="1">
      <pivotArea type="data" outline="0" fieldPosition="0">
        <references count="1">
          <reference field="4294967294" count="1" selected="0">
            <x v="1"/>
          </reference>
        </references>
      </pivotArea>
    </chartFormat>
    <chartFormat chart="18" format="31">
      <pivotArea type="data" outline="0" fieldPosition="0">
        <references count="2">
          <reference field="4294967294" count="1" selected="0">
            <x v="1"/>
          </reference>
          <reference field="16" count="1" selected="0">
            <x v="3"/>
          </reference>
        </references>
      </pivotArea>
    </chartFormat>
    <chartFormat chart="18" format="32">
      <pivotArea type="data" outline="0" fieldPosition="0">
        <references count="2">
          <reference field="4294967294" count="1" selected="0">
            <x v="1"/>
          </reference>
          <reference field="16" count="1" selected="0">
            <x v="2"/>
          </reference>
        </references>
      </pivotArea>
    </chartFormat>
    <chartFormat chart="18" format="33">
      <pivotArea type="data" outline="0" fieldPosition="0">
        <references count="2">
          <reference field="4294967294" count="1" selected="0">
            <x v="1"/>
          </reference>
          <reference field="16" count="1" selected="0">
            <x v="1"/>
          </reference>
        </references>
      </pivotArea>
    </chartFormat>
    <chartFormat chart="18" format="34">
      <pivotArea type="data" outline="0" fieldPosition="0">
        <references count="2">
          <reference field="4294967294" count="1" selected="0">
            <x v="1"/>
          </reference>
          <reference field="16" count="1" selected="0">
            <x v="0"/>
          </reference>
        </references>
      </pivotArea>
    </chartFormat>
    <chartFormat chart="18" format="35">
      <pivotArea type="data" outline="0" fieldPosition="0">
        <references count="2">
          <reference field="4294967294" count="1" selected="0">
            <x v="1"/>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9EB671-7638-4C33-82A5-D4DDF051CD73}"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S7" firstHeaderRow="1" firstDataRow="1" firstDataCol="1"/>
  <pivotFields count="30">
    <pivotField showAll="0"/>
    <pivotField showAll="0"/>
    <pivotField showAll="0"/>
    <pivotField showAll="0"/>
    <pivotField showAll="0"/>
    <pivotField numFmtId="14" showAll="0">
      <items count="411">
        <item x="383"/>
        <item x="308"/>
        <item x="258"/>
        <item x="118"/>
        <item x="264"/>
        <item x="339"/>
        <item x="31"/>
        <item x="398"/>
        <item x="39"/>
        <item x="89"/>
        <item x="138"/>
        <item x="76"/>
        <item x="113"/>
        <item x="19"/>
        <item x="239"/>
        <item x="284"/>
        <item x="62"/>
        <item x="119"/>
        <item x="312"/>
        <item x="163"/>
        <item x="354"/>
        <item x="230"/>
        <item x="180"/>
        <item x="141"/>
        <item x="256"/>
        <item x="61"/>
        <item x="0"/>
        <item x="283"/>
        <item x="80"/>
        <item x="289"/>
        <item x="41"/>
        <item x="176"/>
        <item x="73"/>
        <item x="168"/>
        <item x="287"/>
        <item x="214"/>
        <item x="100"/>
        <item x="123"/>
        <item x="332"/>
        <item x="148"/>
        <item x="77"/>
        <item x="402"/>
        <item x="254"/>
        <item x="38"/>
        <item x="336"/>
        <item x="295"/>
        <item x="401"/>
        <item x="155"/>
        <item x="143"/>
        <item x="167"/>
        <item x="24"/>
        <item x="374"/>
        <item x="343"/>
        <item x="159"/>
        <item x="53"/>
        <item x="3"/>
        <item x="55"/>
        <item x="66"/>
        <item x="22"/>
        <item x="161"/>
        <item x="25"/>
        <item x="294"/>
        <item x="182"/>
        <item x="207"/>
        <item x="260"/>
        <item x="93"/>
        <item x="116"/>
        <item x="63"/>
        <item x="18"/>
        <item x="125"/>
        <item x="240"/>
        <item x="149"/>
        <item x="52"/>
        <item x="313"/>
        <item x="369"/>
        <item x="367"/>
        <item x="279"/>
        <item x="45"/>
        <item x="333"/>
        <item x="353"/>
        <item x="153"/>
        <item x="127"/>
        <item x="5"/>
        <item x="201"/>
        <item x="408"/>
        <item x="228"/>
        <item x="43"/>
        <item x="306"/>
        <item x="152"/>
        <item x="251"/>
        <item x="324"/>
        <item x="299"/>
        <item x="378"/>
        <item x="26"/>
        <item x="135"/>
        <item x="11"/>
        <item x="70"/>
        <item x="69"/>
        <item x="370"/>
        <item x="170"/>
        <item x="347"/>
        <item x="377"/>
        <item x="216"/>
        <item x="190"/>
        <item x="352"/>
        <item x="165"/>
        <item x="266"/>
        <item x="318"/>
        <item x="304"/>
        <item x="133"/>
        <item x="403"/>
        <item x="193"/>
        <item x="247"/>
        <item x="246"/>
        <item x="372"/>
        <item x="86"/>
        <item x="231"/>
        <item x="68"/>
        <item x="314"/>
        <item x="9"/>
        <item x="290"/>
        <item x="58"/>
        <item x="48"/>
        <item x="197"/>
        <item x="186"/>
        <item x="32"/>
        <item x="234"/>
        <item x="385"/>
        <item x="345"/>
        <item x="21"/>
        <item x="169"/>
        <item x="131"/>
        <item x="323"/>
        <item x="172"/>
        <item x="179"/>
        <item x="56"/>
        <item x="265"/>
        <item x="139"/>
        <item x="126"/>
        <item x="85"/>
        <item x="187"/>
        <item x="49"/>
        <item x="208"/>
        <item x="384"/>
        <item x="35"/>
        <item x="34"/>
        <item x="227"/>
        <item x="337"/>
        <item x="47"/>
        <item x="261"/>
        <item x="327"/>
        <item x="325"/>
        <item x="107"/>
        <item x="134"/>
        <item x="16"/>
        <item x="330"/>
        <item x="42"/>
        <item x="221"/>
        <item x="1"/>
        <item x="248"/>
        <item x="84"/>
        <item x="75"/>
        <item x="311"/>
        <item x="121"/>
        <item x="282"/>
        <item x="322"/>
        <item x="387"/>
        <item x="269"/>
        <item x="305"/>
        <item x="302"/>
        <item x="205"/>
        <item x="217"/>
        <item x="7"/>
        <item x="368"/>
        <item x="326"/>
        <item x="219"/>
        <item x="209"/>
        <item x="242"/>
        <item x="349"/>
        <item x="177"/>
        <item x="87"/>
        <item x="8"/>
        <item x="136"/>
        <item x="146"/>
        <item x="115"/>
        <item x="394"/>
        <item x="71"/>
        <item x="344"/>
        <item x="122"/>
        <item x="341"/>
        <item x="253"/>
        <item x="183"/>
        <item x="373"/>
        <item x="44"/>
        <item x="95"/>
        <item x="157"/>
        <item x="379"/>
        <item x="263"/>
        <item x="145"/>
        <item x="268"/>
        <item x="6"/>
        <item x="288"/>
        <item x="346"/>
        <item x="382"/>
        <item x="188"/>
        <item x="23"/>
        <item x="27"/>
        <item x="229"/>
        <item x="400"/>
        <item x="405"/>
        <item x="154"/>
        <item x="191"/>
        <item x="310"/>
        <item x="395"/>
        <item x="348"/>
        <item x="171"/>
        <item x="144"/>
        <item x="74"/>
        <item x="319"/>
        <item x="275"/>
        <item x="361"/>
        <item x="78"/>
        <item x="307"/>
        <item x="276"/>
        <item x="407"/>
        <item x="338"/>
        <item x="109"/>
        <item x="64"/>
        <item x="255"/>
        <item x="393"/>
        <item x="166"/>
        <item x="381"/>
        <item x="371"/>
        <item x="83"/>
        <item x="150"/>
        <item x="296"/>
        <item x="198"/>
        <item x="213"/>
        <item x="315"/>
        <item x="72"/>
        <item x="51"/>
        <item x="215"/>
        <item x="271"/>
        <item x="90"/>
        <item x="309"/>
        <item x="117"/>
        <item x="104"/>
        <item x="101"/>
        <item x="160"/>
        <item x="108"/>
        <item x="97"/>
        <item x="189"/>
        <item x="238"/>
        <item x="342"/>
        <item x="237"/>
        <item x="37"/>
        <item x="321"/>
        <item x="14"/>
        <item x="30"/>
        <item x="297"/>
        <item x="194"/>
        <item x="2"/>
        <item x="173"/>
        <item x="300"/>
        <item x="236"/>
        <item x="20"/>
        <item x="124"/>
        <item x="375"/>
        <item x="340"/>
        <item x="292"/>
        <item x="301"/>
        <item x="13"/>
        <item x="291"/>
        <item x="223"/>
        <item x="103"/>
        <item x="54"/>
        <item x="204"/>
        <item x="212"/>
        <item x="88"/>
        <item x="350"/>
        <item x="60"/>
        <item x="396"/>
        <item x="46"/>
        <item x="320"/>
        <item x="67"/>
        <item x="147"/>
        <item x="130"/>
        <item x="392"/>
        <item x="81"/>
        <item x="114"/>
        <item x="162"/>
        <item x="366"/>
        <item x="360"/>
        <item x="158"/>
        <item x="329"/>
        <item x="94"/>
        <item x="270"/>
        <item x="281"/>
        <item x="110"/>
        <item x="249"/>
        <item x="389"/>
        <item x="358"/>
        <item x="129"/>
        <item x="244"/>
        <item x="351"/>
        <item x="280"/>
        <item x="128"/>
        <item x="185"/>
        <item x="317"/>
        <item x="259"/>
        <item x="195"/>
        <item x="59"/>
        <item x="277"/>
        <item x="112"/>
        <item x="206"/>
        <item x="210"/>
        <item x="181"/>
        <item x="98"/>
        <item x="298"/>
        <item x="409"/>
        <item x="397"/>
        <item x="224"/>
        <item x="274"/>
        <item x="243"/>
        <item x="293"/>
        <item x="233"/>
        <item x="272"/>
        <item x="28"/>
        <item x="241"/>
        <item x="363"/>
        <item x="36"/>
        <item x="331"/>
        <item x="252"/>
        <item x="365"/>
        <item x="29"/>
        <item x="218"/>
        <item x="4"/>
        <item x="391"/>
        <item x="151"/>
        <item x="278"/>
        <item x="15"/>
        <item x="257"/>
        <item x="99"/>
        <item x="355"/>
        <item x="102"/>
        <item x="399"/>
        <item x="226"/>
        <item x="12"/>
        <item x="196"/>
        <item x="262"/>
        <item x="57"/>
        <item x="92"/>
        <item x="362"/>
        <item x="359"/>
        <item x="174"/>
        <item x="142"/>
        <item x="245"/>
        <item x="285"/>
        <item x="220"/>
        <item x="335"/>
        <item x="178"/>
        <item x="200"/>
        <item x="111"/>
        <item x="137"/>
        <item x="235"/>
        <item x="386"/>
        <item x="356"/>
        <item x="211"/>
        <item x="334"/>
        <item x="376"/>
        <item x="286"/>
        <item x="79"/>
        <item x="388"/>
        <item x="17"/>
        <item x="65"/>
        <item x="406"/>
        <item x="273"/>
        <item x="232"/>
        <item x="267"/>
        <item x="156"/>
        <item x="10"/>
        <item x="316"/>
        <item x="132"/>
        <item x="328"/>
        <item x="225"/>
        <item x="106"/>
        <item x="175"/>
        <item x="140"/>
        <item x="303"/>
        <item x="199"/>
        <item x="164"/>
        <item x="222"/>
        <item x="357"/>
        <item x="184"/>
        <item x="96"/>
        <item x="203"/>
        <item x="390"/>
        <item x="404"/>
        <item x="91"/>
        <item x="33"/>
        <item x="380"/>
        <item x="82"/>
        <item x="40"/>
        <item x="250"/>
        <item x="50"/>
        <item x="202"/>
        <item x="105"/>
        <item x="192"/>
        <item x="120"/>
        <item x="364"/>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pivotField showAll="0">
      <items count="6">
        <item x="0"/>
        <item x="3"/>
        <item x="4"/>
        <item x="1"/>
        <item x="2"/>
        <item t="default"/>
      </items>
    </pivotField>
    <pivotField axis="axisRow" showAll="0">
      <items count="6">
        <item x="4"/>
        <item x="3"/>
        <item x="1"/>
        <item x="0"/>
        <item x="2"/>
        <item t="default"/>
      </items>
    </pivotField>
    <pivotField showAll="0"/>
    <pivotField showAll="0">
      <items count="4">
        <item x="0"/>
        <item x="1"/>
        <item x="2"/>
        <item t="default"/>
      </items>
    </pivotField>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5">
        <item x="0"/>
        <item x="1"/>
        <item x="2"/>
        <item x="3"/>
        <item x="4"/>
      </items>
    </pivotField>
  </pivotFields>
  <rowFields count="1">
    <field x="17"/>
  </rowFields>
  <rowItems count="6">
    <i>
      <x/>
    </i>
    <i>
      <x v="1"/>
    </i>
    <i>
      <x v="2"/>
    </i>
    <i>
      <x v="3"/>
    </i>
    <i>
      <x v="4"/>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2D7755F-6E93-4DAE-B573-6F349D021A4C}" autoFormatId="16" applyNumberFormats="0" applyBorderFormats="0" applyFontFormats="0" applyPatternFormats="0" applyAlignmentFormats="0" applyWidthHeightFormats="0">
  <queryTableRefresh nextId="16">
    <queryTableFields count="15">
      <queryTableField id="1" name="CustomerID" tableColumnId="1"/>
      <queryTableField id="2" name="CustomerName" tableColumnId="2"/>
      <queryTableField id="3" name="FirstName" tableColumnId="3"/>
      <queryTableField id="4" name="LastName" tableColumnId="4"/>
      <queryTableField id="5" name="Email" tableColumnId="5"/>
      <queryTableField id="6" name="Phone" tableColumnId="6"/>
      <queryTableField id="7" name="Age" tableColumnId="7"/>
      <queryTableField id="8" name="Gender" tableColumnId="8"/>
      <queryTableField id="9" name="City" tableColumnId="9"/>
      <queryTableField id="10" name="State" tableColumnId="10"/>
      <queryTableField id="11" name="Region" tableColumnId="11"/>
      <queryTableField id="12" name="Pincode" tableColumnId="12"/>
      <queryTableField id="13" name="JoinDate" tableColumnId="13"/>
      <queryTableField id="14" name="CustomerSegment" tableColumnId="14"/>
      <queryTableField id="15" name="TenureYears"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E10362D-F067-4A54-A5FD-4692FD3424BB}" autoFormatId="16" applyNumberFormats="0" applyBorderFormats="0" applyFontFormats="0" applyPatternFormats="0" applyAlignmentFormats="0" applyWidthHeightFormats="0">
  <queryTableRefresh nextId="17">
    <queryTableFields count="16">
      <queryTableField id="1" name="ProductID" tableColumnId="1"/>
      <queryTableField id="2" name="ProductName" tableColumnId="2"/>
      <queryTableField id="3" name="Brand" tableColumnId="3"/>
      <queryTableField id="4" name="Category" tableColumnId="4"/>
      <queryTableField id="5" name="SubCategory" tableColumnId="5"/>
      <queryTableField id="6" name="UnitPrice" tableColumnId="6"/>
      <queryTableField id="7" name="CostPrice" tableColumnId="7"/>
      <queryTableField id="8" name="GrossMargin" tableColumnId="8"/>
      <queryTableField id="9" name="StockQty" tableColumnId="9"/>
      <queryTableField id="10" name="Rating" tableColumnId="10"/>
      <queryTableField id="11" name="TotalReviews" tableColumnId="11"/>
      <queryTableField id="12" name="Warranty" tableColumnId="12"/>
      <queryTableField id="13" name="IsActive" tableColumnId="13"/>
      <queryTableField id="14" name="LaunchDate" tableColumnId="14"/>
      <queryTableField id="15" name="ProfitPerUnit" tableColumnId="15"/>
      <queryTableField id="16" name="PriceTier"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8580F03F-39E2-4C12-B9BB-7DB7AA7ED8A5}" autoFormatId="16" applyNumberFormats="0" applyBorderFormats="0" applyFontFormats="0" applyPatternFormats="0" applyAlignmentFormats="0" applyWidthHeightFormats="0">
  <queryTableRefresh nextId="32" unboundColumnsRight="3">
    <queryTableFields count="26">
      <queryTableField id="1" name="OrderID" tableColumnId="1"/>
      <queryTableField id="2" name="CustomerID" tableColumnId="2"/>
      <queryTableField id="28" dataBound="0" tableColumnId="26"/>
      <queryTableField id="27" dataBound="0" tableColumnId="31"/>
      <queryTableField id="4" name="SalesRepID" tableColumnId="4"/>
      <queryTableField id="5" name="OrderDate" tableColumnId="5"/>
      <queryTableField id="6" name="ShipDate" tableColumnId="6"/>
      <queryTableField id="7" name="DeliveryDate" tableColumnId="7"/>
      <queryTableField id="8" name="Quantity" tableColumnId="8"/>
      <queryTableField id="9" name="UnitPrice" tableColumnId="9"/>
      <queryTableField id="10" name="Discount" tableColumnId="10"/>
      <queryTableField id="11" name="DiscountAmount" tableColumnId="11"/>
      <queryTableField id="12" name="Revenue" tableColumnId="12"/>
      <queryTableField id="13" name="Profit" tableColumnId="13"/>
      <queryTableField id="14" name="Status" tableColumnId="14"/>
      <queryTableField id="15" name="PaymentMethod" tableColumnId="15"/>
      <queryTableField id="16" name="Channel" tableColumnId="16"/>
      <queryTableField id="17" name="Region" tableColumnId="17"/>
      <queryTableField id="18" name="Rating" tableColumnId="18"/>
      <queryTableField id="19" name="OrderYear" tableColumnId="19"/>
      <queryTableField id="20" name="OrderMonth" tableColumnId="20"/>
      <queryTableField id="21" name="OrderQuarter" tableColumnId="21"/>
      <queryTableField id="22" name="DaysToShip" tableColumnId="22"/>
      <queryTableField id="23" dataBound="0" tableColumnId="23"/>
      <queryTableField id="24" dataBound="0" tableColumnId="24"/>
      <queryTableField id="25" dataBound="0" tableColumnId="25"/>
    </queryTableFields>
    <queryTableDeletedFields count="2">
      <deletedField name="ProductID"/>
      <deletedField name="ProductID"/>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3FD5A405-6C7D-401E-B7D0-F86B06EB3E94}" autoFormatId="16" applyNumberFormats="0" applyBorderFormats="0" applyFontFormats="0" applyPatternFormats="0" applyAlignmentFormats="0" applyWidthHeightFormats="0">
  <queryTableRefresh nextId="30">
    <queryTableFields count="27">
      <queryTableField id="1" name="SalesRepID" tableColumnId="1"/>
      <queryTableField id="2" name="RepName" tableColumnId="2"/>
      <queryTableField id="3" name="FirstName" tableColumnId="3"/>
      <queryTableField id="4" name="LastName" tableColumnId="4"/>
      <queryTableField id="5" name="Email" tableColumnId="5"/>
      <queryTableField id="6" name="Phone" tableColumnId="6"/>
      <queryTableField id="7" name="Region" tableColumnId="7"/>
      <queryTableField id="8" name="Department" tableColumnId="8"/>
      <queryTableField id="9" name="Experience" tableColumnId="9"/>
      <queryTableField id="10" name="Education" tableColumnId="10"/>
      <queryTableField id="11" name="JoinDate" tableColumnId="11"/>
      <queryTableField id="12" name="BaseSalary" tableColumnId="12"/>
      <queryTableField id="13" name="DealDate" tableColumnId="13"/>
      <queryTableField id="14" name="DealStage" tableColumnId="14"/>
      <queryTableField id="15" name="DealValue" tableColumnId="15"/>
      <queryTableField id="16" name="CommissionRate" tableColumnId="16"/>
      <queryTableField id="17" name="CommissionEarned" tableColumnId="17"/>
      <queryTableField id="18" name="LeadSource" tableColumnId="18"/>
      <queryTableField id="19" name="ProductCategory" tableColumnId="19"/>
      <queryTableField id="26" name="DayToClose" tableColumnId="20"/>
      <queryTableField id="21" name="CustomerSize" tableColumnId="21"/>
      <queryTableField id="22" name="MonthlyTarget" tableColumnId="22"/>
      <queryTableField id="23" name="MonthlyAchieved" tableColumnId="23"/>
      <queryTableField id="24" name="AttainmentPct" tableColumnId="24"/>
      <queryTableField id="25" name="PerformanceRating" tableColumnId="25"/>
      <queryTableField id="27" name="DealYear" tableColumnId="26"/>
      <queryTableField id="28" name="IsWon"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C17DA1C-0B58-4519-B45E-ACFD86C917BD}" sourceName="Status">
  <pivotTables>
    <pivotTable tabId="6" name="PivotTable5"/>
  </pivotTables>
  <data>
    <tabular pivotCacheId="211257902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0047011-F5ED-4E3D-AA9E-006301F41E1D}" sourceName="Channel">
  <pivotTables>
    <pivotTable tabId="6" name="PivotTable5"/>
    <pivotTable tabId="1" name="PivotTable1"/>
    <pivotTable tabId="1" name="PivotTable2"/>
    <pivotTable tabId="1" name="PivotTable3"/>
    <pivotTable tabId="1" name="PivotTable4"/>
    <pivotTable tabId="1" name="PivotTable5"/>
  </pivotTables>
  <data>
    <tabular pivotCacheId="2112579021">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FEB61D-8237-4BB9-B56D-1C7CFECAAE2D}" sourceName="Region">
  <pivotTables>
    <pivotTable tabId="6" name="PivotTable5"/>
    <pivotTable tabId="1" name="PivotTable1"/>
    <pivotTable tabId="1" name="PivotTable2"/>
    <pivotTable tabId="1" name="PivotTable3"/>
    <pivotTable tabId="1" name="PivotTable4"/>
    <pivotTable tabId="1" name="PivotTable5"/>
  </pivotTables>
  <data>
    <tabular pivotCacheId="2112579021">
      <items count="5">
        <i x="4" s="1"/>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Year" xr10:uid="{839C3E41-69BA-4A75-9AD4-9EBFFD8B9F5D}" sourceName="OrderYear">
  <pivotTables>
    <pivotTable tabId="6" name="PivotTable5"/>
    <pivotTable tabId="1" name="PivotTable1"/>
    <pivotTable tabId="1" name="PivotTable2"/>
    <pivotTable tabId="1" name="PivotTable3"/>
    <pivotTable tabId="1" name="PivotTable4"/>
    <pivotTable tabId="1" name="PivotTable5"/>
  </pivotTables>
  <data>
    <tabular pivotCacheId="211257902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6BB7BC38-C7C9-44C9-B370-3F5F22EAF686}" cache="Slicer_Status" caption="Status" columnCount="3" showCaption="0" rowHeight="251883"/>
  <slicer name="Channel" xr10:uid="{D4347C7A-275E-411C-81F4-85941CD18DC1}" cache="Slicer_Channel" caption="Channel" columnCount="5" showCaption="0" rowHeight="251883"/>
  <slicer name="Region" xr10:uid="{C58712B2-E71F-46A6-9BE6-23A30DD27846}" cache="Slicer_Region" caption="Region" columnCount="5" showCaption="0" rowHeight="251883"/>
  <slicer name="OrderYear" xr10:uid="{E10C8A1B-EEA3-4A2C-9A27-C7F56BD37980}" cache="Slicer_OrderYear" caption="OrderYear" columnCount="3" showCaption="0"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46B480-0066-4D0D-9E37-352F19083D03}" name="customers" displayName="customers" ref="A1:O501" tableType="queryTable" totalsRowShown="0">
  <autoFilter ref="A1:O501" xr:uid="{0746B480-0066-4D0D-9E37-352F19083D03}"/>
  <tableColumns count="15">
    <tableColumn id="1" xr3:uid="{8E0DB715-08D8-473B-AFC7-A623DB8DA19F}" uniqueName="1" name="CustomerID" queryTableFieldId="1" dataDxfId="144"/>
    <tableColumn id="2" xr3:uid="{820535B6-41C8-4DDF-B669-6B303F471127}" uniqueName="2" name="CustomerName" queryTableFieldId="2" dataDxfId="143"/>
    <tableColumn id="3" xr3:uid="{DEF05FC1-0B1F-43D3-95CE-FCCCF9D20639}" uniqueName="3" name="FirstName" queryTableFieldId="3" dataDxfId="142"/>
    <tableColumn id="4" xr3:uid="{D5022982-5439-473C-841A-61ED9FCDAE0B}" uniqueName="4" name="LastName" queryTableFieldId="4" dataDxfId="141"/>
    <tableColumn id="5" xr3:uid="{001F89B9-76D0-4A9C-A369-D4D457A13D51}" uniqueName="5" name="Email" queryTableFieldId="5" dataDxfId="140"/>
    <tableColumn id="6" xr3:uid="{54C60FFF-93AC-4CB8-9F74-7AA4A0675619}" uniqueName="6" name="Phone" queryTableFieldId="6" dataDxfId="139"/>
    <tableColumn id="7" xr3:uid="{BA387E75-1A76-4742-9BA9-03D33E3499C5}" uniqueName="7" name="Age" queryTableFieldId="7"/>
    <tableColumn id="8" xr3:uid="{29F534B1-BC48-4BF1-B58C-2FAE0BFD9D8C}" uniqueName="8" name="Gender" queryTableFieldId="8" dataDxfId="138"/>
    <tableColumn id="9" xr3:uid="{394309F5-7E25-4CE2-B889-96F478F202DC}" uniqueName="9" name="City" queryTableFieldId="9" dataDxfId="137"/>
    <tableColumn id="10" xr3:uid="{92027C5B-0674-4C58-BE60-C94351B724F6}" uniqueName="10" name="State" queryTableFieldId="10" dataDxfId="136"/>
    <tableColumn id="11" xr3:uid="{F658BFBE-7AAD-4D20-88BC-F462DDF9226C}" uniqueName="11" name="Region" queryTableFieldId="11" dataDxfId="135"/>
    <tableColumn id="12" xr3:uid="{B28D3B36-BBC7-4FA2-99E7-22A26814CB61}" uniqueName="12" name="Pincode" queryTableFieldId="12" dataDxfId="134"/>
    <tableColumn id="13" xr3:uid="{12721D9C-715E-4A1F-9625-C0E714D175FF}" uniqueName="13" name="JoinDate" queryTableFieldId="13" dataDxfId="133"/>
    <tableColumn id="14" xr3:uid="{4F6BEC6E-4097-4C93-B8B4-995DCF399E72}" uniqueName="14" name="CustomerSegment" queryTableFieldId="14" dataDxfId="132"/>
    <tableColumn id="15" xr3:uid="{50AF5760-07B2-4C9D-8170-F0B1AE5B5599}" uniqueName="15" name="TenureYears"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390AC8-09CC-4BBE-8025-52A50E60DE1C}" name="products" displayName="products" ref="A1:P501" tableType="queryTable" totalsRowShown="0">
  <autoFilter ref="A1:P501" xr:uid="{FD390AC8-09CC-4BBE-8025-52A50E60DE1C}"/>
  <tableColumns count="16">
    <tableColumn id="1" xr3:uid="{2F8C1D0D-7857-49C2-90BD-48A45783FE52}" uniqueName="1" name="ProductID" queryTableFieldId="1" dataDxfId="131"/>
    <tableColumn id="2" xr3:uid="{EC7A8044-399E-42AC-9368-A61F5CF4E137}" uniqueName="2" name="ProductName" queryTableFieldId="2" dataDxfId="130"/>
    <tableColumn id="3" xr3:uid="{F08294AA-43A1-45D9-92BC-DB012F046D99}" uniqueName="3" name="Brand" queryTableFieldId="3" dataDxfId="129"/>
    <tableColumn id="4" xr3:uid="{B6CF60EB-8E39-4D27-BCB3-A0D608E6DE9C}" uniqueName="4" name="Category" queryTableFieldId="4" dataDxfId="128"/>
    <tableColumn id="5" xr3:uid="{391DD3A9-9701-4B15-9668-F645BA28143D}" uniqueName="5" name="SubCategory" queryTableFieldId="5" dataDxfId="127"/>
    <tableColumn id="6" xr3:uid="{339FBDBD-FB75-4560-85BE-FDE7C1EE9D53}" uniqueName="6" name="UnitPrice" queryTableFieldId="6"/>
    <tableColumn id="7" xr3:uid="{91FFAF9C-1B6A-47A0-8CAC-ABBACF93A029}" uniqueName="7" name="CostPrice" queryTableFieldId="7"/>
    <tableColumn id="8" xr3:uid="{C033A1D6-CCC0-40F1-BC35-CEA62F536144}" uniqueName="8" name="GrossMargin" queryTableFieldId="8" dataDxfId="126"/>
    <tableColumn id="9" xr3:uid="{FDF21C6B-2B31-44BB-ABD1-6DCCF9CDEE83}" uniqueName="9" name="StockQty" queryTableFieldId="9"/>
    <tableColumn id="10" xr3:uid="{3916C59B-2585-4F28-AEF6-F13AFFF9B3B2}" uniqueName="10" name="Rating" queryTableFieldId="10"/>
    <tableColumn id="11" xr3:uid="{47205C32-974B-4AC5-BCF5-69C00195FA34}" uniqueName="11" name="TotalReviews" queryTableFieldId="11"/>
    <tableColumn id="12" xr3:uid="{A1EEAD9D-9823-462E-8ED9-BAC8328C9A88}" uniqueName="12" name="Warranty" queryTableFieldId="12" dataDxfId="125"/>
    <tableColumn id="13" xr3:uid="{C2D8BB90-4C3F-41DF-9BA5-8A46BEA35E91}" uniqueName="13" name="IsActive" queryTableFieldId="13" dataDxfId="124"/>
    <tableColumn id="14" xr3:uid="{9C92A754-C1E5-4AEB-BB40-3500828EA1F1}" uniqueName="14" name="LaunchDate" queryTableFieldId="14" dataDxfId="123"/>
    <tableColumn id="15" xr3:uid="{7FED9964-DAB1-4036-890C-71A9A07D421C}" uniqueName="15" name="ProfitPerUnit" queryTableFieldId="15"/>
    <tableColumn id="16" xr3:uid="{C271BEFA-2957-4AB7-8A35-219DECF78179}" uniqueName="16" name="PriceTier" queryTableFieldId="16" dataDxfId="1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AE3792-2DA3-44C0-B1F9-5E5C866F3480}" name="orders" displayName="orders" ref="A1:Z501" tableType="queryTable" totalsRowShown="0">
  <autoFilter ref="A1:Z501" xr:uid="{D5AE3792-2DA3-44C0-B1F9-5E5C866F3480}"/>
  <tableColumns count="26">
    <tableColumn id="1" xr3:uid="{23AFC637-E80C-4E9C-AB7F-81CB4F7716FC}" uniqueName="1" name="OrderID" queryTableFieldId="1" dataDxfId="121"/>
    <tableColumn id="2" xr3:uid="{EEFCFB1F-E43E-4051-A5D0-E8F8AE03EE56}" uniqueName="2" name="CustomerID" queryTableFieldId="2" dataDxfId="120"/>
    <tableColumn id="26" xr3:uid="{4D277310-E7B3-42C8-836A-2A131B5AF815}" uniqueName="26" name="ProductID" queryTableFieldId="28" dataDxfId="119"/>
    <tableColumn id="31" xr3:uid="{C4F3DDF6-25DF-48BE-8040-4D801660AF8A}" uniqueName="31" name="YearMonth" queryTableFieldId="27" dataDxfId="118">
      <calculatedColumnFormula>TEXT(orders[[#This Row],[OrderDate]], "YYYY-MM")</calculatedColumnFormula>
    </tableColumn>
    <tableColumn id="4" xr3:uid="{C1777BD0-100E-4BC4-8484-3545ADE635D9}" uniqueName="4" name="SalesRepID" queryTableFieldId="4" dataDxfId="117"/>
    <tableColumn id="5" xr3:uid="{FAB72D6E-0C80-4BAD-B433-A174BDBCA74B}" uniqueName="5" name="OrderDate" queryTableFieldId="5" dataDxfId="116"/>
    <tableColumn id="6" xr3:uid="{CBE9E3FF-A908-4122-9F43-B943704B2DBA}" uniqueName="6" name="ShipDate" queryTableFieldId="6" dataDxfId="115"/>
    <tableColumn id="7" xr3:uid="{94DD2C1C-5CA5-4FB2-97E6-04FBB9C2D4E3}" uniqueName="7" name="DeliveryDate" queryTableFieldId="7" dataDxfId="114"/>
    <tableColumn id="8" xr3:uid="{C3B00852-65C4-451D-8176-6464CEA54C57}" uniqueName="8" name="Quantity" queryTableFieldId="8"/>
    <tableColumn id="9" xr3:uid="{5D71C0B9-7CEC-4DE6-B9B4-FF19808B03D7}" uniqueName="9" name="UnitPrice" queryTableFieldId="9"/>
    <tableColumn id="10" xr3:uid="{07F1A4A3-FE87-46C0-A4CC-B0C27114B476}" uniqueName="10" name="Discount" queryTableFieldId="10"/>
    <tableColumn id="11" xr3:uid="{E7C9D479-FFD4-4D07-8766-7CE2640B46C8}" uniqueName="11" name="DiscountAmount" queryTableFieldId="11"/>
    <tableColumn id="12" xr3:uid="{3DEACBC5-4911-4DFA-87B8-5D2A5A1CD4DF}" uniqueName="12" name="Revenue" queryTableFieldId="12"/>
    <tableColumn id="13" xr3:uid="{2A5CA7E5-F9AE-4E7A-B7C5-A879B8845647}" uniqueName="13" name="Profit" queryTableFieldId="13"/>
    <tableColumn id="14" xr3:uid="{6BECC989-2A7C-403F-903D-F31B714F15A0}" uniqueName="14" name="Status" queryTableFieldId="14" dataDxfId="113"/>
    <tableColumn id="15" xr3:uid="{BD82035B-AC90-442F-A868-A68BD1FE2CFF}" uniqueName="15" name="PaymentMethod" queryTableFieldId="15" dataDxfId="112"/>
    <tableColumn id="16" xr3:uid="{B9D99967-86EF-4900-97EE-EE25AA6E47DB}" uniqueName="16" name="Channel" queryTableFieldId="16" dataDxfId="111"/>
    <tableColumn id="17" xr3:uid="{5F4B5C24-A8AE-43D1-8CBC-5F4E0DD6177B}" uniqueName="17" name="Region" queryTableFieldId="17" dataDxfId="110"/>
    <tableColumn id="18" xr3:uid="{840375CA-6815-486D-9608-C9E7F4A289E7}" uniqueName="18" name="Rating" queryTableFieldId="18"/>
    <tableColumn id="19" xr3:uid="{ABAD6B44-DDFB-4329-8AD4-A9BB5D0539B4}" uniqueName="19" name="OrderYear" queryTableFieldId="19"/>
    <tableColumn id="20" xr3:uid="{EE66999D-1568-437E-9D8F-AE1ED4B5B1CE}" uniqueName="20" name="OrderMonth" queryTableFieldId="20" dataDxfId="109"/>
    <tableColumn id="21" xr3:uid="{20539E69-BC8C-49E5-A6EA-C9955A08BE27}" uniqueName="21" name="OrderQuarter" queryTableFieldId="21" dataDxfId="108"/>
    <tableColumn id="22" xr3:uid="{118E68AE-9002-41D9-9BE1-FA66A2FA5E16}" uniqueName="22" name="DaysToShip" queryTableFieldId="22"/>
    <tableColumn id="23" xr3:uid="{3F97A6DA-DB50-4E42-BC8D-B667323B75A7}" uniqueName="23" name="DataFlag" queryTableFieldId="23" dataDxfId="107">
      <calculatedColumnFormula>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calculatedColumnFormula>
    </tableColumn>
    <tableColumn id="24" xr3:uid="{0F02A48F-E91B-42F3-B053-384FCBCECF1D}" uniqueName="24" name="IsOutlier" queryTableFieldId="24" dataDxfId="106">
      <calculatedColumnFormula>IF(orders[[#This Row],[Revenue]]&gt;AVERAGE(orders[Revenue])+3*STDEV(orders[Revenue]),"High Outlier",
 IF(orders[[#This Row],[Revenue]]&lt;AVERAGE(orders[Revenue])-3*STDEV(orders[Revenue]),"Low Outlier",
 "Normal"))</calculatedColumnFormula>
    </tableColumn>
    <tableColumn id="25" xr3:uid="{3B026422-936C-40AA-B6B2-B753CDD0793C}" uniqueName="25" name="RecordAge_Days" queryTableFieldId="25" dataDxfId="105">
      <calculatedColumnFormula xml:space="preserve"> _xlfn.DAYS(TODAY(), orders[[#This Row],[OrderDate]])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EB9951-5E99-4837-925A-CB259A6C8909}" name="sales_reps" displayName="sales_reps" ref="A1:AA501" tableType="queryTable" totalsRowShown="0">
  <autoFilter ref="A1:AA501" xr:uid="{68EB9951-5E99-4837-925A-CB259A6C8909}"/>
  <tableColumns count="27">
    <tableColumn id="1" xr3:uid="{7CD5696C-933E-4046-8F3F-43582E8FD192}" uniqueName="1" name="SalesRepID" queryTableFieldId="1" dataDxfId="104"/>
    <tableColumn id="2" xr3:uid="{DBB1142E-FC45-4713-A6B4-B86894D974E6}" uniqueName="2" name="RepName" queryTableFieldId="2" dataDxfId="103"/>
    <tableColumn id="3" xr3:uid="{C0DC6A36-E254-4B1F-A2F5-BB24CDD348F9}" uniqueName="3" name="FirstName" queryTableFieldId="3" dataDxfId="102"/>
    <tableColumn id="4" xr3:uid="{886C0163-5606-4991-B72F-1F6A69BEBF84}" uniqueName="4" name="LastName" queryTableFieldId="4" dataDxfId="101"/>
    <tableColumn id="5" xr3:uid="{DDD7F04D-7493-4596-8BF1-6FC715619D32}" uniqueName="5" name="Email" queryTableFieldId="5" dataDxfId="100"/>
    <tableColumn id="6" xr3:uid="{2C9DC287-7984-4B29-9B32-653363805B05}" uniqueName="6" name="Phone" queryTableFieldId="6" dataDxfId="99"/>
    <tableColumn id="7" xr3:uid="{D7515E53-48C9-44BD-B474-4875229E6CEB}" uniqueName="7" name="Region" queryTableFieldId="7" dataDxfId="98"/>
    <tableColumn id="8" xr3:uid="{8346D106-157A-437F-8561-BDD2E3D016C2}" uniqueName="8" name="Department" queryTableFieldId="8" dataDxfId="97"/>
    <tableColumn id="9" xr3:uid="{EEB4EE7A-FE1C-4077-A804-AE1BC7E53FFC}" uniqueName="9" name="Experience" queryTableFieldId="9" dataDxfId="96"/>
    <tableColumn id="10" xr3:uid="{8CD46C1E-037E-4748-885B-080532126E4A}" uniqueName="10" name="Education" queryTableFieldId="10" dataDxfId="95"/>
    <tableColumn id="11" xr3:uid="{87128EF7-D643-4EA7-AAAF-D7E49D133C44}" uniqueName="11" name="JoinDate" queryTableFieldId="11" dataDxfId="94"/>
    <tableColumn id="12" xr3:uid="{C0CC4FC6-24C3-4095-B14B-F0F9F3FEFFC6}" uniqueName="12" name="BaseSalary" queryTableFieldId="12" dataDxfId="93"/>
    <tableColumn id="13" xr3:uid="{3E3EBAAD-39B8-4946-8122-E0BC96AC2A4E}" uniqueName="13" name="DealDate" queryTableFieldId="13" dataDxfId="92"/>
    <tableColumn id="14" xr3:uid="{164734F8-FCA2-4A3B-9A3C-A729A0E9EEB4}" uniqueName="14" name="DealStage" queryTableFieldId="14" dataDxfId="91"/>
    <tableColumn id="15" xr3:uid="{80AA3065-1B76-4E01-9982-533D782D4D71}" uniqueName="15" name="DealValue" queryTableFieldId="15"/>
    <tableColumn id="16" xr3:uid="{65FBD0F2-B6C5-403B-925C-AC0027050DD9}" uniqueName="16" name="CommissionRate" queryTableFieldId="16" dataDxfId="90"/>
    <tableColumn id="17" xr3:uid="{B9F53466-A369-4D25-A98F-0F38C81C11FE}" uniqueName="17" name="CommissionEarned" queryTableFieldId="17" dataDxfId="89"/>
    <tableColumn id="18" xr3:uid="{9E219C65-4FCE-427E-83A4-C9E4D8A8B92E}" uniqueName="18" name="LeadSource" queryTableFieldId="18" dataDxfId="88"/>
    <tableColumn id="19" xr3:uid="{419B8BAD-058F-4EA3-A9AF-99E4471B39E2}" uniqueName="19" name="ProductCategory" queryTableFieldId="19" dataDxfId="87"/>
    <tableColumn id="20" xr3:uid="{76503479-C3A2-4BB3-93B5-A5760816BEF1}" uniqueName="20" name="DayToClose" queryTableFieldId="26"/>
    <tableColumn id="21" xr3:uid="{FDC535B6-339A-48F9-9CA1-CCFADEAEA834}" uniqueName="21" name="CustomerSize" queryTableFieldId="21" dataDxfId="86"/>
    <tableColumn id="22" xr3:uid="{201FFCEA-E536-45E5-98DB-2375E441772B}" uniqueName="22" name="MonthlyTarget" queryTableFieldId="22"/>
    <tableColumn id="23" xr3:uid="{C94015F1-05E9-4E8A-AEA6-58FEE33E2349}" uniqueName="23" name="MonthlyAchieved" queryTableFieldId="23" dataDxfId="85"/>
    <tableColumn id="24" xr3:uid="{6B0817FF-0618-463A-9D75-A880FEBEDB2E}" uniqueName="24" name="AttainmentPct" queryTableFieldId="24" dataDxfId="84"/>
    <tableColumn id="25" xr3:uid="{6B7FA0B9-1FC6-444C-B6D4-2CB157B6E26D}" uniqueName="25" name="PerformanceRating" queryTableFieldId="25" dataDxfId="83"/>
    <tableColumn id="26" xr3:uid="{D2607D03-39CE-4A65-BC36-A513DA9AF95B}" uniqueName="26" name="DealYear" queryTableFieldId="27"/>
    <tableColumn id="27" xr3:uid="{79FE35FB-CE05-4884-8DA2-DCC5025DBC63}" uniqueName="27" name="IsWon" queryTableFieldId="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7.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7327F-77DC-4C49-AF28-F4BBF3ED659B}">
  <sheetPr>
    <tabColor rgb="FF7030A0"/>
  </sheetPr>
  <dimension ref="A1:O501"/>
  <sheetViews>
    <sheetView workbookViewId="0">
      <selection activeCell="O501" sqref="O501"/>
    </sheetView>
  </sheetViews>
  <sheetFormatPr defaultRowHeight="14.5"/>
  <cols>
    <col min="1" max="1" width="13.08984375" bestFit="1" customWidth="1"/>
    <col min="2" max="2" width="18.26953125" bestFit="1" customWidth="1"/>
    <col min="3" max="3" width="11.7265625" bestFit="1" customWidth="1"/>
    <col min="4" max="4" width="11.453125" bestFit="1" customWidth="1"/>
    <col min="5" max="5" width="31.453125" bestFit="1" customWidth="1"/>
    <col min="6" max="6" width="10.81640625" bestFit="1" customWidth="1"/>
    <col min="7" max="7" width="6.08984375" bestFit="1" customWidth="1"/>
    <col min="8" max="8" width="9.1796875" bestFit="1" customWidth="1"/>
    <col min="9" max="9" width="13.453125" bestFit="1" customWidth="1"/>
    <col min="10" max="10" width="15.08984375" bestFit="1" customWidth="1"/>
    <col min="11" max="11" width="8.81640625" bestFit="1" customWidth="1"/>
    <col min="12" max="12" width="9.90625" bestFit="1" customWidth="1"/>
    <col min="13" max="13" width="10.26953125" bestFit="1" customWidth="1"/>
    <col min="14" max="14" width="18.7265625" bestFit="1" customWidth="1"/>
    <col min="15" max="15" width="13.453125" bestFit="1"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v>54</v>
      </c>
      <c r="H2" t="s">
        <v>21</v>
      </c>
      <c r="I2" t="s">
        <v>22</v>
      </c>
      <c r="J2" t="s">
        <v>23</v>
      </c>
      <c r="K2" t="s">
        <v>24</v>
      </c>
      <c r="L2" t="s">
        <v>25</v>
      </c>
      <c r="M2" s="1">
        <v>45216</v>
      </c>
      <c r="N2" t="s">
        <v>26</v>
      </c>
      <c r="O2">
        <v>3</v>
      </c>
    </row>
    <row r="3" spans="1:15">
      <c r="A3" t="s">
        <v>27</v>
      </c>
      <c r="B3" t="s">
        <v>28</v>
      </c>
      <c r="C3" t="s">
        <v>29</v>
      </c>
      <c r="D3" t="s">
        <v>30</v>
      </c>
      <c r="E3" t="s">
        <v>31</v>
      </c>
      <c r="F3" t="s">
        <v>32</v>
      </c>
      <c r="G3">
        <v>55</v>
      </c>
      <c r="H3" t="s">
        <v>21</v>
      </c>
      <c r="I3" t="s">
        <v>33</v>
      </c>
      <c r="J3" t="s">
        <v>34</v>
      </c>
      <c r="K3" t="s">
        <v>35</v>
      </c>
      <c r="L3" t="s">
        <v>36</v>
      </c>
      <c r="M3" s="1">
        <v>43885</v>
      </c>
      <c r="N3" t="s">
        <v>26</v>
      </c>
      <c r="O3">
        <v>6</v>
      </c>
    </row>
    <row r="4" spans="1:15">
      <c r="A4" t="s">
        <v>37</v>
      </c>
      <c r="B4" t="s">
        <v>38</v>
      </c>
      <c r="C4" t="s">
        <v>39</v>
      </c>
      <c r="D4" t="s">
        <v>40</v>
      </c>
      <c r="E4" t="s">
        <v>41</v>
      </c>
      <c r="F4" t="s">
        <v>42</v>
      </c>
      <c r="G4">
        <v>41</v>
      </c>
      <c r="H4" t="s">
        <v>43</v>
      </c>
      <c r="I4" t="s">
        <v>44</v>
      </c>
      <c r="J4" t="s">
        <v>45</v>
      </c>
      <c r="K4" t="s">
        <v>46</v>
      </c>
      <c r="L4" t="s">
        <v>47</v>
      </c>
      <c r="M4" s="1">
        <v>44696</v>
      </c>
      <c r="N4" t="s">
        <v>48</v>
      </c>
      <c r="O4">
        <v>4</v>
      </c>
    </row>
    <row r="5" spans="1:15">
      <c r="A5" t="s">
        <v>49</v>
      </c>
      <c r="B5" t="s">
        <v>50</v>
      </c>
      <c r="C5" t="s">
        <v>51</v>
      </c>
      <c r="D5" t="s">
        <v>52</v>
      </c>
      <c r="E5" t="s">
        <v>53</v>
      </c>
      <c r="F5" t="s">
        <v>54</v>
      </c>
      <c r="G5">
        <v>42</v>
      </c>
      <c r="H5" t="s">
        <v>55</v>
      </c>
      <c r="I5" t="s">
        <v>56</v>
      </c>
      <c r="J5" t="s">
        <v>57</v>
      </c>
      <c r="K5" t="s">
        <v>46</v>
      </c>
      <c r="L5" t="s">
        <v>58</v>
      </c>
      <c r="M5" s="1">
        <v>45566</v>
      </c>
      <c r="N5" t="s">
        <v>48</v>
      </c>
      <c r="O5">
        <v>2</v>
      </c>
    </row>
    <row r="6" spans="1:15">
      <c r="A6" t="s">
        <v>59</v>
      </c>
      <c r="B6" t="s">
        <v>60</v>
      </c>
      <c r="C6" t="s">
        <v>61</v>
      </c>
      <c r="D6" t="s">
        <v>62</v>
      </c>
      <c r="E6" t="s">
        <v>63</v>
      </c>
      <c r="F6" t="s">
        <v>64</v>
      </c>
      <c r="G6">
        <v>43</v>
      </c>
      <c r="H6" t="s">
        <v>55</v>
      </c>
      <c r="I6" t="s">
        <v>65</v>
      </c>
      <c r="J6" t="s">
        <v>66</v>
      </c>
      <c r="K6" t="s">
        <v>35</v>
      </c>
      <c r="L6" t="s">
        <v>67</v>
      </c>
      <c r="M6" s="1">
        <v>44431</v>
      </c>
      <c r="N6" t="s">
        <v>48</v>
      </c>
      <c r="O6">
        <v>5</v>
      </c>
    </row>
    <row r="7" spans="1:15">
      <c r="A7" t="s">
        <v>68</v>
      </c>
      <c r="B7" t="s">
        <v>69</v>
      </c>
      <c r="C7" t="s">
        <v>70</v>
      </c>
      <c r="D7" t="s">
        <v>71</v>
      </c>
      <c r="E7" t="s">
        <v>72</v>
      </c>
      <c r="F7" t="s">
        <v>73</v>
      </c>
      <c r="G7">
        <v>37</v>
      </c>
      <c r="H7" t="s">
        <v>43</v>
      </c>
      <c r="I7" t="s">
        <v>74</v>
      </c>
      <c r="J7" t="s">
        <v>75</v>
      </c>
      <c r="K7" t="s">
        <v>76</v>
      </c>
      <c r="L7" t="s">
        <v>77</v>
      </c>
      <c r="M7" s="1">
        <v>44609</v>
      </c>
      <c r="N7" t="s">
        <v>48</v>
      </c>
      <c r="O7">
        <v>4</v>
      </c>
    </row>
    <row r="8" spans="1:15">
      <c r="A8" t="s">
        <v>78</v>
      </c>
      <c r="B8" t="s">
        <v>79</v>
      </c>
      <c r="C8" t="s">
        <v>80</v>
      </c>
      <c r="D8" t="s">
        <v>81</v>
      </c>
      <c r="E8" t="s">
        <v>82</v>
      </c>
      <c r="F8" t="s">
        <v>83</v>
      </c>
      <c r="G8">
        <v>24</v>
      </c>
      <c r="H8" t="s">
        <v>55</v>
      </c>
      <c r="I8" t="s">
        <v>84</v>
      </c>
      <c r="J8" t="s">
        <v>85</v>
      </c>
      <c r="K8" t="s">
        <v>24</v>
      </c>
      <c r="L8" t="s">
        <v>86</v>
      </c>
      <c r="M8" s="1">
        <v>45158</v>
      </c>
      <c r="N8" t="s">
        <v>48</v>
      </c>
      <c r="O8">
        <v>3</v>
      </c>
    </row>
    <row r="9" spans="1:15">
      <c r="A9" t="s">
        <v>87</v>
      </c>
      <c r="B9" t="s">
        <v>88</v>
      </c>
      <c r="C9" t="s">
        <v>89</v>
      </c>
      <c r="D9" t="s">
        <v>62</v>
      </c>
      <c r="E9" t="s">
        <v>90</v>
      </c>
      <c r="F9" t="s">
        <v>91</v>
      </c>
      <c r="G9">
        <v>55</v>
      </c>
      <c r="H9" t="s">
        <v>21</v>
      </c>
      <c r="I9" t="s">
        <v>92</v>
      </c>
      <c r="J9" t="s">
        <v>45</v>
      </c>
      <c r="K9" t="s">
        <v>46</v>
      </c>
      <c r="L9" t="s">
        <v>93</v>
      </c>
      <c r="M9" s="1">
        <v>45240</v>
      </c>
      <c r="N9" t="s">
        <v>48</v>
      </c>
      <c r="O9">
        <v>3</v>
      </c>
    </row>
    <row r="10" spans="1:15">
      <c r="A10" t="s">
        <v>94</v>
      </c>
      <c r="B10" t="s">
        <v>95</v>
      </c>
      <c r="C10" t="s">
        <v>96</v>
      </c>
      <c r="D10" t="s">
        <v>97</v>
      </c>
      <c r="E10" t="s">
        <v>98</v>
      </c>
      <c r="F10" t="s">
        <v>99</v>
      </c>
      <c r="G10">
        <v>24</v>
      </c>
      <c r="H10" t="s">
        <v>21</v>
      </c>
      <c r="I10" t="s">
        <v>100</v>
      </c>
      <c r="J10" t="s">
        <v>57</v>
      </c>
      <c r="K10" t="s">
        <v>46</v>
      </c>
      <c r="L10" t="s">
        <v>101</v>
      </c>
      <c r="M10" s="1">
        <v>44379</v>
      </c>
      <c r="N10" t="s">
        <v>26</v>
      </c>
      <c r="O10">
        <v>5</v>
      </c>
    </row>
    <row r="11" spans="1:15">
      <c r="A11" t="s">
        <v>102</v>
      </c>
      <c r="B11" t="s">
        <v>103</v>
      </c>
      <c r="C11" t="s">
        <v>104</v>
      </c>
      <c r="D11" t="s">
        <v>105</v>
      </c>
      <c r="E11" t="s">
        <v>106</v>
      </c>
      <c r="F11" t="s">
        <v>107</v>
      </c>
      <c r="G11">
        <v>28</v>
      </c>
      <c r="H11" t="s">
        <v>21</v>
      </c>
      <c r="I11" t="s">
        <v>108</v>
      </c>
      <c r="J11" t="s">
        <v>57</v>
      </c>
      <c r="K11" t="s">
        <v>46</v>
      </c>
      <c r="L11" t="s">
        <v>109</v>
      </c>
      <c r="M11" s="1">
        <v>44373</v>
      </c>
      <c r="N11" t="s">
        <v>26</v>
      </c>
      <c r="O11">
        <v>5</v>
      </c>
    </row>
    <row r="12" spans="1:15">
      <c r="A12" t="s">
        <v>110</v>
      </c>
      <c r="B12" t="s">
        <v>111</v>
      </c>
      <c r="C12" t="s">
        <v>89</v>
      </c>
      <c r="D12" t="s">
        <v>112</v>
      </c>
      <c r="E12" t="s">
        <v>113</v>
      </c>
      <c r="F12" t="s">
        <v>114</v>
      </c>
      <c r="G12">
        <v>28</v>
      </c>
      <c r="H12" t="s">
        <v>55</v>
      </c>
      <c r="I12" t="s">
        <v>115</v>
      </c>
      <c r="J12" t="s">
        <v>116</v>
      </c>
      <c r="K12" t="s">
        <v>24</v>
      </c>
      <c r="L12" t="s">
        <v>117</v>
      </c>
      <c r="M12" s="1">
        <v>44280</v>
      </c>
      <c r="N12" t="s">
        <v>118</v>
      </c>
      <c r="O12">
        <v>5</v>
      </c>
    </row>
    <row r="13" spans="1:15">
      <c r="A13" t="s">
        <v>119</v>
      </c>
      <c r="B13" t="s">
        <v>120</v>
      </c>
      <c r="C13" t="s">
        <v>121</v>
      </c>
      <c r="D13" t="s">
        <v>52</v>
      </c>
      <c r="E13" t="s">
        <v>122</v>
      </c>
      <c r="F13" t="s">
        <v>123</v>
      </c>
      <c r="G13">
        <v>24</v>
      </c>
      <c r="H13" t="s">
        <v>43</v>
      </c>
      <c r="I13" t="s">
        <v>44</v>
      </c>
      <c r="J13" t="s">
        <v>45</v>
      </c>
      <c r="K13" t="s">
        <v>46</v>
      </c>
      <c r="L13" t="s">
        <v>124</v>
      </c>
      <c r="M13" s="1">
        <v>44695</v>
      </c>
      <c r="N13" t="s">
        <v>118</v>
      </c>
      <c r="O13">
        <v>4</v>
      </c>
    </row>
    <row r="14" spans="1:15">
      <c r="A14" t="s">
        <v>125</v>
      </c>
      <c r="B14" t="s">
        <v>126</v>
      </c>
      <c r="C14" t="s">
        <v>127</v>
      </c>
      <c r="D14" t="s">
        <v>128</v>
      </c>
      <c r="E14" t="s">
        <v>129</v>
      </c>
      <c r="F14" t="s">
        <v>130</v>
      </c>
      <c r="G14">
        <v>27</v>
      </c>
      <c r="H14" t="s">
        <v>55</v>
      </c>
      <c r="I14" t="s">
        <v>131</v>
      </c>
      <c r="J14" t="s">
        <v>57</v>
      </c>
      <c r="K14" t="s">
        <v>46</v>
      </c>
      <c r="L14" t="s">
        <v>132</v>
      </c>
      <c r="M14" s="1">
        <v>45307</v>
      </c>
      <c r="N14" t="s">
        <v>48</v>
      </c>
      <c r="O14">
        <v>2</v>
      </c>
    </row>
    <row r="15" spans="1:15">
      <c r="A15" t="s">
        <v>133</v>
      </c>
      <c r="B15" t="s">
        <v>134</v>
      </c>
      <c r="C15" t="s">
        <v>96</v>
      </c>
      <c r="D15" t="s">
        <v>135</v>
      </c>
      <c r="E15" t="s">
        <v>136</v>
      </c>
      <c r="F15" t="s">
        <v>137</v>
      </c>
      <c r="G15">
        <v>36</v>
      </c>
      <c r="H15" t="s">
        <v>55</v>
      </c>
      <c r="I15" t="s">
        <v>44</v>
      </c>
      <c r="J15" t="s">
        <v>45</v>
      </c>
      <c r="K15" t="s">
        <v>46</v>
      </c>
      <c r="L15" t="s">
        <v>138</v>
      </c>
      <c r="M15" s="1">
        <v>43837</v>
      </c>
      <c r="N15" t="s">
        <v>48</v>
      </c>
      <c r="O15">
        <v>6</v>
      </c>
    </row>
    <row r="16" spans="1:15">
      <c r="A16" t="s">
        <v>139</v>
      </c>
      <c r="B16" t="s">
        <v>140</v>
      </c>
      <c r="C16" t="s">
        <v>141</v>
      </c>
      <c r="D16" t="s">
        <v>142</v>
      </c>
      <c r="E16" t="s">
        <v>143</v>
      </c>
      <c r="F16" t="s">
        <v>144</v>
      </c>
      <c r="G16">
        <v>29</v>
      </c>
      <c r="H16" t="s">
        <v>43</v>
      </c>
      <c r="I16" t="s">
        <v>33</v>
      </c>
      <c r="J16" t="s">
        <v>34</v>
      </c>
      <c r="K16" t="s">
        <v>35</v>
      </c>
      <c r="L16" t="s">
        <v>145</v>
      </c>
      <c r="M16" s="1">
        <v>44238</v>
      </c>
      <c r="N16" t="s">
        <v>48</v>
      </c>
      <c r="O16">
        <v>5</v>
      </c>
    </row>
    <row r="17" spans="1:15">
      <c r="A17" t="s">
        <v>146</v>
      </c>
      <c r="B17" t="s">
        <v>147</v>
      </c>
      <c r="C17" t="s">
        <v>148</v>
      </c>
      <c r="D17" t="s">
        <v>97</v>
      </c>
      <c r="E17" t="s">
        <v>149</v>
      </c>
      <c r="F17" t="s">
        <v>150</v>
      </c>
      <c r="G17">
        <v>21</v>
      </c>
      <c r="H17" t="s">
        <v>21</v>
      </c>
      <c r="I17" t="s">
        <v>151</v>
      </c>
      <c r="J17" t="s">
        <v>75</v>
      </c>
      <c r="K17" t="s">
        <v>76</v>
      </c>
      <c r="L17" t="s">
        <v>152</v>
      </c>
      <c r="M17" s="1">
        <v>44831</v>
      </c>
      <c r="N17" t="s">
        <v>48</v>
      </c>
      <c r="O17">
        <v>4</v>
      </c>
    </row>
    <row r="18" spans="1:15">
      <c r="A18" t="s">
        <v>153</v>
      </c>
      <c r="B18" t="s">
        <v>154</v>
      </c>
      <c r="C18" t="s">
        <v>155</v>
      </c>
      <c r="D18" t="s">
        <v>156</v>
      </c>
      <c r="E18" t="s">
        <v>157</v>
      </c>
      <c r="F18" t="s">
        <v>158</v>
      </c>
      <c r="G18">
        <v>51</v>
      </c>
      <c r="H18" t="s">
        <v>21</v>
      </c>
      <c r="I18" t="s">
        <v>65</v>
      </c>
      <c r="J18" t="s">
        <v>66</v>
      </c>
      <c r="K18" t="s">
        <v>35</v>
      </c>
      <c r="L18" t="s">
        <v>159</v>
      </c>
      <c r="M18" s="1">
        <v>45329</v>
      </c>
      <c r="N18" t="s">
        <v>26</v>
      </c>
      <c r="O18">
        <v>2</v>
      </c>
    </row>
    <row r="19" spans="1:15">
      <c r="A19" t="s">
        <v>160</v>
      </c>
      <c r="B19" t="s">
        <v>161</v>
      </c>
      <c r="C19" t="s">
        <v>96</v>
      </c>
      <c r="D19" t="s">
        <v>162</v>
      </c>
      <c r="E19" t="s">
        <v>163</v>
      </c>
      <c r="F19" t="s">
        <v>164</v>
      </c>
      <c r="G19">
        <v>47</v>
      </c>
      <c r="H19" t="s">
        <v>21</v>
      </c>
      <c r="I19" t="s">
        <v>165</v>
      </c>
      <c r="J19" t="s">
        <v>166</v>
      </c>
      <c r="K19" t="s">
        <v>35</v>
      </c>
      <c r="L19" t="s">
        <v>167</v>
      </c>
      <c r="M19" s="1">
        <v>45617</v>
      </c>
      <c r="N19" t="s">
        <v>26</v>
      </c>
      <c r="O19">
        <v>2</v>
      </c>
    </row>
    <row r="20" spans="1:15">
      <c r="A20" t="s">
        <v>168</v>
      </c>
      <c r="B20" t="s">
        <v>169</v>
      </c>
      <c r="C20" t="s">
        <v>170</v>
      </c>
      <c r="D20" t="s">
        <v>62</v>
      </c>
      <c r="E20" t="s">
        <v>171</v>
      </c>
      <c r="F20" t="s">
        <v>172</v>
      </c>
      <c r="G20">
        <v>43</v>
      </c>
      <c r="H20" t="s">
        <v>43</v>
      </c>
      <c r="I20" t="s">
        <v>115</v>
      </c>
      <c r="J20" t="s">
        <v>116</v>
      </c>
      <c r="K20" t="s">
        <v>24</v>
      </c>
      <c r="L20" t="s">
        <v>173</v>
      </c>
      <c r="M20" s="1">
        <v>45161</v>
      </c>
      <c r="N20" t="s">
        <v>26</v>
      </c>
      <c r="O20">
        <v>3</v>
      </c>
    </row>
    <row r="21" spans="1:15">
      <c r="A21" t="s">
        <v>174</v>
      </c>
      <c r="B21" t="s">
        <v>175</v>
      </c>
      <c r="C21" t="s">
        <v>176</v>
      </c>
      <c r="D21" t="s">
        <v>18</v>
      </c>
      <c r="E21" t="s">
        <v>177</v>
      </c>
      <c r="F21" t="s">
        <v>178</v>
      </c>
      <c r="G21">
        <v>34</v>
      </c>
      <c r="H21" t="s">
        <v>55</v>
      </c>
      <c r="I21" t="s">
        <v>179</v>
      </c>
      <c r="J21" t="s">
        <v>179</v>
      </c>
      <c r="K21" t="s">
        <v>24</v>
      </c>
      <c r="L21" t="s">
        <v>180</v>
      </c>
      <c r="M21" s="1">
        <v>44965</v>
      </c>
      <c r="N21" t="s">
        <v>48</v>
      </c>
      <c r="O21">
        <v>3</v>
      </c>
    </row>
    <row r="22" spans="1:15">
      <c r="A22" t="s">
        <v>181</v>
      </c>
      <c r="B22" t="s">
        <v>182</v>
      </c>
      <c r="C22" t="s">
        <v>183</v>
      </c>
      <c r="D22" t="s">
        <v>71</v>
      </c>
      <c r="E22" t="s">
        <v>184</v>
      </c>
      <c r="F22" t="s">
        <v>185</v>
      </c>
      <c r="G22">
        <v>52</v>
      </c>
      <c r="H22" t="s">
        <v>21</v>
      </c>
      <c r="I22" t="s">
        <v>186</v>
      </c>
      <c r="J22" t="s">
        <v>187</v>
      </c>
      <c r="K22" t="s">
        <v>188</v>
      </c>
      <c r="L22" t="s">
        <v>189</v>
      </c>
      <c r="M22" s="1">
        <v>43976</v>
      </c>
      <c r="N22" t="s">
        <v>48</v>
      </c>
      <c r="O22">
        <v>6</v>
      </c>
    </row>
    <row r="23" spans="1:15">
      <c r="A23" t="s">
        <v>190</v>
      </c>
      <c r="B23" t="s">
        <v>191</v>
      </c>
      <c r="C23" t="s">
        <v>192</v>
      </c>
      <c r="D23" t="s">
        <v>193</v>
      </c>
      <c r="E23" t="s">
        <v>194</v>
      </c>
      <c r="F23" t="s">
        <v>195</v>
      </c>
      <c r="G23">
        <v>35</v>
      </c>
      <c r="H23" t="s">
        <v>43</v>
      </c>
      <c r="I23" t="s">
        <v>196</v>
      </c>
      <c r="J23" t="s">
        <v>197</v>
      </c>
      <c r="K23" t="s">
        <v>24</v>
      </c>
      <c r="L23" t="s">
        <v>198</v>
      </c>
      <c r="M23" s="1">
        <v>44799</v>
      </c>
      <c r="N23" t="s">
        <v>118</v>
      </c>
      <c r="O23">
        <v>4</v>
      </c>
    </row>
    <row r="24" spans="1:15">
      <c r="A24" t="s">
        <v>199</v>
      </c>
      <c r="B24" t="s">
        <v>200</v>
      </c>
      <c r="C24" t="s">
        <v>201</v>
      </c>
      <c r="D24" t="s">
        <v>202</v>
      </c>
      <c r="E24" t="s">
        <v>203</v>
      </c>
      <c r="F24" t="s">
        <v>204</v>
      </c>
      <c r="G24">
        <v>23</v>
      </c>
      <c r="H24" t="s">
        <v>21</v>
      </c>
      <c r="I24" t="s">
        <v>205</v>
      </c>
      <c r="J24" t="s">
        <v>57</v>
      </c>
      <c r="K24" t="s">
        <v>46</v>
      </c>
      <c r="L24" t="s">
        <v>206</v>
      </c>
      <c r="M24" s="1">
        <v>45600</v>
      </c>
      <c r="N24" t="s">
        <v>48</v>
      </c>
      <c r="O24">
        <v>2</v>
      </c>
    </row>
    <row r="25" spans="1:15">
      <c r="A25" t="s">
        <v>207</v>
      </c>
      <c r="B25" t="s">
        <v>208</v>
      </c>
      <c r="C25" t="s">
        <v>209</v>
      </c>
      <c r="D25" t="s">
        <v>62</v>
      </c>
      <c r="E25" t="s">
        <v>210</v>
      </c>
      <c r="F25" t="s">
        <v>211</v>
      </c>
      <c r="G25">
        <v>48</v>
      </c>
      <c r="H25" t="s">
        <v>21</v>
      </c>
      <c r="I25" t="s">
        <v>212</v>
      </c>
      <c r="J25" t="s">
        <v>57</v>
      </c>
      <c r="K25" t="s">
        <v>46</v>
      </c>
      <c r="L25" t="s">
        <v>213</v>
      </c>
      <c r="M25" s="1">
        <v>44929</v>
      </c>
      <c r="N25" t="s">
        <v>118</v>
      </c>
      <c r="O25">
        <v>3</v>
      </c>
    </row>
    <row r="26" spans="1:15">
      <c r="A26" t="s">
        <v>214</v>
      </c>
      <c r="B26" t="s">
        <v>215</v>
      </c>
      <c r="C26" t="s">
        <v>216</v>
      </c>
      <c r="D26" t="s">
        <v>217</v>
      </c>
      <c r="E26" t="s">
        <v>218</v>
      </c>
      <c r="F26" t="s">
        <v>219</v>
      </c>
      <c r="G26">
        <v>23</v>
      </c>
      <c r="H26" t="s">
        <v>55</v>
      </c>
      <c r="I26" t="s">
        <v>220</v>
      </c>
      <c r="J26" t="s">
        <v>221</v>
      </c>
      <c r="K26" t="s">
        <v>24</v>
      </c>
      <c r="L26" t="s">
        <v>222</v>
      </c>
      <c r="M26" s="1">
        <v>44031</v>
      </c>
      <c r="N26" t="s">
        <v>48</v>
      </c>
      <c r="O26">
        <v>6</v>
      </c>
    </row>
    <row r="27" spans="1:15">
      <c r="A27" t="s">
        <v>223</v>
      </c>
      <c r="B27" t="s">
        <v>120</v>
      </c>
      <c r="C27" t="s">
        <v>121</v>
      </c>
      <c r="D27" t="s">
        <v>52</v>
      </c>
      <c r="E27" t="s">
        <v>224</v>
      </c>
      <c r="F27" t="s">
        <v>225</v>
      </c>
      <c r="G27">
        <v>45</v>
      </c>
      <c r="H27" t="s">
        <v>21</v>
      </c>
      <c r="I27" t="s">
        <v>226</v>
      </c>
      <c r="J27" t="s">
        <v>226</v>
      </c>
      <c r="K27" t="s">
        <v>24</v>
      </c>
      <c r="L27" t="s">
        <v>227</v>
      </c>
      <c r="M27" s="1">
        <v>44268</v>
      </c>
      <c r="N27" t="s">
        <v>48</v>
      </c>
      <c r="O27">
        <v>5</v>
      </c>
    </row>
    <row r="28" spans="1:15">
      <c r="A28" t="s">
        <v>228</v>
      </c>
      <c r="B28" t="s">
        <v>229</v>
      </c>
      <c r="C28" t="s">
        <v>230</v>
      </c>
      <c r="D28" t="s">
        <v>231</v>
      </c>
      <c r="E28" t="s">
        <v>232</v>
      </c>
      <c r="F28" t="s">
        <v>233</v>
      </c>
      <c r="G28">
        <v>55</v>
      </c>
      <c r="H28" t="s">
        <v>43</v>
      </c>
      <c r="I28" t="s">
        <v>234</v>
      </c>
      <c r="J28" t="s">
        <v>221</v>
      </c>
      <c r="K28" t="s">
        <v>24</v>
      </c>
      <c r="L28" t="s">
        <v>235</v>
      </c>
      <c r="M28" s="1">
        <v>45257</v>
      </c>
      <c r="N28" t="s">
        <v>48</v>
      </c>
      <c r="O28">
        <v>3</v>
      </c>
    </row>
    <row r="29" spans="1:15">
      <c r="A29" t="s">
        <v>236</v>
      </c>
      <c r="B29" t="s">
        <v>237</v>
      </c>
      <c r="C29" t="s">
        <v>201</v>
      </c>
      <c r="D29" t="s">
        <v>238</v>
      </c>
      <c r="E29" t="s">
        <v>239</v>
      </c>
      <c r="F29" t="s">
        <v>240</v>
      </c>
      <c r="G29">
        <v>40</v>
      </c>
      <c r="H29" t="s">
        <v>21</v>
      </c>
      <c r="I29" t="s">
        <v>241</v>
      </c>
      <c r="J29" t="s">
        <v>187</v>
      </c>
      <c r="K29" t="s">
        <v>188</v>
      </c>
      <c r="L29" t="s">
        <v>242</v>
      </c>
      <c r="M29" s="1">
        <v>45362</v>
      </c>
      <c r="N29" t="s">
        <v>48</v>
      </c>
      <c r="O29">
        <v>2</v>
      </c>
    </row>
    <row r="30" spans="1:15">
      <c r="A30" t="s">
        <v>243</v>
      </c>
      <c r="B30" t="s">
        <v>244</v>
      </c>
      <c r="C30" t="s">
        <v>245</v>
      </c>
      <c r="D30" t="s">
        <v>246</v>
      </c>
      <c r="E30" t="s">
        <v>247</v>
      </c>
      <c r="F30" t="s">
        <v>248</v>
      </c>
      <c r="G30">
        <v>31</v>
      </c>
      <c r="H30" t="s">
        <v>21</v>
      </c>
      <c r="I30" t="s">
        <v>249</v>
      </c>
      <c r="J30" t="s">
        <v>250</v>
      </c>
      <c r="K30" t="s">
        <v>188</v>
      </c>
      <c r="L30" t="s">
        <v>251</v>
      </c>
      <c r="M30" s="1">
        <v>43995</v>
      </c>
      <c r="N30" t="s">
        <v>26</v>
      </c>
      <c r="O30">
        <v>6</v>
      </c>
    </row>
    <row r="31" spans="1:15">
      <c r="A31" t="s">
        <v>252</v>
      </c>
      <c r="B31" t="s">
        <v>253</v>
      </c>
      <c r="C31" t="s">
        <v>254</v>
      </c>
      <c r="D31" t="s">
        <v>255</v>
      </c>
      <c r="E31" t="s">
        <v>256</v>
      </c>
      <c r="F31" t="s">
        <v>257</v>
      </c>
      <c r="G31">
        <v>22</v>
      </c>
      <c r="H31" t="s">
        <v>55</v>
      </c>
      <c r="I31" t="s">
        <v>196</v>
      </c>
      <c r="J31" t="s">
        <v>197</v>
      </c>
      <c r="K31" t="s">
        <v>24</v>
      </c>
      <c r="L31" t="s">
        <v>258</v>
      </c>
      <c r="M31" s="1">
        <v>45016</v>
      </c>
      <c r="N31" t="s">
        <v>48</v>
      </c>
      <c r="O31">
        <v>3</v>
      </c>
    </row>
    <row r="32" spans="1:15">
      <c r="A32" t="s">
        <v>259</v>
      </c>
      <c r="B32" t="s">
        <v>260</v>
      </c>
      <c r="C32" t="s">
        <v>39</v>
      </c>
      <c r="D32" t="s">
        <v>261</v>
      </c>
      <c r="E32" t="s">
        <v>262</v>
      </c>
      <c r="F32" t="s">
        <v>263</v>
      </c>
      <c r="G32">
        <v>40</v>
      </c>
      <c r="H32" t="s">
        <v>21</v>
      </c>
      <c r="I32" t="s">
        <v>165</v>
      </c>
      <c r="J32" t="s">
        <v>166</v>
      </c>
      <c r="K32" t="s">
        <v>35</v>
      </c>
      <c r="L32" t="s">
        <v>264</v>
      </c>
      <c r="M32" s="1">
        <v>45202</v>
      </c>
      <c r="N32" t="s">
        <v>48</v>
      </c>
      <c r="O32">
        <v>3</v>
      </c>
    </row>
    <row r="33" spans="1:15">
      <c r="A33" t="s">
        <v>265</v>
      </c>
      <c r="B33" t="s">
        <v>266</v>
      </c>
      <c r="C33" t="s">
        <v>267</v>
      </c>
      <c r="D33" t="s">
        <v>162</v>
      </c>
      <c r="E33" t="s">
        <v>268</v>
      </c>
      <c r="F33" t="s">
        <v>269</v>
      </c>
      <c r="G33">
        <v>26</v>
      </c>
      <c r="H33" t="s">
        <v>21</v>
      </c>
      <c r="I33" t="s">
        <v>270</v>
      </c>
      <c r="J33" t="s">
        <v>271</v>
      </c>
      <c r="K33" t="s">
        <v>188</v>
      </c>
      <c r="L33" t="s">
        <v>272</v>
      </c>
      <c r="M33" s="1">
        <v>44769</v>
      </c>
      <c r="N33" t="s">
        <v>26</v>
      </c>
      <c r="O33">
        <v>4</v>
      </c>
    </row>
    <row r="34" spans="1:15">
      <c r="A34" t="s">
        <v>273</v>
      </c>
      <c r="B34" t="s">
        <v>274</v>
      </c>
      <c r="C34" t="s">
        <v>51</v>
      </c>
      <c r="D34" t="s">
        <v>275</v>
      </c>
      <c r="E34" t="s">
        <v>276</v>
      </c>
      <c r="F34" t="s">
        <v>277</v>
      </c>
      <c r="G34">
        <v>38</v>
      </c>
      <c r="H34" t="s">
        <v>21</v>
      </c>
      <c r="I34" t="s">
        <v>270</v>
      </c>
      <c r="J34" t="s">
        <v>271</v>
      </c>
      <c r="K34" t="s">
        <v>188</v>
      </c>
      <c r="L34" t="s">
        <v>278</v>
      </c>
      <c r="M34" s="1">
        <v>44587</v>
      </c>
      <c r="N34" t="s">
        <v>118</v>
      </c>
      <c r="O34">
        <v>4</v>
      </c>
    </row>
    <row r="35" spans="1:15">
      <c r="A35" t="s">
        <v>279</v>
      </c>
      <c r="B35" t="s">
        <v>280</v>
      </c>
      <c r="C35" t="s">
        <v>148</v>
      </c>
      <c r="D35" t="s">
        <v>281</v>
      </c>
      <c r="E35" t="s">
        <v>282</v>
      </c>
      <c r="F35" t="s">
        <v>283</v>
      </c>
      <c r="G35">
        <v>55</v>
      </c>
      <c r="H35" t="s">
        <v>43</v>
      </c>
      <c r="I35" t="s">
        <v>131</v>
      </c>
      <c r="J35" t="s">
        <v>57</v>
      </c>
      <c r="K35" t="s">
        <v>46</v>
      </c>
      <c r="L35" t="s">
        <v>284</v>
      </c>
      <c r="M35" s="1">
        <v>45504</v>
      </c>
      <c r="N35" t="s">
        <v>48</v>
      </c>
      <c r="O35">
        <v>2</v>
      </c>
    </row>
    <row r="36" spans="1:15">
      <c r="A36" t="s">
        <v>285</v>
      </c>
      <c r="B36" t="s">
        <v>286</v>
      </c>
      <c r="C36" t="s">
        <v>287</v>
      </c>
      <c r="D36" t="s">
        <v>112</v>
      </c>
      <c r="E36" t="s">
        <v>288</v>
      </c>
      <c r="F36" t="s">
        <v>289</v>
      </c>
      <c r="G36">
        <v>33</v>
      </c>
      <c r="H36" t="s">
        <v>43</v>
      </c>
      <c r="I36" t="s">
        <v>290</v>
      </c>
      <c r="J36" t="s">
        <v>197</v>
      </c>
      <c r="K36" t="s">
        <v>24</v>
      </c>
      <c r="L36" t="s">
        <v>291</v>
      </c>
      <c r="M36" s="1">
        <v>44408</v>
      </c>
      <c r="N36" t="s">
        <v>48</v>
      </c>
      <c r="O36">
        <v>5</v>
      </c>
    </row>
    <row r="37" spans="1:15">
      <c r="A37" t="s">
        <v>292</v>
      </c>
      <c r="B37" t="s">
        <v>293</v>
      </c>
      <c r="C37" t="s">
        <v>294</v>
      </c>
      <c r="D37" t="s">
        <v>295</v>
      </c>
      <c r="E37" t="s">
        <v>296</v>
      </c>
      <c r="F37" t="s">
        <v>297</v>
      </c>
      <c r="G37">
        <v>47</v>
      </c>
      <c r="H37" t="s">
        <v>43</v>
      </c>
      <c r="I37" t="s">
        <v>165</v>
      </c>
      <c r="J37" t="s">
        <v>166</v>
      </c>
      <c r="K37" t="s">
        <v>35</v>
      </c>
      <c r="L37" t="s">
        <v>298</v>
      </c>
      <c r="M37" s="1">
        <v>44020</v>
      </c>
      <c r="N37" t="s">
        <v>48</v>
      </c>
      <c r="O37">
        <v>6</v>
      </c>
    </row>
    <row r="38" spans="1:15">
      <c r="A38" t="s">
        <v>299</v>
      </c>
      <c r="B38" t="s">
        <v>300</v>
      </c>
      <c r="C38" t="s">
        <v>183</v>
      </c>
      <c r="D38" t="s">
        <v>301</v>
      </c>
      <c r="E38" t="s">
        <v>302</v>
      </c>
      <c r="F38" t="s">
        <v>303</v>
      </c>
      <c r="G38">
        <v>47</v>
      </c>
      <c r="H38" t="s">
        <v>55</v>
      </c>
      <c r="I38" t="s">
        <v>44</v>
      </c>
      <c r="J38" t="s">
        <v>45</v>
      </c>
      <c r="K38" t="s">
        <v>46</v>
      </c>
      <c r="L38" t="s">
        <v>304</v>
      </c>
      <c r="M38" s="1">
        <v>44960</v>
      </c>
      <c r="N38" t="s">
        <v>48</v>
      </c>
      <c r="O38">
        <v>3</v>
      </c>
    </row>
    <row r="39" spans="1:15">
      <c r="A39" t="s">
        <v>305</v>
      </c>
      <c r="B39" t="s">
        <v>306</v>
      </c>
      <c r="C39" t="s">
        <v>307</v>
      </c>
      <c r="D39" t="s">
        <v>71</v>
      </c>
      <c r="E39" t="s">
        <v>308</v>
      </c>
      <c r="F39" t="s">
        <v>309</v>
      </c>
      <c r="G39">
        <v>55</v>
      </c>
      <c r="H39" t="s">
        <v>21</v>
      </c>
      <c r="I39" t="s">
        <v>186</v>
      </c>
      <c r="J39" t="s">
        <v>187</v>
      </c>
      <c r="K39" t="s">
        <v>188</v>
      </c>
      <c r="L39" t="s">
        <v>310</v>
      </c>
      <c r="M39" s="1">
        <v>45023</v>
      </c>
      <c r="N39" t="s">
        <v>118</v>
      </c>
      <c r="O39">
        <v>3</v>
      </c>
    </row>
    <row r="40" spans="1:15">
      <c r="A40" t="s">
        <v>311</v>
      </c>
      <c r="B40" t="s">
        <v>312</v>
      </c>
      <c r="C40" t="s">
        <v>313</v>
      </c>
      <c r="D40" t="s">
        <v>30</v>
      </c>
      <c r="E40" t="s">
        <v>314</v>
      </c>
      <c r="F40" t="s">
        <v>315</v>
      </c>
      <c r="G40">
        <v>35</v>
      </c>
      <c r="H40" t="s">
        <v>21</v>
      </c>
      <c r="I40" t="s">
        <v>316</v>
      </c>
      <c r="J40" t="s">
        <v>197</v>
      </c>
      <c r="K40" t="s">
        <v>24</v>
      </c>
      <c r="L40" t="s">
        <v>317</v>
      </c>
      <c r="M40" s="1">
        <v>45227</v>
      </c>
      <c r="N40" t="s">
        <v>48</v>
      </c>
      <c r="O40">
        <v>3</v>
      </c>
    </row>
    <row r="41" spans="1:15">
      <c r="A41" t="s">
        <v>318</v>
      </c>
      <c r="B41" t="s">
        <v>319</v>
      </c>
      <c r="C41" t="s">
        <v>320</v>
      </c>
      <c r="D41" t="s">
        <v>321</v>
      </c>
      <c r="E41" t="s">
        <v>322</v>
      </c>
      <c r="F41" t="s">
        <v>323</v>
      </c>
      <c r="G41">
        <v>31</v>
      </c>
      <c r="H41" t="s">
        <v>43</v>
      </c>
      <c r="I41" t="s">
        <v>324</v>
      </c>
      <c r="J41" t="s">
        <v>325</v>
      </c>
      <c r="K41" t="s">
        <v>188</v>
      </c>
      <c r="L41" t="s">
        <v>326</v>
      </c>
      <c r="M41" s="1">
        <v>45469</v>
      </c>
      <c r="N41" t="s">
        <v>48</v>
      </c>
      <c r="O41">
        <v>2</v>
      </c>
    </row>
    <row r="42" spans="1:15">
      <c r="A42" t="s">
        <v>327</v>
      </c>
      <c r="B42" t="s">
        <v>328</v>
      </c>
      <c r="C42" t="s">
        <v>329</v>
      </c>
      <c r="D42" t="s">
        <v>330</v>
      </c>
      <c r="E42" t="s">
        <v>331</v>
      </c>
      <c r="F42" t="s">
        <v>332</v>
      </c>
      <c r="G42">
        <v>30</v>
      </c>
      <c r="H42" t="s">
        <v>21</v>
      </c>
      <c r="I42" t="s">
        <v>333</v>
      </c>
      <c r="J42" t="s">
        <v>85</v>
      </c>
      <c r="K42" t="s">
        <v>24</v>
      </c>
      <c r="L42" t="s">
        <v>334</v>
      </c>
      <c r="M42" s="1">
        <v>44377</v>
      </c>
      <c r="N42" t="s">
        <v>118</v>
      </c>
      <c r="O42">
        <v>5</v>
      </c>
    </row>
    <row r="43" spans="1:15">
      <c r="A43" t="s">
        <v>335</v>
      </c>
      <c r="B43" t="s">
        <v>336</v>
      </c>
      <c r="C43" t="s">
        <v>337</v>
      </c>
      <c r="D43" t="s">
        <v>338</v>
      </c>
      <c r="E43" t="s">
        <v>339</v>
      </c>
      <c r="F43" t="s">
        <v>340</v>
      </c>
      <c r="G43">
        <v>34</v>
      </c>
      <c r="H43" t="s">
        <v>21</v>
      </c>
      <c r="I43" t="s">
        <v>316</v>
      </c>
      <c r="J43" t="s">
        <v>197</v>
      </c>
      <c r="K43" t="s">
        <v>24</v>
      </c>
      <c r="L43" t="s">
        <v>341</v>
      </c>
      <c r="M43" s="1">
        <v>45511</v>
      </c>
      <c r="N43" t="s">
        <v>48</v>
      </c>
      <c r="O43">
        <v>2</v>
      </c>
    </row>
    <row r="44" spans="1:15">
      <c r="A44" t="s">
        <v>342</v>
      </c>
      <c r="B44" t="s">
        <v>343</v>
      </c>
      <c r="C44" t="s">
        <v>344</v>
      </c>
      <c r="D44" t="s">
        <v>345</v>
      </c>
      <c r="E44" t="s">
        <v>346</v>
      </c>
      <c r="F44" t="s">
        <v>347</v>
      </c>
      <c r="G44">
        <v>52</v>
      </c>
      <c r="H44" t="s">
        <v>43</v>
      </c>
      <c r="I44" t="s">
        <v>92</v>
      </c>
      <c r="J44" t="s">
        <v>45</v>
      </c>
      <c r="K44" t="s">
        <v>46</v>
      </c>
      <c r="L44" t="s">
        <v>348</v>
      </c>
      <c r="M44" s="1">
        <v>45144</v>
      </c>
      <c r="N44" t="s">
        <v>26</v>
      </c>
      <c r="O44">
        <v>3</v>
      </c>
    </row>
    <row r="45" spans="1:15">
      <c r="A45" t="s">
        <v>349</v>
      </c>
      <c r="B45" t="s">
        <v>350</v>
      </c>
      <c r="C45" t="s">
        <v>351</v>
      </c>
      <c r="D45" t="s">
        <v>352</v>
      </c>
      <c r="E45" t="s">
        <v>353</v>
      </c>
      <c r="F45" t="s">
        <v>354</v>
      </c>
      <c r="G45">
        <v>26</v>
      </c>
      <c r="H45" t="s">
        <v>55</v>
      </c>
      <c r="I45" t="s">
        <v>355</v>
      </c>
      <c r="J45" t="s">
        <v>187</v>
      </c>
      <c r="K45" t="s">
        <v>188</v>
      </c>
      <c r="L45" t="s">
        <v>356</v>
      </c>
      <c r="M45" s="1">
        <v>43909</v>
      </c>
      <c r="N45" t="s">
        <v>118</v>
      </c>
      <c r="O45">
        <v>6</v>
      </c>
    </row>
    <row r="46" spans="1:15">
      <c r="A46" t="s">
        <v>357</v>
      </c>
      <c r="B46" t="s">
        <v>358</v>
      </c>
      <c r="C46" t="s">
        <v>359</v>
      </c>
      <c r="D46" t="s">
        <v>62</v>
      </c>
      <c r="E46" t="s">
        <v>360</v>
      </c>
      <c r="F46" t="s">
        <v>361</v>
      </c>
      <c r="G46">
        <v>32</v>
      </c>
      <c r="H46" t="s">
        <v>43</v>
      </c>
      <c r="I46" t="s">
        <v>33</v>
      </c>
      <c r="J46" t="s">
        <v>34</v>
      </c>
      <c r="K46" t="s">
        <v>35</v>
      </c>
      <c r="L46" t="s">
        <v>362</v>
      </c>
      <c r="M46" s="1">
        <v>44619</v>
      </c>
      <c r="N46" t="s">
        <v>48</v>
      </c>
      <c r="O46">
        <v>4</v>
      </c>
    </row>
    <row r="47" spans="1:15">
      <c r="A47" t="s">
        <v>363</v>
      </c>
      <c r="B47" t="s">
        <v>364</v>
      </c>
      <c r="C47" t="s">
        <v>70</v>
      </c>
      <c r="D47" t="s">
        <v>365</v>
      </c>
      <c r="E47" t="s">
        <v>366</v>
      </c>
      <c r="F47" t="s">
        <v>367</v>
      </c>
      <c r="G47">
        <v>43</v>
      </c>
      <c r="H47" t="s">
        <v>43</v>
      </c>
      <c r="I47" t="s">
        <v>368</v>
      </c>
      <c r="J47" t="s">
        <v>57</v>
      </c>
      <c r="K47" t="s">
        <v>46</v>
      </c>
      <c r="L47" t="s">
        <v>369</v>
      </c>
      <c r="M47" s="1">
        <v>44234</v>
      </c>
      <c r="N47" t="s">
        <v>48</v>
      </c>
      <c r="O47">
        <v>5</v>
      </c>
    </row>
    <row r="48" spans="1:15">
      <c r="A48" t="s">
        <v>370</v>
      </c>
      <c r="B48" t="s">
        <v>371</v>
      </c>
      <c r="C48" t="s">
        <v>192</v>
      </c>
      <c r="D48" t="s">
        <v>142</v>
      </c>
      <c r="E48" t="s">
        <v>372</v>
      </c>
      <c r="F48" t="s">
        <v>373</v>
      </c>
      <c r="G48">
        <v>46</v>
      </c>
      <c r="H48" t="s">
        <v>43</v>
      </c>
      <c r="I48" t="s">
        <v>374</v>
      </c>
      <c r="J48" t="s">
        <v>197</v>
      </c>
      <c r="K48" t="s">
        <v>24</v>
      </c>
      <c r="L48" t="s">
        <v>375</v>
      </c>
      <c r="M48" s="1">
        <v>44464</v>
      </c>
      <c r="N48" t="s">
        <v>118</v>
      </c>
      <c r="O48">
        <v>5</v>
      </c>
    </row>
    <row r="49" spans="1:15">
      <c r="A49" t="s">
        <v>376</v>
      </c>
      <c r="B49" t="s">
        <v>377</v>
      </c>
      <c r="C49" t="s">
        <v>378</v>
      </c>
      <c r="D49" t="s">
        <v>238</v>
      </c>
      <c r="E49" t="s">
        <v>379</v>
      </c>
      <c r="F49" t="s">
        <v>380</v>
      </c>
      <c r="G49">
        <v>31</v>
      </c>
      <c r="H49" t="s">
        <v>55</v>
      </c>
      <c r="I49" t="s">
        <v>333</v>
      </c>
      <c r="J49" t="s">
        <v>85</v>
      </c>
      <c r="K49" t="s">
        <v>24</v>
      </c>
      <c r="L49" t="s">
        <v>381</v>
      </c>
      <c r="M49" s="1">
        <v>45218</v>
      </c>
      <c r="N49" t="s">
        <v>26</v>
      </c>
      <c r="O49">
        <v>3</v>
      </c>
    </row>
    <row r="50" spans="1:15">
      <c r="A50" t="s">
        <v>382</v>
      </c>
      <c r="B50" t="s">
        <v>383</v>
      </c>
      <c r="C50" t="s">
        <v>384</v>
      </c>
      <c r="D50" t="s">
        <v>385</v>
      </c>
      <c r="E50" t="s">
        <v>386</v>
      </c>
      <c r="F50" t="s">
        <v>387</v>
      </c>
      <c r="G50">
        <v>40</v>
      </c>
      <c r="H50" t="s">
        <v>43</v>
      </c>
      <c r="I50" t="s">
        <v>388</v>
      </c>
      <c r="J50" t="s">
        <v>75</v>
      </c>
      <c r="K50" t="s">
        <v>76</v>
      </c>
      <c r="L50" t="s">
        <v>389</v>
      </c>
      <c r="M50" s="1">
        <v>45440</v>
      </c>
      <c r="N50" t="s">
        <v>118</v>
      </c>
      <c r="O50">
        <v>2</v>
      </c>
    </row>
    <row r="51" spans="1:15">
      <c r="A51" t="s">
        <v>390</v>
      </c>
      <c r="B51" t="s">
        <v>391</v>
      </c>
      <c r="C51" t="s">
        <v>392</v>
      </c>
      <c r="D51" t="s">
        <v>255</v>
      </c>
      <c r="E51" t="s">
        <v>393</v>
      </c>
      <c r="F51" t="s">
        <v>394</v>
      </c>
      <c r="G51">
        <v>38</v>
      </c>
      <c r="H51" t="s">
        <v>55</v>
      </c>
      <c r="I51" t="s">
        <v>44</v>
      </c>
      <c r="J51" t="s">
        <v>45</v>
      </c>
      <c r="K51" t="s">
        <v>46</v>
      </c>
      <c r="L51" t="s">
        <v>395</v>
      </c>
      <c r="M51" s="1">
        <v>44004</v>
      </c>
      <c r="N51" t="s">
        <v>26</v>
      </c>
      <c r="O51">
        <v>6</v>
      </c>
    </row>
    <row r="52" spans="1:15">
      <c r="A52" t="s">
        <v>396</v>
      </c>
      <c r="B52" t="s">
        <v>397</v>
      </c>
      <c r="C52" t="s">
        <v>351</v>
      </c>
      <c r="D52" t="s">
        <v>398</v>
      </c>
      <c r="E52" t="s">
        <v>399</v>
      </c>
      <c r="F52" t="s">
        <v>400</v>
      </c>
      <c r="G52">
        <v>32</v>
      </c>
      <c r="H52" t="s">
        <v>21</v>
      </c>
      <c r="I52" t="s">
        <v>374</v>
      </c>
      <c r="J52" t="s">
        <v>197</v>
      </c>
      <c r="K52" t="s">
        <v>24</v>
      </c>
      <c r="L52" t="s">
        <v>401</v>
      </c>
      <c r="M52" s="1">
        <v>45482</v>
      </c>
      <c r="N52" t="s">
        <v>48</v>
      </c>
      <c r="O52">
        <v>2</v>
      </c>
    </row>
    <row r="53" spans="1:15">
      <c r="A53" t="s">
        <v>402</v>
      </c>
      <c r="B53" t="s">
        <v>403</v>
      </c>
      <c r="C53" t="s">
        <v>61</v>
      </c>
      <c r="D53" t="s">
        <v>156</v>
      </c>
      <c r="E53" t="s">
        <v>404</v>
      </c>
      <c r="F53" t="s">
        <v>405</v>
      </c>
      <c r="G53">
        <v>32</v>
      </c>
      <c r="H53" t="s">
        <v>43</v>
      </c>
      <c r="I53" t="s">
        <v>205</v>
      </c>
      <c r="J53" t="s">
        <v>57</v>
      </c>
      <c r="K53" t="s">
        <v>46</v>
      </c>
      <c r="L53" t="s">
        <v>406</v>
      </c>
      <c r="M53" s="1">
        <v>45009</v>
      </c>
      <c r="N53" t="s">
        <v>118</v>
      </c>
      <c r="O53">
        <v>3</v>
      </c>
    </row>
    <row r="54" spans="1:15">
      <c r="A54" t="s">
        <v>407</v>
      </c>
      <c r="B54" t="s">
        <v>408</v>
      </c>
      <c r="C54" t="s">
        <v>209</v>
      </c>
      <c r="D54" t="s">
        <v>156</v>
      </c>
      <c r="E54" t="s">
        <v>409</v>
      </c>
      <c r="F54" t="s">
        <v>410</v>
      </c>
      <c r="G54">
        <v>53</v>
      </c>
      <c r="H54" t="s">
        <v>43</v>
      </c>
      <c r="I54" t="s">
        <v>411</v>
      </c>
      <c r="J54" t="s">
        <v>412</v>
      </c>
      <c r="K54" t="s">
        <v>35</v>
      </c>
      <c r="L54" t="s">
        <v>413</v>
      </c>
      <c r="M54" s="1">
        <v>44191</v>
      </c>
      <c r="N54" t="s">
        <v>48</v>
      </c>
      <c r="O54">
        <v>6</v>
      </c>
    </row>
    <row r="55" spans="1:15">
      <c r="A55" t="s">
        <v>414</v>
      </c>
      <c r="B55" t="s">
        <v>415</v>
      </c>
      <c r="C55" t="s">
        <v>416</v>
      </c>
      <c r="D55" t="s">
        <v>156</v>
      </c>
      <c r="E55" t="s">
        <v>417</v>
      </c>
      <c r="F55" t="s">
        <v>418</v>
      </c>
      <c r="G55">
        <v>55</v>
      </c>
      <c r="H55" t="s">
        <v>55</v>
      </c>
      <c r="I55" t="s">
        <v>108</v>
      </c>
      <c r="J55" t="s">
        <v>57</v>
      </c>
      <c r="K55" t="s">
        <v>46</v>
      </c>
      <c r="L55" t="s">
        <v>419</v>
      </c>
      <c r="M55" s="1">
        <v>44918</v>
      </c>
      <c r="N55" t="s">
        <v>48</v>
      </c>
      <c r="O55">
        <v>4</v>
      </c>
    </row>
    <row r="56" spans="1:15">
      <c r="A56" t="s">
        <v>420</v>
      </c>
      <c r="B56" t="s">
        <v>421</v>
      </c>
      <c r="C56" t="s">
        <v>170</v>
      </c>
      <c r="D56" t="s">
        <v>422</v>
      </c>
      <c r="E56" t="s">
        <v>423</v>
      </c>
      <c r="F56" t="s">
        <v>424</v>
      </c>
      <c r="G56">
        <v>30</v>
      </c>
      <c r="H56" t="s">
        <v>43</v>
      </c>
      <c r="I56" t="s">
        <v>411</v>
      </c>
      <c r="J56" t="s">
        <v>412</v>
      </c>
      <c r="K56" t="s">
        <v>35</v>
      </c>
      <c r="L56" t="s">
        <v>425</v>
      </c>
      <c r="M56" s="1">
        <v>44744</v>
      </c>
      <c r="N56" t="s">
        <v>118</v>
      </c>
      <c r="O56">
        <v>4</v>
      </c>
    </row>
    <row r="57" spans="1:15">
      <c r="A57" t="s">
        <v>426</v>
      </c>
      <c r="B57" t="s">
        <v>427</v>
      </c>
      <c r="C57" t="s">
        <v>428</v>
      </c>
      <c r="D57" t="s">
        <v>52</v>
      </c>
      <c r="E57" t="s">
        <v>429</v>
      </c>
      <c r="F57" t="s">
        <v>430</v>
      </c>
      <c r="G57">
        <v>37</v>
      </c>
      <c r="H57" t="s">
        <v>43</v>
      </c>
      <c r="I57" t="s">
        <v>226</v>
      </c>
      <c r="J57" t="s">
        <v>226</v>
      </c>
      <c r="K57" t="s">
        <v>24</v>
      </c>
      <c r="L57" t="s">
        <v>431</v>
      </c>
      <c r="M57" s="1">
        <v>44320</v>
      </c>
      <c r="N57" t="s">
        <v>48</v>
      </c>
      <c r="O57">
        <v>5</v>
      </c>
    </row>
    <row r="58" spans="1:15">
      <c r="A58" t="s">
        <v>432</v>
      </c>
      <c r="B58" t="s">
        <v>433</v>
      </c>
      <c r="C58" t="s">
        <v>104</v>
      </c>
      <c r="D58" t="s">
        <v>238</v>
      </c>
      <c r="E58" t="s">
        <v>434</v>
      </c>
      <c r="F58" t="s">
        <v>435</v>
      </c>
      <c r="G58">
        <v>29</v>
      </c>
      <c r="H58" t="s">
        <v>21</v>
      </c>
      <c r="I58" t="s">
        <v>241</v>
      </c>
      <c r="J58" t="s">
        <v>187</v>
      </c>
      <c r="K58" t="s">
        <v>188</v>
      </c>
      <c r="L58" t="s">
        <v>436</v>
      </c>
      <c r="M58" s="1">
        <v>44114</v>
      </c>
      <c r="N58" t="s">
        <v>118</v>
      </c>
      <c r="O58">
        <v>6</v>
      </c>
    </row>
    <row r="59" spans="1:15">
      <c r="A59" t="s">
        <v>437</v>
      </c>
      <c r="B59" t="s">
        <v>438</v>
      </c>
      <c r="C59" t="s">
        <v>439</v>
      </c>
      <c r="D59" t="s">
        <v>440</v>
      </c>
      <c r="E59" t="s">
        <v>441</v>
      </c>
      <c r="F59" t="s">
        <v>442</v>
      </c>
      <c r="G59">
        <v>49</v>
      </c>
      <c r="H59" t="s">
        <v>43</v>
      </c>
      <c r="I59" t="s">
        <v>205</v>
      </c>
      <c r="J59" t="s">
        <v>57</v>
      </c>
      <c r="K59" t="s">
        <v>46</v>
      </c>
      <c r="L59" t="s">
        <v>443</v>
      </c>
      <c r="M59" s="1">
        <v>44942</v>
      </c>
      <c r="N59" t="s">
        <v>48</v>
      </c>
      <c r="O59">
        <v>3</v>
      </c>
    </row>
    <row r="60" spans="1:15">
      <c r="A60" t="s">
        <v>444</v>
      </c>
      <c r="B60" t="s">
        <v>445</v>
      </c>
      <c r="C60" t="s">
        <v>446</v>
      </c>
      <c r="D60" t="s">
        <v>447</v>
      </c>
      <c r="E60" t="s">
        <v>448</v>
      </c>
      <c r="F60" t="s">
        <v>449</v>
      </c>
      <c r="G60">
        <v>44</v>
      </c>
      <c r="H60" t="s">
        <v>43</v>
      </c>
      <c r="I60" t="s">
        <v>84</v>
      </c>
      <c r="J60" t="s">
        <v>85</v>
      </c>
      <c r="K60" t="s">
        <v>24</v>
      </c>
      <c r="L60" t="s">
        <v>450</v>
      </c>
      <c r="M60" s="1">
        <v>45585</v>
      </c>
      <c r="N60" t="s">
        <v>48</v>
      </c>
      <c r="O60">
        <v>2</v>
      </c>
    </row>
    <row r="61" spans="1:15">
      <c r="A61" t="s">
        <v>451</v>
      </c>
      <c r="B61" t="s">
        <v>452</v>
      </c>
      <c r="C61" t="s">
        <v>453</v>
      </c>
      <c r="D61" t="s">
        <v>454</v>
      </c>
      <c r="E61" t="s">
        <v>455</v>
      </c>
      <c r="F61" t="s">
        <v>456</v>
      </c>
      <c r="G61">
        <v>34</v>
      </c>
      <c r="H61" t="s">
        <v>43</v>
      </c>
      <c r="I61" t="s">
        <v>241</v>
      </c>
      <c r="J61" t="s">
        <v>187</v>
      </c>
      <c r="K61" t="s">
        <v>188</v>
      </c>
      <c r="L61" t="s">
        <v>457</v>
      </c>
      <c r="M61" s="1">
        <v>45469</v>
      </c>
      <c r="N61" t="s">
        <v>48</v>
      </c>
      <c r="O61">
        <v>2</v>
      </c>
    </row>
    <row r="62" spans="1:15">
      <c r="A62" t="s">
        <v>458</v>
      </c>
      <c r="B62" t="s">
        <v>459</v>
      </c>
      <c r="C62" t="s">
        <v>460</v>
      </c>
      <c r="D62" t="s">
        <v>365</v>
      </c>
      <c r="E62" t="s">
        <v>461</v>
      </c>
      <c r="F62" t="s">
        <v>462</v>
      </c>
      <c r="G62">
        <v>45</v>
      </c>
      <c r="H62" t="s">
        <v>21</v>
      </c>
      <c r="I62" t="s">
        <v>333</v>
      </c>
      <c r="J62" t="s">
        <v>85</v>
      </c>
      <c r="K62" t="s">
        <v>24</v>
      </c>
      <c r="L62" t="s">
        <v>463</v>
      </c>
      <c r="M62" s="1">
        <v>45465</v>
      </c>
      <c r="N62" t="s">
        <v>118</v>
      </c>
      <c r="O62">
        <v>2</v>
      </c>
    </row>
    <row r="63" spans="1:15">
      <c r="A63" t="s">
        <v>464</v>
      </c>
      <c r="B63" t="s">
        <v>465</v>
      </c>
      <c r="C63" t="s">
        <v>313</v>
      </c>
      <c r="D63" t="s">
        <v>466</v>
      </c>
      <c r="E63" t="s">
        <v>467</v>
      </c>
      <c r="F63" t="s">
        <v>468</v>
      </c>
      <c r="G63">
        <v>21</v>
      </c>
      <c r="H63" t="s">
        <v>21</v>
      </c>
      <c r="I63" t="s">
        <v>355</v>
      </c>
      <c r="J63" t="s">
        <v>187</v>
      </c>
      <c r="K63" t="s">
        <v>188</v>
      </c>
      <c r="L63" t="s">
        <v>469</v>
      </c>
      <c r="M63" s="1">
        <v>45188</v>
      </c>
      <c r="N63" t="s">
        <v>118</v>
      </c>
      <c r="O63">
        <v>3</v>
      </c>
    </row>
    <row r="64" spans="1:15">
      <c r="A64" t="s">
        <v>470</v>
      </c>
      <c r="B64" t="s">
        <v>471</v>
      </c>
      <c r="C64" t="s">
        <v>287</v>
      </c>
      <c r="D64" t="s">
        <v>472</v>
      </c>
      <c r="E64" t="s">
        <v>473</v>
      </c>
      <c r="F64" t="s">
        <v>474</v>
      </c>
      <c r="G64">
        <v>49</v>
      </c>
      <c r="H64" t="s">
        <v>43</v>
      </c>
      <c r="I64" t="s">
        <v>475</v>
      </c>
      <c r="J64" t="s">
        <v>197</v>
      </c>
      <c r="K64" t="s">
        <v>24</v>
      </c>
      <c r="L64" t="s">
        <v>476</v>
      </c>
      <c r="M64" s="1">
        <v>44264</v>
      </c>
      <c r="N64" t="s">
        <v>48</v>
      </c>
      <c r="O64">
        <v>5</v>
      </c>
    </row>
    <row r="65" spans="1:15">
      <c r="A65" t="s">
        <v>477</v>
      </c>
      <c r="B65" t="s">
        <v>478</v>
      </c>
      <c r="C65" t="s">
        <v>479</v>
      </c>
      <c r="D65" t="s">
        <v>480</v>
      </c>
      <c r="E65" t="s">
        <v>481</v>
      </c>
      <c r="F65" t="s">
        <v>482</v>
      </c>
      <c r="G65">
        <v>21</v>
      </c>
      <c r="H65" t="s">
        <v>55</v>
      </c>
      <c r="I65" t="s">
        <v>165</v>
      </c>
      <c r="J65" t="s">
        <v>166</v>
      </c>
      <c r="K65" t="s">
        <v>35</v>
      </c>
      <c r="L65" t="s">
        <v>483</v>
      </c>
      <c r="M65" s="1">
        <v>44794</v>
      </c>
      <c r="N65" t="s">
        <v>48</v>
      </c>
      <c r="O65">
        <v>4</v>
      </c>
    </row>
    <row r="66" spans="1:15">
      <c r="A66" t="s">
        <v>484</v>
      </c>
      <c r="B66" t="s">
        <v>485</v>
      </c>
      <c r="C66" t="s">
        <v>359</v>
      </c>
      <c r="D66" t="s">
        <v>40</v>
      </c>
      <c r="E66" t="s">
        <v>486</v>
      </c>
      <c r="F66" t="s">
        <v>487</v>
      </c>
      <c r="G66">
        <v>32</v>
      </c>
      <c r="H66" t="s">
        <v>21</v>
      </c>
      <c r="I66" t="s">
        <v>186</v>
      </c>
      <c r="J66" t="s">
        <v>187</v>
      </c>
      <c r="K66" t="s">
        <v>188</v>
      </c>
      <c r="L66" t="s">
        <v>488</v>
      </c>
      <c r="M66" s="1">
        <v>44337</v>
      </c>
      <c r="N66" t="s">
        <v>26</v>
      </c>
      <c r="O66">
        <v>5</v>
      </c>
    </row>
    <row r="67" spans="1:15">
      <c r="A67" t="s">
        <v>489</v>
      </c>
      <c r="B67" t="s">
        <v>490</v>
      </c>
      <c r="C67" t="s">
        <v>491</v>
      </c>
      <c r="D67" t="s">
        <v>156</v>
      </c>
      <c r="E67" t="s">
        <v>492</v>
      </c>
      <c r="F67" t="s">
        <v>493</v>
      </c>
      <c r="G67">
        <v>36</v>
      </c>
      <c r="H67" t="s">
        <v>43</v>
      </c>
      <c r="I67" t="s">
        <v>196</v>
      </c>
      <c r="J67" t="s">
        <v>197</v>
      </c>
      <c r="K67" t="s">
        <v>24</v>
      </c>
      <c r="L67" t="s">
        <v>494</v>
      </c>
      <c r="M67" s="1">
        <v>44783</v>
      </c>
      <c r="N67" t="s">
        <v>48</v>
      </c>
      <c r="O67">
        <v>4</v>
      </c>
    </row>
    <row r="68" spans="1:15">
      <c r="A68" t="s">
        <v>495</v>
      </c>
      <c r="B68" t="s">
        <v>496</v>
      </c>
      <c r="C68" t="s">
        <v>497</v>
      </c>
      <c r="D68" t="s">
        <v>498</v>
      </c>
      <c r="E68" t="s">
        <v>499</v>
      </c>
      <c r="F68" t="s">
        <v>500</v>
      </c>
      <c r="G68">
        <v>21</v>
      </c>
      <c r="H68" t="s">
        <v>43</v>
      </c>
      <c r="I68" t="s">
        <v>374</v>
      </c>
      <c r="J68" t="s">
        <v>197</v>
      </c>
      <c r="K68" t="s">
        <v>24</v>
      </c>
      <c r="L68" t="s">
        <v>501</v>
      </c>
      <c r="M68" s="1">
        <v>45016</v>
      </c>
      <c r="N68" t="s">
        <v>26</v>
      </c>
      <c r="O68">
        <v>3</v>
      </c>
    </row>
    <row r="69" spans="1:15">
      <c r="A69" t="s">
        <v>502</v>
      </c>
      <c r="B69" t="s">
        <v>503</v>
      </c>
      <c r="C69" t="s">
        <v>504</v>
      </c>
      <c r="D69" t="s">
        <v>142</v>
      </c>
      <c r="E69" t="s">
        <v>505</v>
      </c>
      <c r="F69" t="s">
        <v>506</v>
      </c>
      <c r="G69">
        <v>35</v>
      </c>
      <c r="H69" t="s">
        <v>21</v>
      </c>
      <c r="I69" t="s">
        <v>212</v>
      </c>
      <c r="J69" t="s">
        <v>57</v>
      </c>
      <c r="K69" t="s">
        <v>46</v>
      </c>
      <c r="L69" t="s">
        <v>507</v>
      </c>
      <c r="M69" s="1">
        <v>45043</v>
      </c>
      <c r="N69" t="s">
        <v>48</v>
      </c>
      <c r="O69">
        <v>3</v>
      </c>
    </row>
    <row r="70" spans="1:15">
      <c r="A70" t="s">
        <v>508</v>
      </c>
      <c r="B70" t="s">
        <v>509</v>
      </c>
      <c r="C70" t="s">
        <v>294</v>
      </c>
      <c r="D70" t="s">
        <v>498</v>
      </c>
      <c r="E70" t="s">
        <v>510</v>
      </c>
      <c r="F70" t="s">
        <v>511</v>
      </c>
      <c r="G70">
        <v>47</v>
      </c>
      <c r="H70" t="s">
        <v>43</v>
      </c>
      <c r="I70" t="s">
        <v>186</v>
      </c>
      <c r="J70" t="s">
        <v>187</v>
      </c>
      <c r="K70" t="s">
        <v>188</v>
      </c>
      <c r="L70" t="s">
        <v>512</v>
      </c>
      <c r="M70" s="1">
        <v>44922</v>
      </c>
      <c r="N70" t="s">
        <v>48</v>
      </c>
      <c r="O70">
        <v>4</v>
      </c>
    </row>
    <row r="71" spans="1:15">
      <c r="A71" t="s">
        <v>513</v>
      </c>
      <c r="B71" t="s">
        <v>514</v>
      </c>
      <c r="C71" t="s">
        <v>141</v>
      </c>
      <c r="D71" t="s">
        <v>135</v>
      </c>
      <c r="E71" t="s">
        <v>515</v>
      </c>
      <c r="F71" t="s">
        <v>516</v>
      </c>
      <c r="G71">
        <v>43</v>
      </c>
      <c r="H71" t="s">
        <v>43</v>
      </c>
      <c r="I71" t="s">
        <v>226</v>
      </c>
      <c r="J71" t="s">
        <v>226</v>
      </c>
      <c r="K71" t="s">
        <v>24</v>
      </c>
      <c r="L71" t="s">
        <v>517</v>
      </c>
      <c r="M71" s="1">
        <v>44718</v>
      </c>
      <c r="N71" t="s">
        <v>48</v>
      </c>
      <c r="O71">
        <v>4</v>
      </c>
    </row>
    <row r="72" spans="1:15">
      <c r="A72" t="s">
        <v>518</v>
      </c>
      <c r="B72" t="s">
        <v>519</v>
      </c>
      <c r="C72" t="s">
        <v>520</v>
      </c>
      <c r="D72" t="s">
        <v>521</v>
      </c>
      <c r="E72" t="s">
        <v>522</v>
      </c>
      <c r="F72" t="s">
        <v>523</v>
      </c>
      <c r="G72">
        <v>54</v>
      </c>
      <c r="H72" t="s">
        <v>43</v>
      </c>
      <c r="I72" t="s">
        <v>92</v>
      </c>
      <c r="J72" t="s">
        <v>45</v>
      </c>
      <c r="K72" t="s">
        <v>46</v>
      </c>
      <c r="L72" t="s">
        <v>524</v>
      </c>
      <c r="M72" s="1">
        <v>45486</v>
      </c>
      <c r="N72" t="s">
        <v>118</v>
      </c>
      <c r="O72">
        <v>2</v>
      </c>
    </row>
    <row r="73" spans="1:15">
      <c r="A73" t="s">
        <v>525</v>
      </c>
      <c r="B73" t="s">
        <v>526</v>
      </c>
      <c r="C73" t="s">
        <v>520</v>
      </c>
      <c r="D73" t="s">
        <v>527</v>
      </c>
      <c r="E73" t="s">
        <v>528</v>
      </c>
      <c r="F73" t="s">
        <v>529</v>
      </c>
      <c r="G73">
        <v>48</v>
      </c>
      <c r="H73" t="s">
        <v>21</v>
      </c>
      <c r="I73" t="s">
        <v>324</v>
      </c>
      <c r="J73" t="s">
        <v>325</v>
      </c>
      <c r="K73" t="s">
        <v>188</v>
      </c>
      <c r="L73" t="s">
        <v>530</v>
      </c>
      <c r="M73" s="1">
        <v>44402</v>
      </c>
      <c r="N73" t="s">
        <v>118</v>
      </c>
      <c r="O73">
        <v>5</v>
      </c>
    </row>
    <row r="74" spans="1:15">
      <c r="A74" t="s">
        <v>531</v>
      </c>
      <c r="B74" t="s">
        <v>532</v>
      </c>
      <c r="C74" t="s">
        <v>533</v>
      </c>
      <c r="D74" t="s">
        <v>466</v>
      </c>
      <c r="E74" t="s">
        <v>534</v>
      </c>
      <c r="F74" t="s">
        <v>535</v>
      </c>
      <c r="G74">
        <v>51</v>
      </c>
      <c r="H74" t="s">
        <v>21</v>
      </c>
      <c r="I74" t="s">
        <v>226</v>
      </c>
      <c r="J74" t="s">
        <v>226</v>
      </c>
      <c r="K74" t="s">
        <v>24</v>
      </c>
      <c r="L74" t="s">
        <v>536</v>
      </c>
      <c r="M74" s="1">
        <v>44203</v>
      </c>
      <c r="N74" t="s">
        <v>48</v>
      </c>
      <c r="O74">
        <v>5</v>
      </c>
    </row>
    <row r="75" spans="1:15">
      <c r="A75" t="s">
        <v>537</v>
      </c>
      <c r="B75" t="s">
        <v>538</v>
      </c>
      <c r="C75" t="s">
        <v>428</v>
      </c>
      <c r="D75" t="s">
        <v>301</v>
      </c>
      <c r="E75" t="s">
        <v>539</v>
      </c>
      <c r="F75" t="s">
        <v>540</v>
      </c>
      <c r="G75">
        <v>32</v>
      </c>
      <c r="H75" t="s">
        <v>21</v>
      </c>
      <c r="I75" t="s">
        <v>541</v>
      </c>
      <c r="J75" t="s">
        <v>271</v>
      </c>
      <c r="K75" t="s">
        <v>188</v>
      </c>
      <c r="L75" t="s">
        <v>542</v>
      </c>
      <c r="M75" s="1">
        <v>44889</v>
      </c>
      <c r="N75" t="s">
        <v>48</v>
      </c>
      <c r="O75">
        <v>4</v>
      </c>
    </row>
    <row r="76" spans="1:15">
      <c r="A76" t="s">
        <v>543</v>
      </c>
      <c r="B76" t="s">
        <v>544</v>
      </c>
      <c r="C76" t="s">
        <v>545</v>
      </c>
      <c r="D76" t="s">
        <v>546</v>
      </c>
      <c r="E76" t="s">
        <v>547</v>
      </c>
      <c r="F76" t="s">
        <v>548</v>
      </c>
      <c r="G76">
        <v>51</v>
      </c>
      <c r="H76" t="s">
        <v>43</v>
      </c>
      <c r="I76" t="s">
        <v>84</v>
      </c>
      <c r="J76" t="s">
        <v>85</v>
      </c>
      <c r="K76" t="s">
        <v>24</v>
      </c>
      <c r="L76" t="s">
        <v>549</v>
      </c>
      <c r="M76" s="1">
        <v>45153</v>
      </c>
      <c r="N76" t="s">
        <v>48</v>
      </c>
      <c r="O76">
        <v>3</v>
      </c>
    </row>
    <row r="77" spans="1:15">
      <c r="A77" t="s">
        <v>550</v>
      </c>
      <c r="B77" t="s">
        <v>551</v>
      </c>
      <c r="C77" t="s">
        <v>121</v>
      </c>
      <c r="D77" t="s">
        <v>238</v>
      </c>
      <c r="E77" t="s">
        <v>552</v>
      </c>
      <c r="F77" t="s">
        <v>553</v>
      </c>
      <c r="G77">
        <v>43</v>
      </c>
      <c r="H77" t="s">
        <v>43</v>
      </c>
      <c r="I77" t="s">
        <v>374</v>
      </c>
      <c r="J77" t="s">
        <v>197</v>
      </c>
      <c r="K77" t="s">
        <v>24</v>
      </c>
      <c r="L77" t="s">
        <v>554</v>
      </c>
      <c r="M77" s="1">
        <v>45022</v>
      </c>
      <c r="N77" t="s">
        <v>26</v>
      </c>
      <c r="O77">
        <v>3</v>
      </c>
    </row>
    <row r="78" spans="1:15">
      <c r="A78" t="s">
        <v>555</v>
      </c>
      <c r="B78" t="s">
        <v>556</v>
      </c>
      <c r="C78" t="s">
        <v>557</v>
      </c>
      <c r="D78" t="s">
        <v>558</v>
      </c>
      <c r="E78" t="s">
        <v>559</v>
      </c>
      <c r="F78" t="s">
        <v>560</v>
      </c>
      <c r="G78">
        <v>37</v>
      </c>
      <c r="H78" t="s">
        <v>43</v>
      </c>
      <c r="I78" t="s">
        <v>316</v>
      </c>
      <c r="J78" t="s">
        <v>197</v>
      </c>
      <c r="K78" t="s">
        <v>24</v>
      </c>
      <c r="L78" t="s">
        <v>561</v>
      </c>
      <c r="M78" s="1">
        <v>44760</v>
      </c>
      <c r="N78" t="s">
        <v>48</v>
      </c>
      <c r="O78">
        <v>4</v>
      </c>
    </row>
    <row r="79" spans="1:15">
      <c r="A79" t="s">
        <v>562</v>
      </c>
      <c r="B79" t="s">
        <v>563</v>
      </c>
      <c r="C79" t="s">
        <v>564</v>
      </c>
      <c r="D79" t="s">
        <v>18</v>
      </c>
      <c r="E79" t="s">
        <v>565</v>
      </c>
      <c r="F79" t="s">
        <v>566</v>
      </c>
      <c r="G79">
        <v>32</v>
      </c>
      <c r="H79" t="s">
        <v>21</v>
      </c>
      <c r="I79" t="s">
        <v>241</v>
      </c>
      <c r="J79" t="s">
        <v>187</v>
      </c>
      <c r="K79" t="s">
        <v>188</v>
      </c>
      <c r="L79" t="s">
        <v>567</v>
      </c>
      <c r="M79" s="1">
        <v>44210</v>
      </c>
      <c r="N79" t="s">
        <v>118</v>
      </c>
      <c r="O79">
        <v>5</v>
      </c>
    </row>
    <row r="80" spans="1:15">
      <c r="A80" t="s">
        <v>568</v>
      </c>
      <c r="B80" t="s">
        <v>569</v>
      </c>
      <c r="C80" t="s">
        <v>570</v>
      </c>
      <c r="D80" t="s">
        <v>62</v>
      </c>
      <c r="E80" t="s">
        <v>571</v>
      </c>
      <c r="F80" t="s">
        <v>572</v>
      </c>
      <c r="G80">
        <v>32</v>
      </c>
      <c r="H80" t="s">
        <v>43</v>
      </c>
      <c r="I80" t="s">
        <v>234</v>
      </c>
      <c r="J80" t="s">
        <v>221</v>
      </c>
      <c r="K80" t="s">
        <v>24</v>
      </c>
      <c r="L80" t="s">
        <v>573</v>
      </c>
      <c r="M80" s="1">
        <v>45536</v>
      </c>
      <c r="N80" t="s">
        <v>48</v>
      </c>
      <c r="O80">
        <v>2</v>
      </c>
    </row>
    <row r="81" spans="1:15">
      <c r="A81" t="s">
        <v>574</v>
      </c>
      <c r="B81" t="s">
        <v>575</v>
      </c>
      <c r="C81" t="s">
        <v>576</v>
      </c>
      <c r="D81" t="s">
        <v>521</v>
      </c>
      <c r="E81" t="s">
        <v>577</v>
      </c>
      <c r="F81" t="s">
        <v>578</v>
      </c>
      <c r="G81">
        <v>23</v>
      </c>
      <c r="H81" t="s">
        <v>55</v>
      </c>
      <c r="I81" t="s">
        <v>22</v>
      </c>
      <c r="J81" t="s">
        <v>23</v>
      </c>
      <c r="K81" t="s">
        <v>24</v>
      </c>
      <c r="L81" t="s">
        <v>579</v>
      </c>
      <c r="M81" s="1">
        <v>43924</v>
      </c>
      <c r="N81" t="s">
        <v>48</v>
      </c>
      <c r="O81">
        <v>6</v>
      </c>
    </row>
    <row r="82" spans="1:15">
      <c r="A82" t="s">
        <v>580</v>
      </c>
      <c r="B82" t="s">
        <v>581</v>
      </c>
      <c r="C82" t="s">
        <v>378</v>
      </c>
      <c r="D82" t="s">
        <v>162</v>
      </c>
      <c r="E82" t="s">
        <v>582</v>
      </c>
      <c r="F82" t="s">
        <v>583</v>
      </c>
      <c r="G82">
        <v>50</v>
      </c>
      <c r="H82" t="s">
        <v>43</v>
      </c>
      <c r="I82" t="s">
        <v>131</v>
      </c>
      <c r="J82" t="s">
        <v>57</v>
      </c>
      <c r="K82" t="s">
        <v>46</v>
      </c>
      <c r="L82" t="s">
        <v>584</v>
      </c>
      <c r="M82" s="1">
        <v>44413</v>
      </c>
      <c r="N82" t="s">
        <v>118</v>
      </c>
      <c r="O82">
        <v>5</v>
      </c>
    </row>
    <row r="83" spans="1:15">
      <c r="A83" t="s">
        <v>585</v>
      </c>
      <c r="B83" t="s">
        <v>586</v>
      </c>
      <c r="C83" t="s">
        <v>587</v>
      </c>
      <c r="D83" t="s">
        <v>521</v>
      </c>
      <c r="E83" t="s">
        <v>588</v>
      </c>
      <c r="F83" t="s">
        <v>589</v>
      </c>
      <c r="G83">
        <v>51</v>
      </c>
      <c r="H83" t="s">
        <v>21</v>
      </c>
      <c r="I83" t="s">
        <v>590</v>
      </c>
      <c r="J83" t="s">
        <v>45</v>
      </c>
      <c r="K83" t="s">
        <v>46</v>
      </c>
      <c r="L83" t="s">
        <v>591</v>
      </c>
      <c r="M83" s="1">
        <v>44651</v>
      </c>
      <c r="N83" t="s">
        <v>26</v>
      </c>
      <c r="O83">
        <v>4</v>
      </c>
    </row>
    <row r="84" spans="1:15">
      <c r="A84" t="s">
        <v>592</v>
      </c>
      <c r="B84" t="s">
        <v>593</v>
      </c>
      <c r="C84" t="s">
        <v>594</v>
      </c>
      <c r="D84" t="s">
        <v>255</v>
      </c>
      <c r="E84" t="s">
        <v>595</v>
      </c>
      <c r="F84" t="s">
        <v>596</v>
      </c>
      <c r="G84">
        <v>27</v>
      </c>
      <c r="H84" t="s">
        <v>55</v>
      </c>
      <c r="I84" t="s">
        <v>374</v>
      </c>
      <c r="J84" t="s">
        <v>197</v>
      </c>
      <c r="K84" t="s">
        <v>24</v>
      </c>
      <c r="L84" t="s">
        <v>597</v>
      </c>
      <c r="M84" s="1">
        <v>44339</v>
      </c>
      <c r="N84" t="s">
        <v>118</v>
      </c>
      <c r="O84">
        <v>5</v>
      </c>
    </row>
    <row r="85" spans="1:15">
      <c r="A85" t="s">
        <v>598</v>
      </c>
      <c r="B85" t="s">
        <v>496</v>
      </c>
      <c r="C85" t="s">
        <v>497</v>
      </c>
      <c r="D85" t="s">
        <v>498</v>
      </c>
      <c r="E85" t="s">
        <v>599</v>
      </c>
      <c r="F85" t="s">
        <v>600</v>
      </c>
      <c r="G85">
        <v>47</v>
      </c>
      <c r="H85" t="s">
        <v>43</v>
      </c>
      <c r="I85" t="s">
        <v>220</v>
      </c>
      <c r="J85" t="s">
        <v>221</v>
      </c>
      <c r="K85" t="s">
        <v>24</v>
      </c>
      <c r="L85" t="s">
        <v>601</v>
      </c>
      <c r="M85" s="1">
        <v>44439</v>
      </c>
      <c r="N85" t="s">
        <v>26</v>
      </c>
      <c r="O85">
        <v>5</v>
      </c>
    </row>
    <row r="86" spans="1:15">
      <c r="A86" t="s">
        <v>602</v>
      </c>
      <c r="B86" t="s">
        <v>603</v>
      </c>
      <c r="C86" t="s">
        <v>604</v>
      </c>
      <c r="D86" t="s">
        <v>605</v>
      </c>
      <c r="E86" t="s">
        <v>606</v>
      </c>
      <c r="F86" t="s">
        <v>607</v>
      </c>
      <c r="G86">
        <v>25</v>
      </c>
      <c r="H86" t="s">
        <v>21</v>
      </c>
      <c r="I86" t="s">
        <v>608</v>
      </c>
      <c r="J86" t="s">
        <v>609</v>
      </c>
      <c r="K86" t="s">
        <v>35</v>
      </c>
      <c r="L86" t="s">
        <v>610</v>
      </c>
      <c r="M86" s="1">
        <v>44372</v>
      </c>
      <c r="N86" t="s">
        <v>48</v>
      </c>
      <c r="O86">
        <v>5</v>
      </c>
    </row>
    <row r="87" spans="1:15">
      <c r="A87" t="s">
        <v>611</v>
      </c>
      <c r="B87" t="s">
        <v>612</v>
      </c>
      <c r="C87" t="s">
        <v>329</v>
      </c>
      <c r="D87" t="s">
        <v>321</v>
      </c>
      <c r="E87" t="s">
        <v>613</v>
      </c>
      <c r="F87" t="s">
        <v>614</v>
      </c>
      <c r="G87">
        <v>50</v>
      </c>
      <c r="H87" t="s">
        <v>43</v>
      </c>
      <c r="I87" t="s">
        <v>220</v>
      </c>
      <c r="J87" t="s">
        <v>221</v>
      </c>
      <c r="K87" t="s">
        <v>24</v>
      </c>
      <c r="L87" t="s">
        <v>615</v>
      </c>
      <c r="M87" s="1">
        <v>45047</v>
      </c>
      <c r="N87" t="s">
        <v>48</v>
      </c>
      <c r="O87">
        <v>3</v>
      </c>
    </row>
    <row r="88" spans="1:15">
      <c r="A88" t="s">
        <v>616</v>
      </c>
      <c r="B88" t="s">
        <v>617</v>
      </c>
      <c r="C88" t="s">
        <v>564</v>
      </c>
      <c r="D88" t="s">
        <v>238</v>
      </c>
      <c r="E88" t="s">
        <v>618</v>
      </c>
      <c r="F88" t="s">
        <v>619</v>
      </c>
      <c r="G88">
        <v>36</v>
      </c>
      <c r="H88" t="s">
        <v>55</v>
      </c>
      <c r="I88" t="s">
        <v>270</v>
      </c>
      <c r="J88" t="s">
        <v>271</v>
      </c>
      <c r="K88" t="s">
        <v>188</v>
      </c>
      <c r="L88" t="s">
        <v>620</v>
      </c>
      <c r="M88" s="1">
        <v>44309</v>
      </c>
      <c r="N88" t="s">
        <v>48</v>
      </c>
      <c r="O88">
        <v>5</v>
      </c>
    </row>
    <row r="89" spans="1:15">
      <c r="A89" t="s">
        <v>621</v>
      </c>
      <c r="B89" t="s">
        <v>622</v>
      </c>
      <c r="C89" t="s">
        <v>29</v>
      </c>
      <c r="D89" t="s">
        <v>18</v>
      </c>
      <c r="E89" t="s">
        <v>623</v>
      </c>
      <c r="F89" t="s">
        <v>624</v>
      </c>
      <c r="G89">
        <v>23</v>
      </c>
      <c r="H89" t="s">
        <v>21</v>
      </c>
      <c r="I89" t="s">
        <v>92</v>
      </c>
      <c r="J89" t="s">
        <v>45</v>
      </c>
      <c r="K89" t="s">
        <v>46</v>
      </c>
      <c r="L89" t="s">
        <v>625</v>
      </c>
      <c r="M89" s="1">
        <v>43977</v>
      </c>
      <c r="N89" t="s">
        <v>48</v>
      </c>
      <c r="O89">
        <v>6</v>
      </c>
    </row>
    <row r="90" spans="1:15">
      <c r="A90" t="s">
        <v>626</v>
      </c>
      <c r="B90" t="s">
        <v>627</v>
      </c>
      <c r="C90" t="s">
        <v>127</v>
      </c>
      <c r="D90" t="s">
        <v>330</v>
      </c>
      <c r="E90" t="s">
        <v>628</v>
      </c>
      <c r="F90" t="s">
        <v>629</v>
      </c>
      <c r="G90">
        <v>39</v>
      </c>
      <c r="H90" t="s">
        <v>43</v>
      </c>
      <c r="I90" t="s">
        <v>220</v>
      </c>
      <c r="J90" t="s">
        <v>221</v>
      </c>
      <c r="K90" t="s">
        <v>24</v>
      </c>
      <c r="L90" t="s">
        <v>630</v>
      </c>
      <c r="M90" s="1">
        <v>44790</v>
      </c>
      <c r="N90" t="s">
        <v>48</v>
      </c>
      <c r="O90">
        <v>4</v>
      </c>
    </row>
    <row r="91" spans="1:15">
      <c r="A91" t="s">
        <v>631</v>
      </c>
      <c r="B91" t="s">
        <v>632</v>
      </c>
      <c r="C91" t="s">
        <v>141</v>
      </c>
      <c r="D91" t="s">
        <v>633</v>
      </c>
      <c r="E91" t="s">
        <v>634</v>
      </c>
      <c r="F91" t="s">
        <v>635</v>
      </c>
      <c r="G91">
        <v>40</v>
      </c>
      <c r="H91" t="s">
        <v>55</v>
      </c>
      <c r="I91" t="s">
        <v>186</v>
      </c>
      <c r="J91" t="s">
        <v>187</v>
      </c>
      <c r="K91" t="s">
        <v>188</v>
      </c>
      <c r="L91" t="s">
        <v>636</v>
      </c>
      <c r="M91" s="1">
        <v>45335</v>
      </c>
      <c r="N91" t="s">
        <v>48</v>
      </c>
      <c r="O91">
        <v>2</v>
      </c>
    </row>
    <row r="92" spans="1:15">
      <c r="A92" t="s">
        <v>637</v>
      </c>
      <c r="B92" t="s">
        <v>638</v>
      </c>
      <c r="C92" t="s">
        <v>639</v>
      </c>
      <c r="D92" t="s">
        <v>398</v>
      </c>
      <c r="E92" t="s">
        <v>640</v>
      </c>
      <c r="F92" t="s">
        <v>641</v>
      </c>
      <c r="G92">
        <v>37</v>
      </c>
      <c r="H92" t="s">
        <v>55</v>
      </c>
      <c r="I92" t="s">
        <v>179</v>
      </c>
      <c r="J92" t="s">
        <v>179</v>
      </c>
      <c r="K92" t="s">
        <v>24</v>
      </c>
      <c r="L92" t="s">
        <v>642</v>
      </c>
      <c r="M92" s="1">
        <v>45513</v>
      </c>
      <c r="N92" t="s">
        <v>48</v>
      </c>
      <c r="O92">
        <v>2</v>
      </c>
    </row>
    <row r="93" spans="1:15">
      <c r="A93" t="s">
        <v>643</v>
      </c>
      <c r="B93" t="s">
        <v>644</v>
      </c>
      <c r="C93" t="s">
        <v>479</v>
      </c>
      <c r="D93" t="s">
        <v>52</v>
      </c>
      <c r="E93" t="s">
        <v>645</v>
      </c>
      <c r="F93" t="s">
        <v>646</v>
      </c>
      <c r="G93">
        <v>47</v>
      </c>
      <c r="H93" t="s">
        <v>43</v>
      </c>
      <c r="I93" t="s">
        <v>220</v>
      </c>
      <c r="J93" t="s">
        <v>221</v>
      </c>
      <c r="K93" t="s">
        <v>24</v>
      </c>
      <c r="L93" t="s">
        <v>647</v>
      </c>
      <c r="M93" s="1">
        <v>44202</v>
      </c>
      <c r="N93" t="s">
        <v>48</v>
      </c>
      <c r="O93">
        <v>5</v>
      </c>
    </row>
    <row r="94" spans="1:15">
      <c r="A94" t="s">
        <v>648</v>
      </c>
      <c r="B94" t="s">
        <v>649</v>
      </c>
      <c r="C94" t="s">
        <v>650</v>
      </c>
      <c r="D94" t="s">
        <v>558</v>
      </c>
      <c r="E94" t="s">
        <v>651</v>
      </c>
      <c r="F94" t="s">
        <v>652</v>
      </c>
      <c r="G94">
        <v>46</v>
      </c>
      <c r="H94" t="s">
        <v>43</v>
      </c>
      <c r="I94" t="s">
        <v>56</v>
      </c>
      <c r="J94" t="s">
        <v>57</v>
      </c>
      <c r="K94" t="s">
        <v>46</v>
      </c>
      <c r="L94" t="s">
        <v>653</v>
      </c>
      <c r="M94" s="1">
        <v>44506</v>
      </c>
      <c r="N94" t="s">
        <v>48</v>
      </c>
      <c r="O94">
        <v>5</v>
      </c>
    </row>
    <row r="95" spans="1:15">
      <c r="A95" t="s">
        <v>654</v>
      </c>
      <c r="B95" t="s">
        <v>655</v>
      </c>
      <c r="C95" t="s">
        <v>344</v>
      </c>
      <c r="D95" t="s">
        <v>385</v>
      </c>
      <c r="E95" t="s">
        <v>656</v>
      </c>
      <c r="F95" t="s">
        <v>657</v>
      </c>
      <c r="G95">
        <v>40</v>
      </c>
      <c r="H95" t="s">
        <v>21</v>
      </c>
      <c r="I95" t="s">
        <v>65</v>
      </c>
      <c r="J95" t="s">
        <v>66</v>
      </c>
      <c r="K95" t="s">
        <v>35</v>
      </c>
      <c r="L95" t="s">
        <v>658</v>
      </c>
      <c r="M95" s="1">
        <v>44347</v>
      </c>
      <c r="N95" t="s">
        <v>118</v>
      </c>
      <c r="O95">
        <v>5</v>
      </c>
    </row>
    <row r="96" spans="1:15">
      <c r="A96" t="s">
        <v>659</v>
      </c>
      <c r="B96" t="s">
        <v>660</v>
      </c>
      <c r="C96" t="s">
        <v>661</v>
      </c>
      <c r="D96" t="s">
        <v>527</v>
      </c>
      <c r="E96" t="s">
        <v>662</v>
      </c>
      <c r="F96" t="s">
        <v>663</v>
      </c>
      <c r="G96">
        <v>53</v>
      </c>
      <c r="H96" t="s">
        <v>43</v>
      </c>
      <c r="I96" t="s">
        <v>205</v>
      </c>
      <c r="J96" t="s">
        <v>57</v>
      </c>
      <c r="K96" t="s">
        <v>46</v>
      </c>
      <c r="L96" t="s">
        <v>664</v>
      </c>
      <c r="M96" s="1">
        <v>44215</v>
      </c>
      <c r="N96" t="s">
        <v>26</v>
      </c>
      <c r="O96">
        <v>5</v>
      </c>
    </row>
    <row r="97" spans="1:15">
      <c r="A97" t="s">
        <v>665</v>
      </c>
      <c r="B97" t="s">
        <v>666</v>
      </c>
      <c r="C97" t="s">
        <v>170</v>
      </c>
      <c r="D97" t="s">
        <v>193</v>
      </c>
      <c r="E97" t="s">
        <v>667</v>
      </c>
      <c r="F97" t="s">
        <v>668</v>
      </c>
      <c r="G97">
        <v>28</v>
      </c>
      <c r="H97" t="s">
        <v>43</v>
      </c>
      <c r="I97" t="s">
        <v>388</v>
      </c>
      <c r="J97" t="s">
        <v>75</v>
      </c>
      <c r="K97" t="s">
        <v>76</v>
      </c>
      <c r="L97" t="s">
        <v>669</v>
      </c>
      <c r="M97" s="1">
        <v>44955</v>
      </c>
      <c r="N97" t="s">
        <v>118</v>
      </c>
      <c r="O97">
        <v>3</v>
      </c>
    </row>
    <row r="98" spans="1:15">
      <c r="A98" t="s">
        <v>670</v>
      </c>
      <c r="B98" t="s">
        <v>671</v>
      </c>
      <c r="C98" t="s">
        <v>378</v>
      </c>
      <c r="D98" t="s">
        <v>193</v>
      </c>
      <c r="E98" t="s">
        <v>672</v>
      </c>
      <c r="F98" t="s">
        <v>673</v>
      </c>
      <c r="G98">
        <v>30</v>
      </c>
      <c r="H98" t="s">
        <v>43</v>
      </c>
      <c r="I98" t="s">
        <v>151</v>
      </c>
      <c r="J98" t="s">
        <v>75</v>
      </c>
      <c r="K98" t="s">
        <v>76</v>
      </c>
      <c r="L98" t="s">
        <v>674</v>
      </c>
      <c r="M98" s="1">
        <v>45284</v>
      </c>
      <c r="N98" t="s">
        <v>26</v>
      </c>
      <c r="O98">
        <v>3</v>
      </c>
    </row>
    <row r="99" spans="1:15">
      <c r="A99" t="s">
        <v>675</v>
      </c>
      <c r="B99" t="s">
        <v>676</v>
      </c>
      <c r="C99" t="s">
        <v>677</v>
      </c>
      <c r="D99" t="s">
        <v>321</v>
      </c>
      <c r="E99" t="s">
        <v>678</v>
      </c>
      <c r="F99" t="s">
        <v>679</v>
      </c>
      <c r="G99">
        <v>29</v>
      </c>
      <c r="H99" t="s">
        <v>43</v>
      </c>
      <c r="I99" t="s">
        <v>108</v>
      </c>
      <c r="J99" t="s">
        <v>57</v>
      </c>
      <c r="K99" t="s">
        <v>46</v>
      </c>
      <c r="L99" t="s">
        <v>680</v>
      </c>
      <c r="M99" s="1">
        <v>45157</v>
      </c>
      <c r="N99" t="s">
        <v>48</v>
      </c>
      <c r="O99">
        <v>3</v>
      </c>
    </row>
    <row r="100" spans="1:15">
      <c r="A100" t="s">
        <v>681</v>
      </c>
      <c r="B100" t="s">
        <v>682</v>
      </c>
      <c r="C100" t="s">
        <v>661</v>
      </c>
      <c r="D100" t="s">
        <v>281</v>
      </c>
      <c r="E100" t="s">
        <v>683</v>
      </c>
      <c r="F100" t="s">
        <v>684</v>
      </c>
      <c r="G100">
        <v>55</v>
      </c>
      <c r="H100" t="s">
        <v>21</v>
      </c>
      <c r="I100" t="s">
        <v>685</v>
      </c>
      <c r="J100" t="s">
        <v>686</v>
      </c>
      <c r="K100" t="s">
        <v>188</v>
      </c>
      <c r="L100" t="s">
        <v>687</v>
      </c>
      <c r="M100" s="1">
        <v>44766</v>
      </c>
      <c r="N100" t="s">
        <v>118</v>
      </c>
      <c r="O100">
        <v>4</v>
      </c>
    </row>
    <row r="101" spans="1:15">
      <c r="A101" t="s">
        <v>688</v>
      </c>
      <c r="B101" t="s">
        <v>689</v>
      </c>
      <c r="C101" t="s">
        <v>201</v>
      </c>
      <c r="D101" t="s">
        <v>142</v>
      </c>
      <c r="E101" t="s">
        <v>690</v>
      </c>
      <c r="F101" t="s">
        <v>691</v>
      </c>
      <c r="G101">
        <v>46</v>
      </c>
      <c r="H101" t="s">
        <v>43</v>
      </c>
      <c r="I101" t="s">
        <v>270</v>
      </c>
      <c r="J101" t="s">
        <v>271</v>
      </c>
      <c r="K101" t="s">
        <v>188</v>
      </c>
      <c r="L101" t="s">
        <v>692</v>
      </c>
      <c r="M101" s="1">
        <v>45413</v>
      </c>
      <c r="N101" t="s">
        <v>26</v>
      </c>
      <c r="O101">
        <v>2</v>
      </c>
    </row>
    <row r="102" spans="1:15">
      <c r="A102" t="s">
        <v>693</v>
      </c>
      <c r="B102" t="s">
        <v>694</v>
      </c>
      <c r="C102" t="s">
        <v>460</v>
      </c>
      <c r="D102" t="s">
        <v>527</v>
      </c>
      <c r="E102" t="s">
        <v>695</v>
      </c>
      <c r="F102" t="s">
        <v>696</v>
      </c>
      <c r="G102">
        <v>51</v>
      </c>
      <c r="H102" t="s">
        <v>21</v>
      </c>
      <c r="I102" t="s">
        <v>355</v>
      </c>
      <c r="J102" t="s">
        <v>187</v>
      </c>
      <c r="K102" t="s">
        <v>188</v>
      </c>
      <c r="L102" t="s">
        <v>697</v>
      </c>
      <c r="M102" s="1">
        <v>45182</v>
      </c>
      <c r="N102" t="s">
        <v>118</v>
      </c>
      <c r="O102">
        <v>3</v>
      </c>
    </row>
    <row r="103" spans="1:15">
      <c r="A103" t="s">
        <v>698</v>
      </c>
      <c r="B103" t="s">
        <v>699</v>
      </c>
      <c r="C103" t="s">
        <v>89</v>
      </c>
      <c r="D103" t="s">
        <v>246</v>
      </c>
      <c r="E103" t="s">
        <v>700</v>
      </c>
      <c r="F103" t="s">
        <v>701</v>
      </c>
      <c r="G103">
        <v>32</v>
      </c>
      <c r="H103" t="s">
        <v>21</v>
      </c>
      <c r="I103" t="s">
        <v>475</v>
      </c>
      <c r="J103" t="s">
        <v>197</v>
      </c>
      <c r="K103" t="s">
        <v>24</v>
      </c>
      <c r="L103" t="s">
        <v>702</v>
      </c>
      <c r="M103" s="1">
        <v>44490</v>
      </c>
      <c r="N103" t="s">
        <v>26</v>
      </c>
      <c r="O103">
        <v>5</v>
      </c>
    </row>
    <row r="104" spans="1:15">
      <c r="A104" t="s">
        <v>703</v>
      </c>
      <c r="B104" t="s">
        <v>704</v>
      </c>
      <c r="C104" t="s">
        <v>705</v>
      </c>
      <c r="D104" t="s">
        <v>40</v>
      </c>
      <c r="E104" t="s">
        <v>706</v>
      </c>
      <c r="F104" t="s">
        <v>707</v>
      </c>
      <c r="G104">
        <v>44</v>
      </c>
      <c r="H104" t="s">
        <v>43</v>
      </c>
      <c r="I104" t="s">
        <v>685</v>
      </c>
      <c r="J104" t="s">
        <v>686</v>
      </c>
      <c r="K104" t="s">
        <v>188</v>
      </c>
      <c r="L104" t="s">
        <v>708</v>
      </c>
      <c r="M104" s="1">
        <v>45492</v>
      </c>
      <c r="N104" t="s">
        <v>48</v>
      </c>
      <c r="O104">
        <v>2</v>
      </c>
    </row>
    <row r="105" spans="1:15">
      <c r="A105" t="s">
        <v>709</v>
      </c>
      <c r="B105" t="s">
        <v>710</v>
      </c>
      <c r="C105" t="s">
        <v>711</v>
      </c>
      <c r="D105" t="s">
        <v>30</v>
      </c>
      <c r="E105" t="s">
        <v>712</v>
      </c>
      <c r="F105" t="s">
        <v>713</v>
      </c>
      <c r="G105">
        <v>48</v>
      </c>
      <c r="H105" t="s">
        <v>21</v>
      </c>
      <c r="I105" t="s">
        <v>714</v>
      </c>
      <c r="J105" t="s">
        <v>271</v>
      </c>
      <c r="K105" t="s">
        <v>188</v>
      </c>
      <c r="L105" t="s">
        <v>715</v>
      </c>
      <c r="M105" s="1">
        <v>45621</v>
      </c>
      <c r="N105" t="s">
        <v>26</v>
      </c>
      <c r="O105">
        <v>2</v>
      </c>
    </row>
    <row r="106" spans="1:15">
      <c r="A106" t="s">
        <v>716</v>
      </c>
      <c r="B106" t="s">
        <v>717</v>
      </c>
      <c r="C106" t="s">
        <v>718</v>
      </c>
      <c r="D106" t="s">
        <v>231</v>
      </c>
      <c r="E106" t="s">
        <v>719</v>
      </c>
      <c r="F106" t="s">
        <v>720</v>
      </c>
      <c r="G106">
        <v>36</v>
      </c>
      <c r="H106" t="s">
        <v>43</v>
      </c>
      <c r="I106" t="s">
        <v>290</v>
      </c>
      <c r="J106" t="s">
        <v>197</v>
      </c>
      <c r="K106" t="s">
        <v>24</v>
      </c>
      <c r="L106" t="s">
        <v>721</v>
      </c>
      <c r="M106" s="1">
        <v>44792</v>
      </c>
      <c r="N106" t="s">
        <v>26</v>
      </c>
      <c r="O106">
        <v>4</v>
      </c>
    </row>
    <row r="107" spans="1:15">
      <c r="A107" t="s">
        <v>722</v>
      </c>
      <c r="B107" t="s">
        <v>723</v>
      </c>
      <c r="C107" t="s">
        <v>439</v>
      </c>
      <c r="D107" t="s">
        <v>385</v>
      </c>
      <c r="E107" t="s">
        <v>724</v>
      </c>
      <c r="F107" t="s">
        <v>725</v>
      </c>
      <c r="G107">
        <v>40</v>
      </c>
      <c r="H107" t="s">
        <v>43</v>
      </c>
      <c r="I107" t="s">
        <v>368</v>
      </c>
      <c r="J107" t="s">
        <v>57</v>
      </c>
      <c r="K107" t="s">
        <v>46</v>
      </c>
      <c r="L107" t="s">
        <v>726</v>
      </c>
      <c r="M107" s="1">
        <v>44609</v>
      </c>
      <c r="N107" t="s">
        <v>26</v>
      </c>
      <c r="O107">
        <v>4</v>
      </c>
    </row>
    <row r="108" spans="1:15">
      <c r="A108" t="s">
        <v>727</v>
      </c>
      <c r="B108" t="s">
        <v>728</v>
      </c>
      <c r="C108" t="s">
        <v>337</v>
      </c>
      <c r="D108" t="s">
        <v>466</v>
      </c>
      <c r="E108" t="s">
        <v>729</v>
      </c>
      <c r="F108" t="s">
        <v>730</v>
      </c>
      <c r="G108">
        <v>25</v>
      </c>
      <c r="H108" t="s">
        <v>43</v>
      </c>
      <c r="I108" t="s">
        <v>234</v>
      </c>
      <c r="J108" t="s">
        <v>221</v>
      </c>
      <c r="K108" t="s">
        <v>24</v>
      </c>
      <c r="L108" t="s">
        <v>731</v>
      </c>
      <c r="M108" s="1">
        <v>45360</v>
      </c>
      <c r="N108" t="s">
        <v>48</v>
      </c>
      <c r="O108">
        <v>2</v>
      </c>
    </row>
    <row r="109" spans="1:15">
      <c r="A109" t="s">
        <v>732</v>
      </c>
      <c r="B109" t="s">
        <v>733</v>
      </c>
      <c r="C109" t="s">
        <v>479</v>
      </c>
      <c r="D109" t="s">
        <v>295</v>
      </c>
      <c r="E109" t="s">
        <v>734</v>
      </c>
      <c r="F109" t="s">
        <v>735</v>
      </c>
      <c r="G109">
        <v>22</v>
      </c>
      <c r="H109" t="s">
        <v>43</v>
      </c>
      <c r="I109" t="s">
        <v>84</v>
      </c>
      <c r="J109" t="s">
        <v>85</v>
      </c>
      <c r="K109" t="s">
        <v>24</v>
      </c>
      <c r="L109" t="s">
        <v>736</v>
      </c>
      <c r="M109" s="1">
        <v>43890</v>
      </c>
      <c r="N109" t="s">
        <v>48</v>
      </c>
      <c r="O109">
        <v>6</v>
      </c>
    </row>
    <row r="110" spans="1:15">
      <c r="A110" t="s">
        <v>737</v>
      </c>
      <c r="B110" t="s">
        <v>738</v>
      </c>
      <c r="C110" t="s">
        <v>739</v>
      </c>
      <c r="D110" t="s">
        <v>558</v>
      </c>
      <c r="E110" t="s">
        <v>740</v>
      </c>
      <c r="F110" t="s">
        <v>741</v>
      </c>
      <c r="G110">
        <v>31</v>
      </c>
      <c r="H110" t="s">
        <v>21</v>
      </c>
      <c r="I110" t="s">
        <v>742</v>
      </c>
      <c r="J110" t="s">
        <v>57</v>
      </c>
      <c r="K110" t="s">
        <v>46</v>
      </c>
      <c r="L110" t="s">
        <v>743</v>
      </c>
      <c r="M110" s="1">
        <v>44990</v>
      </c>
      <c r="N110" t="s">
        <v>48</v>
      </c>
      <c r="O110">
        <v>3</v>
      </c>
    </row>
    <row r="111" spans="1:15">
      <c r="A111" t="s">
        <v>744</v>
      </c>
      <c r="B111" t="s">
        <v>745</v>
      </c>
      <c r="C111" t="s">
        <v>746</v>
      </c>
      <c r="D111" t="s">
        <v>466</v>
      </c>
      <c r="E111" t="s">
        <v>747</v>
      </c>
      <c r="F111" t="s">
        <v>748</v>
      </c>
      <c r="G111">
        <v>29</v>
      </c>
      <c r="H111" t="s">
        <v>21</v>
      </c>
      <c r="I111" t="s">
        <v>324</v>
      </c>
      <c r="J111" t="s">
        <v>325</v>
      </c>
      <c r="K111" t="s">
        <v>188</v>
      </c>
      <c r="L111" t="s">
        <v>749</v>
      </c>
      <c r="M111" s="1">
        <v>45025</v>
      </c>
      <c r="N111" t="s">
        <v>118</v>
      </c>
      <c r="O111">
        <v>3</v>
      </c>
    </row>
    <row r="112" spans="1:15">
      <c r="A112" t="s">
        <v>750</v>
      </c>
      <c r="B112" t="s">
        <v>751</v>
      </c>
      <c r="C112" t="s">
        <v>17</v>
      </c>
      <c r="D112" t="s">
        <v>112</v>
      </c>
      <c r="E112" t="s">
        <v>752</v>
      </c>
      <c r="F112" t="s">
        <v>753</v>
      </c>
      <c r="G112">
        <v>54</v>
      </c>
      <c r="H112" t="s">
        <v>21</v>
      </c>
      <c r="I112" t="s">
        <v>108</v>
      </c>
      <c r="J112" t="s">
        <v>57</v>
      </c>
      <c r="K112" t="s">
        <v>46</v>
      </c>
      <c r="L112" t="s">
        <v>754</v>
      </c>
      <c r="M112" s="1">
        <v>45218</v>
      </c>
      <c r="N112" t="s">
        <v>48</v>
      </c>
      <c r="O112">
        <v>3</v>
      </c>
    </row>
    <row r="113" spans="1:15">
      <c r="A113" t="s">
        <v>755</v>
      </c>
      <c r="B113" t="s">
        <v>756</v>
      </c>
      <c r="C113" t="s">
        <v>392</v>
      </c>
      <c r="D113" t="s">
        <v>558</v>
      </c>
      <c r="E113" t="s">
        <v>757</v>
      </c>
      <c r="F113" t="s">
        <v>758</v>
      </c>
      <c r="G113">
        <v>39</v>
      </c>
      <c r="H113" t="s">
        <v>21</v>
      </c>
      <c r="I113" t="s">
        <v>84</v>
      </c>
      <c r="J113" t="s">
        <v>85</v>
      </c>
      <c r="K113" t="s">
        <v>24</v>
      </c>
      <c r="L113" t="s">
        <v>759</v>
      </c>
      <c r="M113" s="1">
        <v>44766</v>
      </c>
      <c r="N113" t="s">
        <v>118</v>
      </c>
      <c r="O113">
        <v>4</v>
      </c>
    </row>
    <row r="114" spans="1:15">
      <c r="A114" t="s">
        <v>760</v>
      </c>
      <c r="B114" t="s">
        <v>761</v>
      </c>
      <c r="C114" t="s">
        <v>762</v>
      </c>
      <c r="D114" t="s">
        <v>202</v>
      </c>
      <c r="E114" t="s">
        <v>763</v>
      </c>
      <c r="F114" t="s">
        <v>764</v>
      </c>
      <c r="G114">
        <v>38</v>
      </c>
      <c r="H114" t="s">
        <v>21</v>
      </c>
      <c r="I114" t="s">
        <v>196</v>
      </c>
      <c r="J114" t="s">
        <v>197</v>
      </c>
      <c r="K114" t="s">
        <v>24</v>
      </c>
      <c r="L114" t="s">
        <v>765</v>
      </c>
      <c r="M114" s="1">
        <v>45263</v>
      </c>
      <c r="N114" t="s">
        <v>118</v>
      </c>
      <c r="O114">
        <v>3</v>
      </c>
    </row>
    <row r="115" spans="1:15">
      <c r="A115" t="s">
        <v>766</v>
      </c>
      <c r="B115" t="s">
        <v>767</v>
      </c>
      <c r="C115" t="s">
        <v>570</v>
      </c>
      <c r="D115" t="s">
        <v>231</v>
      </c>
      <c r="E115" t="s">
        <v>768</v>
      </c>
      <c r="F115" t="s">
        <v>769</v>
      </c>
      <c r="G115">
        <v>38</v>
      </c>
      <c r="H115" t="s">
        <v>21</v>
      </c>
      <c r="I115" t="s">
        <v>151</v>
      </c>
      <c r="J115" t="s">
        <v>75</v>
      </c>
      <c r="K115" t="s">
        <v>76</v>
      </c>
      <c r="L115" t="s">
        <v>770</v>
      </c>
      <c r="M115" s="1">
        <v>45536</v>
      </c>
      <c r="N115" t="s">
        <v>26</v>
      </c>
      <c r="O115">
        <v>2</v>
      </c>
    </row>
    <row r="116" spans="1:15">
      <c r="A116" t="s">
        <v>771</v>
      </c>
      <c r="B116" t="s">
        <v>772</v>
      </c>
      <c r="C116" t="s">
        <v>453</v>
      </c>
      <c r="D116" t="s">
        <v>40</v>
      </c>
      <c r="E116" t="s">
        <v>773</v>
      </c>
      <c r="F116" t="s">
        <v>774</v>
      </c>
      <c r="G116">
        <v>28</v>
      </c>
      <c r="H116" t="s">
        <v>21</v>
      </c>
      <c r="I116" t="s">
        <v>368</v>
      </c>
      <c r="J116" t="s">
        <v>57</v>
      </c>
      <c r="K116" t="s">
        <v>46</v>
      </c>
      <c r="L116" t="s">
        <v>775</v>
      </c>
      <c r="M116" s="1">
        <v>45225</v>
      </c>
      <c r="N116" t="s">
        <v>48</v>
      </c>
      <c r="O116">
        <v>3</v>
      </c>
    </row>
    <row r="117" spans="1:15">
      <c r="A117" t="s">
        <v>776</v>
      </c>
      <c r="B117" t="s">
        <v>777</v>
      </c>
      <c r="C117" t="s">
        <v>155</v>
      </c>
      <c r="D117" t="s">
        <v>778</v>
      </c>
      <c r="E117" t="s">
        <v>779</v>
      </c>
      <c r="F117" t="s">
        <v>780</v>
      </c>
      <c r="G117">
        <v>40</v>
      </c>
      <c r="H117" t="s">
        <v>43</v>
      </c>
      <c r="I117" t="s">
        <v>22</v>
      </c>
      <c r="J117" t="s">
        <v>23</v>
      </c>
      <c r="K117" t="s">
        <v>24</v>
      </c>
      <c r="L117" t="s">
        <v>781</v>
      </c>
      <c r="M117" s="1">
        <v>44435</v>
      </c>
      <c r="N117" t="s">
        <v>48</v>
      </c>
      <c r="O117">
        <v>5</v>
      </c>
    </row>
    <row r="118" spans="1:15">
      <c r="A118" t="s">
        <v>782</v>
      </c>
      <c r="B118" t="s">
        <v>783</v>
      </c>
      <c r="C118" t="s">
        <v>784</v>
      </c>
      <c r="D118" t="s">
        <v>162</v>
      </c>
      <c r="E118" t="s">
        <v>785</v>
      </c>
      <c r="F118" t="s">
        <v>786</v>
      </c>
      <c r="G118">
        <v>30</v>
      </c>
      <c r="H118" t="s">
        <v>43</v>
      </c>
      <c r="I118" t="s">
        <v>742</v>
      </c>
      <c r="J118" t="s">
        <v>57</v>
      </c>
      <c r="K118" t="s">
        <v>46</v>
      </c>
      <c r="L118" t="s">
        <v>787</v>
      </c>
      <c r="M118" s="1">
        <v>44389</v>
      </c>
      <c r="N118" t="s">
        <v>118</v>
      </c>
      <c r="O118">
        <v>5</v>
      </c>
    </row>
    <row r="119" spans="1:15">
      <c r="A119" t="s">
        <v>788</v>
      </c>
      <c r="B119" t="s">
        <v>789</v>
      </c>
      <c r="C119" t="s">
        <v>739</v>
      </c>
      <c r="D119" t="s">
        <v>330</v>
      </c>
      <c r="E119" t="s">
        <v>790</v>
      </c>
      <c r="F119" t="s">
        <v>791</v>
      </c>
      <c r="G119">
        <v>34</v>
      </c>
      <c r="H119" t="s">
        <v>43</v>
      </c>
      <c r="I119" t="s">
        <v>108</v>
      </c>
      <c r="J119" t="s">
        <v>57</v>
      </c>
      <c r="K119" t="s">
        <v>46</v>
      </c>
      <c r="L119" t="s">
        <v>792</v>
      </c>
      <c r="M119" s="1">
        <v>44119</v>
      </c>
      <c r="N119" t="s">
        <v>26</v>
      </c>
      <c r="O119">
        <v>6</v>
      </c>
    </row>
    <row r="120" spans="1:15">
      <c r="A120" t="s">
        <v>793</v>
      </c>
      <c r="B120" t="s">
        <v>794</v>
      </c>
      <c r="C120" t="s">
        <v>576</v>
      </c>
      <c r="D120" t="s">
        <v>398</v>
      </c>
      <c r="E120" t="s">
        <v>795</v>
      </c>
      <c r="F120" t="s">
        <v>796</v>
      </c>
      <c r="G120">
        <v>43</v>
      </c>
      <c r="H120" t="s">
        <v>43</v>
      </c>
      <c r="I120" t="s">
        <v>241</v>
      </c>
      <c r="J120" t="s">
        <v>187</v>
      </c>
      <c r="K120" t="s">
        <v>188</v>
      </c>
      <c r="L120" t="s">
        <v>797</v>
      </c>
      <c r="M120" s="1">
        <v>44762</v>
      </c>
      <c r="N120" t="s">
        <v>26</v>
      </c>
      <c r="O120">
        <v>4</v>
      </c>
    </row>
    <row r="121" spans="1:15">
      <c r="A121" t="s">
        <v>798</v>
      </c>
      <c r="B121" t="s">
        <v>799</v>
      </c>
      <c r="C121" t="s">
        <v>230</v>
      </c>
      <c r="D121" t="s">
        <v>527</v>
      </c>
      <c r="E121" t="s">
        <v>800</v>
      </c>
      <c r="F121" t="s">
        <v>801</v>
      </c>
      <c r="G121">
        <v>55</v>
      </c>
      <c r="H121" t="s">
        <v>43</v>
      </c>
      <c r="I121" t="s">
        <v>74</v>
      </c>
      <c r="J121" t="s">
        <v>75</v>
      </c>
      <c r="K121" t="s">
        <v>76</v>
      </c>
      <c r="L121" t="s">
        <v>802</v>
      </c>
      <c r="M121" s="1">
        <v>43882</v>
      </c>
      <c r="N121" t="s">
        <v>26</v>
      </c>
      <c r="O121">
        <v>6</v>
      </c>
    </row>
    <row r="122" spans="1:15">
      <c r="A122" t="s">
        <v>803</v>
      </c>
      <c r="B122" t="s">
        <v>804</v>
      </c>
      <c r="C122" t="s">
        <v>805</v>
      </c>
      <c r="D122" t="s">
        <v>135</v>
      </c>
      <c r="E122" t="s">
        <v>806</v>
      </c>
      <c r="F122" t="s">
        <v>807</v>
      </c>
      <c r="G122">
        <v>27</v>
      </c>
      <c r="H122" t="s">
        <v>21</v>
      </c>
      <c r="I122" t="s">
        <v>374</v>
      </c>
      <c r="J122" t="s">
        <v>197</v>
      </c>
      <c r="K122" t="s">
        <v>24</v>
      </c>
      <c r="L122" t="s">
        <v>808</v>
      </c>
      <c r="M122" s="1">
        <v>44667</v>
      </c>
      <c r="N122" t="s">
        <v>48</v>
      </c>
      <c r="O122">
        <v>4</v>
      </c>
    </row>
    <row r="123" spans="1:15">
      <c r="A123" t="s">
        <v>809</v>
      </c>
      <c r="B123" t="s">
        <v>810</v>
      </c>
      <c r="C123" t="s">
        <v>337</v>
      </c>
      <c r="D123" t="s">
        <v>454</v>
      </c>
      <c r="E123" t="s">
        <v>811</v>
      </c>
      <c r="F123" t="s">
        <v>812</v>
      </c>
      <c r="G123">
        <v>49</v>
      </c>
      <c r="H123" t="s">
        <v>43</v>
      </c>
      <c r="I123" t="s">
        <v>241</v>
      </c>
      <c r="J123" t="s">
        <v>187</v>
      </c>
      <c r="K123" t="s">
        <v>188</v>
      </c>
      <c r="L123" t="s">
        <v>813</v>
      </c>
      <c r="M123" s="1">
        <v>44626</v>
      </c>
      <c r="N123" t="s">
        <v>26</v>
      </c>
      <c r="O123">
        <v>4</v>
      </c>
    </row>
    <row r="124" spans="1:15">
      <c r="A124" t="s">
        <v>814</v>
      </c>
      <c r="B124" t="s">
        <v>815</v>
      </c>
      <c r="C124" t="s">
        <v>39</v>
      </c>
      <c r="D124" t="s">
        <v>816</v>
      </c>
      <c r="E124" t="s">
        <v>817</v>
      </c>
      <c r="F124" t="s">
        <v>818</v>
      </c>
      <c r="G124">
        <v>46</v>
      </c>
      <c r="H124" t="s">
        <v>43</v>
      </c>
      <c r="I124" t="s">
        <v>56</v>
      </c>
      <c r="J124" t="s">
        <v>57</v>
      </c>
      <c r="K124" t="s">
        <v>46</v>
      </c>
      <c r="L124" t="s">
        <v>819</v>
      </c>
      <c r="M124" s="1">
        <v>45091</v>
      </c>
      <c r="N124" t="s">
        <v>48</v>
      </c>
      <c r="O124">
        <v>3</v>
      </c>
    </row>
    <row r="125" spans="1:15">
      <c r="A125" t="s">
        <v>820</v>
      </c>
      <c r="B125" t="s">
        <v>821</v>
      </c>
      <c r="C125" t="s">
        <v>439</v>
      </c>
      <c r="D125" t="s">
        <v>81</v>
      </c>
      <c r="E125" t="s">
        <v>822</v>
      </c>
      <c r="F125" t="s">
        <v>823</v>
      </c>
      <c r="G125">
        <v>43</v>
      </c>
      <c r="H125" t="s">
        <v>55</v>
      </c>
      <c r="I125" t="s">
        <v>824</v>
      </c>
      <c r="J125" t="s">
        <v>45</v>
      </c>
      <c r="K125" t="s">
        <v>46</v>
      </c>
      <c r="L125" t="s">
        <v>825</v>
      </c>
      <c r="M125" s="1">
        <v>45235</v>
      </c>
      <c r="N125" t="s">
        <v>48</v>
      </c>
      <c r="O125">
        <v>3</v>
      </c>
    </row>
    <row r="126" spans="1:15">
      <c r="A126" t="s">
        <v>826</v>
      </c>
      <c r="B126" t="s">
        <v>827</v>
      </c>
      <c r="C126" t="s">
        <v>828</v>
      </c>
      <c r="D126" t="s">
        <v>385</v>
      </c>
      <c r="E126" t="s">
        <v>829</v>
      </c>
      <c r="F126" t="s">
        <v>830</v>
      </c>
      <c r="G126">
        <v>33</v>
      </c>
      <c r="H126" t="s">
        <v>55</v>
      </c>
      <c r="I126" t="s">
        <v>108</v>
      </c>
      <c r="J126" t="s">
        <v>57</v>
      </c>
      <c r="K126" t="s">
        <v>46</v>
      </c>
      <c r="L126" t="s">
        <v>831</v>
      </c>
      <c r="M126" s="1">
        <v>45188</v>
      </c>
      <c r="N126" t="s">
        <v>48</v>
      </c>
      <c r="O126">
        <v>3</v>
      </c>
    </row>
    <row r="127" spans="1:15">
      <c r="A127" t="s">
        <v>832</v>
      </c>
      <c r="B127" t="s">
        <v>833</v>
      </c>
      <c r="C127" t="s">
        <v>834</v>
      </c>
      <c r="D127" t="s">
        <v>778</v>
      </c>
      <c r="E127" t="s">
        <v>835</v>
      </c>
      <c r="F127" t="s">
        <v>836</v>
      </c>
      <c r="G127">
        <v>55</v>
      </c>
      <c r="H127" t="s">
        <v>21</v>
      </c>
      <c r="I127" t="s">
        <v>196</v>
      </c>
      <c r="J127" t="s">
        <v>197</v>
      </c>
      <c r="K127" t="s">
        <v>24</v>
      </c>
      <c r="L127" t="s">
        <v>837</v>
      </c>
      <c r="M127" s="1">
        <v>43971</v>
      </c>
      <c r="N127" t="s">
        <v>26</v>
      </c>
      <c r="O127">
        <v>6</v>
      </c>
    </row>
    <row r="128" spans="1:15">
      <c r="A128" t="s">
        <v>838</v>
      </c>
      <c r="B128" t="s">
        <v>839</v>
      </c>
      <c r="C128" t="s">
        <v>51</v>
      </c>
      <c r="D128" t="s">
        <v>527</v>
      </c>
      <c r="E128" t="s">
        <v>840</v>
      </c>
      <c r="F128" t="s">
        <v>841</v>
      </c>
      <c r="G128">
        <v>29</v>
      </c>
      <c r="H128" t="s">
        <v>21</v>
      </c>
      <c r="I128" t="s">
        <v>151</v>
      </c>
      <c r="J128" t="s">
        <v>75</v>
      </c>
      <c r="K128" t="s">
        <v>76</v>
      </c>
      <c r="L128" t="s">
        <v>842</v>
      </c>
      <c r="M128" s="1">
        <v>44398</v>
      </c>
      <c r="N128" t="s">
        <v>26</v>
      </c>
      <c r="O128">
        <v>5</v>
      </c>
    </row>
    <row r="129" spans="1:15">
      <c r="A129" t="s">
        <v>843</v>
      </c>
      <c r="B129" t="s">
        <v>844</v>
      </c>
      <c r="C129" t="s">
        <v>845</v>
      </c>
      <c r="D129" t="s">
        <v>846</v>
      </c>
      <c r="E129" t="s">
        <v>847</v>
      </c>
      <c r="F129" t="s">
        <v>848</v>
      </c>
      <c r="G129">
        <v>35</v>
      </c>
      <c r="H129" t="s">
        <v>55</v>
      </c>
      <c r="I129" t="s">
        <v>22</v>
      </c>
      <c r="J129" t="s">
        <v>23</v>
      </c>
      <c r="K129" t="s">
        <v>24</v>
      </c>
      <c r="L129" t="s">
        <v>849</v>
      </c>
      <c r="M129" s="1">
        <v>44564</v>
      </c>
      <c r="N129" t="s">
        <v>48</v>
      </c>
      <c r="O129">
        <v>4</v>
      </c>
    </row>
    <row r="130" spans="1:15">
      <c r="A130" t="s">
        <v>850</v>
      </c>
      <c r="B130" t="s">
        <v>851</v>
      </c>
      <c r="C130" t="s">
        <v>852</v>
      </c>
      <c r="D130" t="s">
        <v>521</v>
      </c>
      <c r="E130" t="s">
        <v>853</v>
      </c>
      <c r="F130" t="s">
        <v>854</v>
      </c>
      <c r="G130">
        <v>24</v>
      </c>
      <c r="H130" t="s">
        <v>43</v>
      </c>
      <c r="I130" t="s">
        <v>205</v>
      </c>
      <c r="J130" t="s">
        <v>57</v>
      </c>
      <c r="K130" t="s">
        <v>46</v>
      </c>
      <c r="L130" t="s">
        <v>855</v>
      </c>
      <c r="M130" s="1">
        <v>44063</v>
      </c>
      <c r="N130" t="s">
        <v>118</v>
      </c>
      <c r="O130">
        <v>6</v>
      </c>
    </row>
    <row r="131" spans="1:15">
      <c r="A131" t="s">
        <v>856</v>
      </c>
      <c r="B131" t="s">
        <v>857</v>
      </c>
      <c r="C131" t="s">
        <v>320</v>
      </c>
      <c r="D131" t="s">
        <v>81</v>
      </c>
      <c r="E131" t="s">
        <v>858</v>
      </c>
      <c r="F131" t="s">
        <v>859</v>
      </c>
      <c r="G131">
        <v>22</v>
      </c>
      <c r="H131" t="s">
        <v>55</v>
      </c>
      <c r="I131" t="s">
        <v>33</v>
      </c>
      <c r="J131" t="s">
        <v>34</v>
      </c>
      <c r="K131" t="s">
        <v>35</v>
      </c>
      <c r="L131" t="s">
        <v>860</v>
      </c>
      <c r="M131" s="1">
        <v>45090</v>
      </c>
      <c r="N131" t="s">
        <v>48</v>
      </c>
      <c r="O131">
        <v>3</v>
      </c>
    </row>
    <row r="132" spans="1:15">
      <c r="A132" t="s">
        <v>861</v>
      </c>
      <c r="B132" t="s">
        <v>862</v>
      </c>
      <c r="C132" t="s">
        <v>718</v>
      </c>
      <c r="D132" t="s">
        <v>135</v>
      </c>
      <c r="E132" t="s">
        <v>863</v>
      </c>
      <c r="F132" t="s">
        <v>864</v>
      </c>
      <c r="G132">
        <v>26</v>
      </c>
      <c r="H132" t="s">
        <v>43</v>
      </c>
      <c r="I132" t="s">
        <v>115</v>
      </c>
      <c r="J132" t="s">
        <v>116</v>
      </c>
      <c r="K132" t="s">
        <v>24</v>
      </c>
      <c r="L132" t="s">
        <v>865</v>
      </c>
      <c r="M132" s="1">
        <v>45236</v>
      </c>
      <c r="N132" t="s">
        <v>118</v>
      </c>
      <c r="O132">
        <v>3</v>
      </c>
    </row>
    <row r="133" spans="1:15">
      <c r="A133" t="s">
        <v>866</v>
      </c>
      <c r="B133" t="s">
        <v>867</v>
      </c>
      <c r="C133" t="s">
        <v>868</v>
      </c>
      <c r="D133" t="s">
        <v>422</v>
      </c>
      <c r="E133" t="s">
        <v>869</v>
      </c>
      <c r="F133" t="s">
        <v>870</v>
      </c>
      <c r="G133">
        <v>55</v>
      </c>
      <c r="H133" t="s">
        <v>43</v>
      </c>
      <c r="I133" t="s">
        <v>270</v>
      </c>
      <c r="J133" t="s">
        <v>271</v>
      </c>
      <c r="K133" t="s">
        <v>188</v>
      </c>
      <c r="L133" t="s">
        <v>871</v>
      </c>
      <c r="M133" s="1">
        <v>44394</v>
      </c>
      <c r="N133" t="s">
        <v>118</v>
      </c>
      <c r="O133">
        <v>5</v>
      </c>
    </row>
    <row r="134" spans="1:15">
      <c r="A134" t="s">
        <v>872</v>
      </c>
      <c r="B134" t="s">
        <v>873</v>
      </c>
      <c r="C134" t="s">
        <v>127</v>
      </c>
      <c r="D134" t="s">
        <v>874</v>
      </c>
      <c r="E134" t="s">
        <v>875</v>
      </c>
      <c r="F134" t="s">
        <v>876</v>
      </c>
      <c r="G134">
        <v>27</v>
      </c>
      <c r="H134" t="s">
        <v>55</v>
      </c>
      <c r="I134" t="s">
        <v>411</v>
      </c>
      <c r="J134" t="s">
        <v>412</v>
      </c>
      <c r="K134" t="s">
        <v>35</v>
      </c>
      <c r="L134" t="s">
        <v>877</v>
      </c>
      <c r="M134" s="1">
        <v>45455</v>
      </c>
      <c r="N134" t="s">
        <v>48</v>
      </c>
      <c r="O134">
        <v>2</v>
      </c>
    </row>
    <row r="135" spans="1:15">
      <c r="A135" t="s">
        <v>878</v>
      </c>
      <c r="B135" t="s">
        <v>879</v>
      </c>
      <c r="C135" t="s">
        <v>520</v>
      </c>
      <c r="D135" t="s">
        <v>880</v>
      </c>
      <c r="E135" t="s">
        <v>881</v>
      </c>
      <c r="F135" t="s">
        <v>882</v>
      </c>
      <c r="G135">
        <v>26</v>
      </c>
      <c r="H135" t="s">
        <v>43</v>
      </c>
      <c r="I135" t="s">
        <v>108</v>
      </c>
      <c r="J135" t="s">
        <v>57</v>
      </c>
      <c r="K135" t="s">
        <v>46</v>
      </c>
      <c r="L135" t="s">
        <v>883</v>
      </c>
      <c r="M135" s="1">
        <v>44682</v>
      </c>
      <c r="N135" t="s">
        <v>118</v>
      </c>
      <c r="O135">
        <v>4</v>
      </c>
    </row>
    <row r="136" spans="1:15">
      <c r="A136" t="s">
        <v>884</v>
      </c>
      <c r="B136" t="s">
        <v>885</v>
      </c>
      <c r="C136" t="s">
        <v>886</v>
      </c>
      <c r="D136" t="s">
        <v>261</v>
      </c>
      <c r="E136" t="s">
        <v>887</v>
      </c>
      <c r="F136" t="s">
        <v>888</v>
      </c>
      <c r="G136">
        <v>25</v>
      </c>
      <c r="H136" t="s">
        <v>21</v>
      </c>
      <c r="I136" t="s">
        <v>368</v>
      </c>
      <c r="J136" t="s">
        <v>57</v>
      </c>
      <c r="K136" t="s">
        <v>46</v>
      </c>
      <c r="L136" t="s">
        <v>889</v>
      </c>
      <c r="M136" s="1">
        <v>43968</v>
      </c>
      <c r="N136" t="s">
        <v>48</v>
      </c>
      <c r="O136">
        <v>6</v>
      </c>
    </row>
    <row r="137" spans="1:15">
      <c r="A137" t="s">
        <v>890</v>
      </c>
      <c r="B137" t="s">
        <v>891</v>
      </c>
      <c r="C137" t="s">
        <v>520</v>
      </c>
      <c r="D137" t="s">
        <v>202</v>
      </c>
      <c r="E137" t="s">
        <v>892</v>
      </c>
      <c r="F137" t="s">
        <v>893</v>
      </c>
      <c r="G137">
        <v>55</v>
      </c>
      <c r="H137" t="s">
        <v>43</v>
      </c>
      <c r="I137" t="s">
        <v>249</v>
      </c>
      <c r="J137" t="s">
        <v>250</v>
      </c>
      <c r="K137" t="s">
        <v>188</v>
      </c>
      <c r="L137" t="s">
        <v>894</v>
      </c>
      <c r="M137" s="1">
        <v>44981</v>
      </c>
      <c r="N137" t="s">
        <v>48</v>
      </c>
      <c r="O137">
        <v>3</v>
      </c>
    </row>
    <row r="138" spans="1:15">
      <c r="A138" t="s">
        <v>895</v>
      </c>
      <c r="B138" t="s">
        <v>896</v>
      </c>
      <c r="C138" t="s">
        <v>897</v>
      </c>
      <c r="D138" t="s">
        <v>558</v>
      </c>
      <c r="E138" t="s">
        <v>898</v>
      </c>
      <c r="F138" t="s">
        <v>899</v>
      </c>
      <c r="G138">
        <v>39</v>
      </c>
      <c r="H138" t="s">
        <v>43</v>
      </c>
      <c r="I138" t="s">
        <v>249</v>
      </c>
      <c r="J138" t="s">
        <v>250</v>
      </c>
      <c r="K138" t="s">
        <v>188</v>
      </c>
      <c r="L138" t="s">
        <v>900</v>
      </c>
      <c r="M138" s="1">
        <v>45060</v>
      </c>
      <c r="N138" t="s">
        <v>48</v>
      </c>
      <c r="O138">
        <v>3</v>
      </c>
    </row>
    <row r="139" spans="1:15">
      <c r="A139" t="s">
        <v>901</v>
      </c>
      <c r="B139" t="s">
        <v>902</v>
      </c>
      <c r="C139" t="s">
        <v>903</v>
      </c>
      <c r="D139" t="s">
        <v>275</v>
      </c>
      <c r="E139" t="s">
        <v>904</v>
      </c>
      <c r="F139" t="s">
        <v>905</v>
      </c>
      <c r="G139">
        <v>55</v>
      </c>
      <c r="H139" t="s">
        <v>43</v>
      </c>
      <c r="I139" t="s">
        <v>74</v>
      </c>
      <c r="J139" t="s">
        <v>75</v>
      </c>
      <c r="K139" t="s">
        <v>76</v>
      </c>
      <c r="L139" t="s">
        <v>906</v>
      </c>
      <c r="M139" s="1">
        <v>44548</v>
      </c>
      <c r="N139" t="s">
        <v>48</v>
      </c>
      <c r="O139">
        <v>5</v>
      </c>
    </row>
    <row r="140" spans="1:15">
      <c r="A140" t="s">
        <v>907</v>
      </c>
      <c r="B140" t="s">
        <v>908</v>
      </c>
      <c r="C140" t="s">
        <v>479</v>
      </c>
      <c r="D140" t="s">
        <v>217</v>
      </c>
      <c r="E140" t="s">
        <v>909</v>
      </c>
      <c r="F140" t="s">
        <v>910</v>
      </c>
      <c r="G140">
        <v>55</v>
      </c>
      <c r="H140" t="s">
        <v>21</v>
      </c>
      <c r="I140" t="s">
        <v>541</v>
      </c>
      <c r="J140" t="s">
        <v>271</v>
      </c>
      <c r="K140" t="s">
        <v>188</v>
      </c>
      <c r="L140" t="s">
        <v>911</v>
      </c>
      <c r="M140" s="1">
        <v>45087</v>
      </c>
      <c r="N140" t="s">
        <v>26</v>
      </c>
      <c r="O140">
        <v>3</v>
      </c>
    </row>
    <row r="141" spans="1:15">
      <c r="A141" t="s">
        <v>912</v>
      </c>
      <c r="B141" t="s">
        <v>913</v>
      </c>
      <c r="C141" t="s">
        <v>344</v>
      </c>
      <c r="D141" t="s">
        <v>447</v>
      </c>
      <c r="E141" t="s">
        <v>914</v>
      </c>
      <c r="F141" t="s">
        <v>915</v>
      </c>
      <c r="G141">
        <v>39</v>
      </c>
      <c r="H141" t="s">
        <v>43</v>
      </c>
      <c r="I141" t="s">
        <v>92</v>
      </c>
      <c r="J141" t="s">
        <v>45</v>
      </c>
      <c r="K141" t="s">
        <v>46</v>
      </c>
      <c r="L141" t="s">
        <v>916</v>
      </c>
      <c r="M141" s="1">
        <v>45392</v>
      </c>
      <c r="N141" t="s">
        <v>48</v>
      </c>
      <c r="O141">
        <v>2</v>
      </c>
    </row>
    <row r="142" spans="1:15">
      <c r="A142" t="s">
        <v>917</v>
      </c>
      <c r="B142" t="s">
        <v>918</v>
      </c>
      <c r="C142" t="s">
        <v>183</v>
      </c>
      <c r="D142" t="s">
        <v>521</v>
      </c>
      <c r="E142" t="s">
        <v>919</v>
      </c>
      <c r="F142" t="s">
        <v>920</v>
      </c>
      <c r="G142">
        <v>21</v>
      </c>
      <c r="H142" t="s">
        <v>21</v>
      </c>
      <c r="I142" t="s">
        <v>115</v>
      </c>
      <c r="J142" t="s">
        <v>116</v>
      </c>
      <c r="K142" t="s">
        <v>24</v>
      </c>
      <c r="L142" t="s">
        <v>921</v>
      </c>
      <c r="M142" s="1">
        <v>44121</v>
      </c>
      <c r="N142" t="s">
        <v>26</v>
      </c>
      <c r="O142">
        <v>6</v>
      </c>
    </row>
    <row r="143" spans="1:15">
      <c r="A143" t="s">
        <v>922</v>
      </c>
      <c r="B143" t="s">
        <v>923</v>
      </c>
      <c r="C143" t="s">
        <v>51</v>
      </c>
      <c r="D143" t="s">
        <v>924</v>
      </c>
      <c r="E143" t="s">
        <v>925</v>
      </c>
      <c r="F143" t="s">
        <v>926</v>
      </c>
      <c r="G143">
        <v>40</v>
      </c>
      <c r="H143" t="s">
        <v>55</v>
      </c>
      <c r="I143" t="s">
        <v>824</v>
      </c>
      <c r="J143" t="s">
        <v>45</v>
      </c>
      <c r="K143" t="s">
        <v>46</v>
      </c>
      <c r="L143" t="s">
        <v>927</v>
      </c>
      <c r="M143" s="1">
        <v>45308</v>
      </c>
      <c r="N143" t="s">
        <v>26</v>
      </c>
      <c r="O143">
        <v>2</v>
      </c>
    </row>
    <row r="144" spans="1:15">
      <c r="A144" t="s">
        <v>928</v>
      </c>
      <c r="B144" t="s">
        <v>929</v>
      </c>
      <c r="C144" t="s">
        <v>746</v>
      </c>
      <c r="D144" t="s">
        <v>480</v>
      </c>
      <c r="E144" t="s">
        <v>930</v>
      </c>
      <c r="F144" t="s">
        <v>931</v>
      </c>
      <c r="G144">
        <v>37</v>
      </c>
      <c r="H144" t="s">
        <v>43</v>
      </c>
      <c r="I144" t="s">
        <v>249</v>
      </c>
      <c r="J144" t="s">
        <v>250</v>
      </c>
      <c r="K144" t="s">
        <v>188</v>
      </c>
      <c r="L144" t="s">
        <v>932</v>
      </c>
      <c r="M144" s="1">
        <v>43998</v>
      </c>
      <c r="N144" t="s">
        <v>118</v>
      </c>
      <c r="O144">
        <v>6</v>
      </c>
    </row>
    <row r="145" spans="1:15">
      <c r="A145" t="s">
        <v>933</v>
      </c>
      <c r="B145" t="s">
        <v>934</v>
      </c>
      <c r="C145" t="s">
        <v>935</v>
      </c>
      <c r="D145" t="s">
        <v>498</v>
      </c>
      <c r="E145" t="s">
        <v>936</v>
      </c>
      <c r="F145" t="s">
        <v>937</v>
      </c>
      <c r="G145">
        <v>47</v>
      </c>
      <c r="H145" t="s">
        <v>21</v>
      </c>
      <c r="I145" t="s">
        <v>33</v>
      </c>
      <c r="J145" t="s">
        <v>34</v>
      </c>
      <c r="K145" t="s">
        <v>35</v>
      </c>
      <c r="L145" t="s">
        <v>938</v>
      </c>
      <c r="M145" s="1">
        <v>44537</v>
      </c>
      <c r="N145" t="s">
        <v>48</v>
      </c>
      <c r="O145">
        <v>5</v>
      </c>
    </row>
    <row r="146" spans="1:15">
      <c r="A146" t="s">
        <v>939</v>
      </c>
      <c r="B146" t="s">
        <v>940</v>
      </c>
      <c r="C146" t="s">
        <v>504</v>
      </c>
      <c r="D146" t="s">
        <v>255</v>
      </c>
      <c r="E146" t="s">
        <v>941</v>
      </c>
      <c r="F146" t="s">
        <v>942</v>
      </c>
      <c r="G146">
        <v>45</v>
      </c>
      <c r="H146" t="s">
        <v>55</v>
      </c>
      <c r="I146" t="s">
        <v>374</v>
      </c>
      <c r="J146" t="s">
        <v>197</v>
      </c>
      <c r="K146" t="s">
        <v>24</v>
      </c>
      <c r="L146" t="s">
        <v>943</v>
      </c>
      <c r="M146" s="1">
        <v>44282</v>
      </c>
      <c r="N146" t="s">
        <v>48</v>
      </c>
      <c r="O146">
        <v>5</v>
      </c>
    </row>
    <row r="147" spans="1:15">
      <c r="A147" t="s">
        <v>944</v>
      </c>
      <c r="B147" t="s">
        <v>945</v>
      </c>
      <c r="C147" t="s">
        <v>183</v>
      </c>
      <c r="D147" t="s">
        <v>946</v>
      </c>
      <c r="E147" t="s">
        <v>947</v>
      </c>
      <c r="F147" t="s">
        <v>948</v>
      </c>
      <c r="G147">
        <v>20</v>
      </c>
      <c r="H147" t="s">
        <v>43</v>
      </c>
      <c r="I147" t="s">
        <v>234</v>
      </c>
      <c r="J147" t="s">
        <v>221</v>
      </c>
      <c r="K147" t="s">
        <v>24</v>
      </c>
      <c r="L147" t="s">
        <v>949</v>
      </c>
      <c r="M147" s="1">
        <v>44076</v>
      </c>
      <c r="N147" t="s">
        <v>118</v>
      </c>
      <c r="O147">
        <v>6</v>
      </c>
    </row>
    <row r="148" spans="1:15">
      <c r="A148" t="s">
        <v>950</v>
      </c>
      <c r="B148" t="s">
        <v>951</v>
      </c>
      <c r="C148" t="s">
        <v>329</v>
      </c>
      <c r="D148" t="s">
        <v>162</v>
      </c>
      <c r="E148" t="s">
        <v>952</v>
      </c>
      <c r="F148" t="s">
        <v>953</v>
      </c>
      <c r="G148">
        <v>42</v>
      </c>
      <c r="H148" t="s">
        <v>21</v>
      </c>
      <c r="I148" t="s">
        <v>33</v>
      </c>
      <c r="J148" t="s">
        <v>34</v>
      </c>
      <c r="K148" t="s">
        <v>35</v>
      </c>
      <c r="L148" t="s">
        <v>954</v>
      </c>
      <c r="M148" s="1">
        <v>45537</v>
      </c>
      <c r="N148" t="s">
        <v>118</v>
      </c>
      <c r="O148">
        <v>2</v>
      </c>
    </row>
    <row r="149" spans="1:15">
      <c r="A149" t="s">
        <v>955</v>
      </c>
      <c r="B149" t="s">
        <v>956</v>
      </c>
      <c r="C149" t="s">
        <v>957</v>
      </c>
      <c r="D149" t="s">
        <v>30</v>
      </c>
      <c r="E149" t="s">
        <v>958</v>
      </c>
      <c r="F149" t="s">
        <v>959</v>
      </c>
      <c r="G149">
        <v>45</v>
      </c>
      <c r="H149" t="s">
        <v>43</v>
      </c>
      <c r="I149" t="s">
        <v>100</v>
      </c>
      <c r="J149" t="s">
        <v>57</v>
      </c>
      <c r="K149" t="s">
        <v>46</v>
      </c>
      <c r="L149" t="s">
        <v>960</v>
      </c>
      <c r="M149" s="1">
        <v>44710</v>
      </c>
      <c r="N149" t="s">
        <v>48</v>
      </c>
      <c r="O149">
        <v>4</v>
      </c>
    </row>
    <row r="150" spans="1:15">
      <c r="A150" t="s">
        <v>961</v>
      </c>
      <c r="B150" t="s">
        <v>962</v>
      </c>
      <c r="C150" t="s">
        <v>307</v>
      </c>
      <c r="D150" t="s">
        <v>385</v>
      </c>
      <c r="E150" t="s">
        <v>963</v>
      </c>
      <c r="F150" t="s">
        <v>964</v>
      </c>
      <c r="G150">
        <v>25</v>
      </c>
      <c r="H150" t="s">
        <v>43</v>
      </c>
      <c r="I150" t="s">
        <v>108</v>
      </c>
      <c r="J150" t="s">
        <v>57</v>
      </c>
      <c r="K150" t="s">
        <v>46</v>
      </c>
      <c r="L150" t="s">
        <v>965</v>
      </c>
      <c r="M150" s="1">
        <v>44572</v>
      </c>
      <c r="N150" t="s">
        <v>48</v>
      </c>
      <c r="O150">
        <v>4</v>
      </c>
    </row>
    <row r="151" spans="1:15">
      <c r="A151" t="s">
        <v>966</v>
      </c>
      <c r="B151" t="s">
        <v>967</v>
      </c>
      <c r="C151" t="s">
        <v>968</v>
      </c>
      <c r="D151" t="s">
        <v>365</v>
      </c>
      <c r="E151" t="s">
        <v>969</v>
      </c>
      <c r="F151" t="s">
        <v>970</v>
      </c>
      <c r="G151">
        <v>41</v>
      </c>
      <c r="H151" t="s">
        <v>21</v>
      </c>
      <c r="I151" t="s">
        <v>115</v>
      </c>
      <c r="J151" t="s">
        <v>116</v>
      </c>
      <c r="K151" t="s">
        <v>24</v>
      </c>
      <c r="L151" t="s">
        <v>971</v>
      </c>
      <c r="M151" s="1">
        <v>45358</v>
      </c>
      <c r="N151" t="s">
        <v>48</v>
      </c>
      <c r="O151">
        <v>2</v>
      </c>
    </row>
    <row r="152" spans="1:15">
      <c r="A152" t="s">
        <v>972</v>
      </c>
      <c r="B152" t="s">
        <v>973</v>
      </c>
      <c r="C152" t="s">
        <v>320</v>
      </c>
      <c r="D152" t="s">
        <v>974</v>
      </c>
      <c r="E152" t="s">
        <v>975</v>
      </c>
      <c r="F152" t="s">
        <v>976</v>
      </c>
      <c r="G152">
        <v>42</v>
      </c>
      <c r="H152" t="s">
        <v>43</v>
      </c>
      <c r="I152" t="s">
        <v>742</v>
      </c>
      <c r="J152" t="s">
        <v>57</v>
      </c>
      <c r="K152" t="s">
        <v>46</v>
      </c>
      <c r="L152" t="s">
        <v>977</v>
      </c>
      <c r="M152" s="1">
        <v>44228</v>
      </c>
      <c r="N152" t="s">
        <v>48</v>
      </c>
      <c r="O152">
        <v>5</v>
      </c>
    </row>
    <row r="153" spans="1:15">
      <c r="A153" t="s">
        <v>978</v>
      </c>
      <c r="B153" t="s">
        <v>979</v>
      </c>
      <c r="C153" t="s">
        <v>980</v>
      </c>
      <c r="D153" t="s">
        <v>202</v>
      </c>
      <c r="E153" t="s">
        <v>981</v>
      </c>
      <c r="F153" t="s">
        <v>982</v>
      </c>
      <c r="G153">
        <v>24</v>
      </c>
      <c r="H153" t="s">
        <v>21</v>
      </c>
      <c r="I153" t="s">
        <v>151</v>
      </c>
      <c r="J153" t="s">
        <v>75</v>
      </c>
      <c r="K153" t="s">
        <v>76</v>
      </c>
      <c r="L153" t="s">
        <v>983</v>
      </c>
      <c r="M153" s="1">
        <v>45387</v>
      </c>
      <c r="N153" t="s">
        <v>118</v>
      </c>
      <c r="O153">
        <v>2</v>
      </c>
    </row>
    <row r="154" spans="1:15">
      <c r="A154" t="s">
        <v>984</v>
      </c>
      <c r="B154" t="s">
        <v>985</v>
      </c>
      <c r="C154" t="s">
        <v>986</v>
      </c>
      <c r="D154" t="s">
        <v>52</v>
      </c>
      <c r="E154" t="s">
        <v>987</v>
      </c>
      <c r="F154" t="s">
        <v>988</v>
      </c>
      <c r="G154">
        <v>40</v>
      </c>
      <c r="H154" t="s">
        <v>43</v>
      </c>
      <c r="I154" t="s">
        <v>196</v>
      </c>
      <c r="J154" t="s">
        <v>197</v>
      </c>
      <c r="K154" t="s">
        <v>24</v>
      </c>
      <c r="L154" t="s">
        <v>989</v>
      </c>
      <c r="M154" s="1">
        <v>45132</v>
      </c>
      <c r="N154" t="s">
        <v>48</v>
      </c>
      <c r="O154">
        <v>3</v>
      </c>
    </row>
    <row r="155" spans="1:15">
      <c r="A155" t="s">
        <v>990</v>
      </c>
      <c r="B155" t="s">
        <v>991</v>
      </c>
      <c r="C155" t="s">
        <v>392</v>
      </c>
      <c r="D155" t="s">
        <v>71</v>
      </c>
      <c r="E155" t="s">
        <v>992</v>
      </c>
      <c r="F155" t="s">
        <v>993</v>
      </c>
      <c r="G155">
        <v>42</v>
      </c>
      <c r="H155" t="s">
        <v>55</v>
      </c>
      <c r="I155" t="s">
        <v>92</v>
      </c>
      <c r="J155" t="s">
        <v>45</v>
      </c>
      <c r="K155" t="s">
        <v>46</v>
      </c>
      <c r="L155" t="s">
        <v>994</v>
      </c>
      <c r="M155" s="1">
        <v>43946</v>
      </c>
      <c r="N155" t="s">
        <v>48</v>
      </c>
      <c r="O155">
        <v>6</v>
      </c>
    </row>
    <row r="156" spans="1:15">
      <c r="A156" t="s">
        <v>995</v>
      </c>
      <c r="B156" t="s">
        <v>996</v>
      </c>
      <c r="C156" t="s">
        <v>155</v>
      </c>
      <c r="D156" t="s">
        <v>128</v>
      </c>
      <c r="E156" t="s">
        <v>997</v>
      </c>
      <c r="F156" t="s">
        <v>998</v>
      </c>
      <c r="G156">
        <v>25</v>
      </c>
      <c r="H156" t="s">
        <v>55</v>
      </c>
      <c r="I156" t="s">
        <v>234</v>
      </c>
      <c r="J156" t="s">
        <v>221</v>
      </c>
      <c r="K156" t="s">
        <v>24</v>
      </c>
      <c r="L156" t="s">
        <v>999</v>
      </c>
      <c r="M156" s="1">
        <v>45151</v>
      </c>
      <c r="N156" t="s">
        <v>26</v>
      </c>
      <c r="O156">
        <v>3</v>
      </c>
    </row>
    <row r="157" spans="1:15">
      <c r="A157" t="s">
        <v>1000</v>
      </c>
      <c r="B157" t="s">
        <v>1001</v>
      </c>
      <c r="C157" t="s">
        <v>141</v>
      </c>
      <c r="D157" t="s">
        <v>924</v>
      </c>
      <c r="E157" t="s">
        <v>1002</v>
      </c>
      <c r="F157" t="s">
        <v>1003</v>
      </c>
      <c r="G157">
        <v>32</v>
      </c>
      <c r="H157" t="s">
        <v>43</v>
      </c>
      <c r="I157" t="s">
        <v>186</v>
      </c>
      <c r="J157" t="s">
        <v>187</v>
      </c>
      <c r="K157" t="s">
        <v>188</v>
      </c>
      <c r="L157" t="s">
        <v>1004</v>
      </c>
      <c r="M157" s="1">
        <v>45489</v>
      </c>
      <c r="N157" t="s">
        <v>26</v>
      </c>
      <c r="O157">
        <v>2</v>
      </c>
    </row>
    <row r="158" spans="1:15">
      <c r="A158" t="s">
        <v>1005</v>
      </c>
      <c r="B158" t="s">
        <v>1006</v>
      </c>
      <c r="C158" t="s">
        <v>650</v>
      </c>
      <c r="D158" t="s">
        <v>275</v>
      </c>
      <c r="E158" t="s">
        <v>1007</v>
      </c>
      <c r="F158" t="s">
        <v>1008</v>
      </c>
      <c r="G158">
        <v>31</v>
      </c>
      <c r="H158" t="s">
        <v>21</v>
      </c>
      <c r="I158" t="s">
        <v>714</v>
      </c>
      <c r="J158" t="s">
        <v>271</v>
      </c>
      <c r="K158" t="s">
        <v>188</v>
      </c>
      <c r="L158" t="s">
        <v>1009</v>
      </c>
      <c r="M158" s="1">
        <v>44864</v>
      </c>
      <c r="N158" t="s">
        <v>48</v>
      </c>
      <c r="O158">
        <v>4</v>
      </c>
    </row>
    <row r="159" spans="1:15">
      <c r="A159" t="s">
        <v>1010</v>
      </c>
      <c r="B159" t="s">
        <v>1011</v>
      </c>
      <c r="C159" t="s">
        <v>70</v>
      </c>
      <c r="D159" t="s">
        <v>880</v>
      </c>
      <c r="E159" t="s">
        <v>1012</v>
      </c>
      <c r="F159" t="s">
        <v>1013</v>
      </c>
      <c r="G159">
        <v>38</v>
      </c>
      <c r="H159" t="s">
        <v>43</v>
      </c>
      <c r="I159" t="s">
        <v>44</v>
      </c>
      <c r="J159" t="s">
        <v>45</v>
      </c>
      <c r="K159" t="s">
        <v>46</v>
      </c>
      <c r="L159" t="s">
        <v>1014</v>
      </c>
      <c r="M159" s="1">
        <v>44594</v>
      </c>
      <c r="N159" t="s">
        <v>118</v>
      </c>
      <c r="O159">
        <v>4</v>
      </c>
    </row>
    <row r="160" spans="1:15">
      <c r="A160" t="s">
        <v>1015</v>
      </c>
      <c r="B160" t="s">
        <v>1016</v>
      </c>
      <c r="C160" t="s">
        <v>320</v>
      </c>
      <c r="D160" t="s">
        <v>301</v>
      </c>
      <c r="E160" t="s">
        <v>1017</v>
      </c>
      <c r="F160" t="s">
        <v>1018</v>
      </c>
      <c r="G160">
        <v>41</v>
      </c>
      <c r="H160" t="s">
        <v>21</v>
      </c>
      <c r="I160" t="s">
        <v>1019</v>
      </c>
      <c r="J160" t="s">
        <v>197</v>
      </c>
      <c r="K160" t="s">
        <v>24</v>
      </c>
      <c r="L160" t="s">
        <v>1020</v>
      </c>
      <c r="M160" s="1">
        <v>43965</v>
      </c>
      <c r="N160" t="s">
        <v>26</v>
      </c>
      <c r="O160">
        <v>6</v>
      </c>
    </row>
    <row r="161" spans="1:15">
      <c r="A161" t="s">
        <v>1021</v>
      </c>
      <c r="B161" t="s">
        <v>1022</v>
      </c>
      <c r="C161" t="s">
        <v>504</v>
      </c>
      <c r="D161" t="s">
        <v>924</v>
      </c>
      <c r="E161" t="s">
        <v>1023</v>
      </c>
      <c r="F161" t="s">
        <v>1024</v>
      </c>
      <c r="G161">
        <v>25</v>
      </c>
      <c r="H161" t="s">
        <v>55</v>
      </c>
      <c r="I161" t="s">
        <v>151</v>
      </c>
      <c r="J161" t="s">
        <v>75</v>
      </c>
      <c r="K161" t="s">
        <v>76</v>
      </c>
      <c r="L161" t="s">
        <v>1025</v>
      </c>
      <c r="M161" s="1">
        <v>44513</v>
      </c>
      <c r="N161" t="s">
        <v>48</v>
      </c>
      <c r="O161">
        <v>5</v>
      </c>
    </row>
    <row r="162" spans="1:15">
      <c r="A162" t="s">
        <v>1026</v>
      </c>
      <c r="B162" t="s">
        <v>1027</v>
      </c>
      <c r="C162" t="s">
        <v>359</v>
      </c>
      <c r="D162" t="s">
        <v>454</v>
      </c>
      <c r="E162" t="s">
        <v>1028</v>
      </c>
      <c r="F162" t="s">
        <v>1029</v>
      </c>
      <c r="G162">
        <v>25</v>
      </c>
      <c r="H162" t="s">
        <v>43</v>
      </c>
      <c r="I162" t="s">
        <v>22</v>
      </c>
      <c r="J162" t="s">
        <v>23</v>
      </c>
      <c r="K162" t="s">
        <v>24</v>
      </c>
      <c r="L162" t="s">
        <v>1030</v>
      </c>
      <c r="M162" s="1">
        <v>45282</v>
      </c>
      <c r="N162" t="s">
        <v>26</v>
      </c>
      <c r="O162">
        <v>3</v>
      </c>
    </row>
    <row r="163" spans="1:15">
      <c r="A163" t="s">
        <v>1031</v>
      </c>
      <c r="B163" t="s">
        <v>1032</v>
      </c>
      <c r="C163" t="s">
        <v>230</v>
      </c>
      <c r="D163" t="s">
        <v>135</v>
      </c>
      <c r="E163" t="s">
        <v>1033</v>
      </c>
      <c r="F163" t="s">
        <v>1034</v>
      </c>
      <c r="G163">
        <v>53</v>
      </c>
      <c r="H163" t="s">
        <v>21</v>
      </c>
      <c r="I163" t="s">
        <v>333</v>
      </c>
      <c r="J163" t="s">
        <v>85</v>
      </c>
      <c r="K163" t="s">
        <v>24</v>
      </c>
      <c r="L163" t="s">
        <v>1035</v>
      </c>
      <c r="M163" s="1">
        <v>45528</v>
      </c>
      <c r="N163" t="s">
        <v>118</v>
      </c>
      <c r="O163">
        <v>2</v>
      </c>
    </row>
    <row r="164" spans="1:15">
      <c r="A164" t="s">
        <v>1036</v>
      </c>
      <c r="B164" t="s">
        <v>1037</v>
      </c>
      <c r="C164" t="s">
        <v>661</v>
      </c>
      <c r="D164" t="s">
        <v>81</v>
      </c>
      <c r="E164" t="s">
        <v>1038</v>
      </c>
      <c r="F164" t="s">
        <v>1039</v>
      </c>
      <c r="G164">
        <v>51</v>
      </c>
      <c r="H164" t="s">
        <v>21</v>
      </c>
      <c r="I164" t="s">
        <v>388</v>
      </c>
      <c r="J164" t="s">
        <v>75</v>
      </c>
      <c r="K164" t="s">
        <v>76</v>
      </c>
      <c r="L164" t="s">
        <v>1040</v>
      </c>
      <c r="M164" s="1">
        <v>45400</v>
      </c>
      <c r="N164" t="s">
        <v>48</v>
      </c>
      <c r="O164">
        <v>2</v>
      </c>
    </row>
    <row r="165" spans="1:15">
      <c r="A165" t="s">
        <v>1041</v>
      </c>
      <c r="B165" t="s">
        <v>1042</v>
      </c>
      <c r="C165" t="s">
        <v>287</v>
      </c>
      <c r="D165" t="s">
        <v>440</v>
      </c>
      <c r="E165" t="s">
        <v>1043</v>
      </c>
      <c r="F165" t="s">
        <v>1044</v>
      </c>
      <c r="G165">
        <v>53</v>
      </c>
      <c r="H165" t="s">
        <v>21</v>
      </c>
      <c r="I165" t="s">
        <v>33</v>
      </c>
      <c r="J165" t="s">
        <v>34</v>
      </c>
      <c r="K165" t="s">
        <v>35</v>
      </c>
      <c r="L165" t="s">
        <v>1045</v>
      </c>
      <c r="M165" s="1">
        <v>45541</v>
      </c>
      <c r="N165" t="s">
        <v>48</v>
      </c>
      <c r="O165">
        <v>2</v>
      </c>
    </row>
    <row r="166" spans="1:15">
      <c r="A166" t="s">
        <v>1046</v>
      </c>
      <c r="B166" t="s">
        <v>1047</v>
      </c>
      <c r="C166" t="s">
        <v>96</v>
      </c>
      <c r="D166" t="s">
        <v>466</v>
      </c>
      <c r="E166" t="s">
        <v>1048</v>
      </c>
      <c r="F166" t="s">
        <v>1049</v>
      </c>
      <c r="G166">
        <v>30</v>
      </c>
      <c r="H166" t="s">
        <v>43</v>
      </c>
      <c r="I166" t="s">
        <v>44</v>
      </c>
      <c r="J166" t="s">
        <v>45</v>
      </c>
      <c r="K166" t="s">
        <v>46</v>
      </c>
      <c r="L166" t="s">
        <v>1050</v>
      </c>
      <c r="M166" s="1">
        <v>45533</v>
      </c>
      <c r="N166" t="s">
        <v>48</v>
      </c>
      <c r="O166">
        <v>2</v>
      </c>
    </row>
    <row r="167" spans="1:15">
      <c r="A167" t="s">
        <v>1051</v>
      </c>
      <c r="B167" t="s">
        <v>1052</v>
      </c>
      <c r="C167" t="s">
        <v>897</v>
      </c>
      <c r="D167" t="s">
        <v>81</v>
      </c>
      <c r="E167" t="s">
        <v>1053</v>
      </c>
      <c r="F167" t="s">
        <v>1054</v>
      </c>
      <c r="G167">
        <v>54</v>
      </c>
      <c r="H167" t="s">
        <v>21</v>
      </c>
      <c r="I167" t="s">
        <v>234</v>
      </c>
      <c r="J167" t="s">
        <v>221</v>
      </c>
      <c r="K167" t="s">
        <v>24</v>
      </c>
      <c r="L167" t="s">
        <v>1055</v>
      </c>
      <c r="M167" s="1">
        <v>44310</v>
      </c>
      <c r="N167" t="s">
        <v>48</v>
      </c>
      <c r="O167">
        <v>5</v>
      </c>
    </row>
    <row r="168" spans="1:15">
      <c r="A168" t="s">
        <v>1056</v>
      </c>
      <c r="B168" t="s">
        <v>1057</v>
      </c>
      <c r="C168" t="s">
        <v>650</v>
      </c>
      <c r="D168" t="s">
        <v>422</v>
      </c>
      <c r="E168" t="s">
        <v>1058</v>
      </c>
      <c r="F168" t="s">
        <v>1059</v>
      </c>
      <c r="G168">
        <v>38</v>
      </c>
      <c r="H168" t="s">
        <v>43</v>
      </c>
      <c r="I168" t="s">
        <v>196</v>
      </c>
      <c r="J168" t="s">
        <v>197</v>
      </c>
      <c r="K168" t="s">
        <v>24</v>
      </c>
      <c r="L168" t="s">
        <v>1060</v>
      </c>
      <c r="M168" s="1">
        <v>44776</v>
      </c>
      <c r="N168" t="s">
        <v>26</v>
      </c>
      <c r="O168">
        <v>4</v>
      </c>
    </row>
    <row r="169" spans="1:15">
      <c r="A169" t="s">
        <v>1061</v>
      </c>
      <c r="B169" t="s">
        <v>1062</v>
      </c>
      <c r="C169" t="s">
        <v>557</v>
      </c>
      <c r="D169" t="s">
        <v>546</v>
      </c>
      <c r="E169" t="s">
        <v>1063</v>
      </c>
      <c r="F169" t="s">
        <v>1064</v>
      </c>
      <c r="G169">
        <v>36</v>
      </c>
      <c r="H169" t="s">
        <v>21</v>
      </c>
      <c r="I169" t="s">
        <v>151</v>
      </c>
      <c r="J169" t="s">
        <v>75</v>
      </c>
      <c r="K169" t="s">
        <v>76</v>
      </c>
      <c r="L169" t="s">
        <v>1065</v>
      </c>
      <c r="M169" s="1">
        <v>45618</v>
      </c>
      <c r="N169" t="s">
        <v>118</v>
      </c>
      <c r="O169">
        <v>2</v>
      </c>
    </row>
    <row r="170" spans="1:15">
      <c r="A170" t="s">
        <v>1066</v>
      </c>
      <c r="B170" t="s">
        <v>1067</v>
      </c>
      <c r="C170" t="s">
        <v>1068</v>
      </c>
      <c r="D170" t="s">
        <v>321</v>
      </c>
      <c r="E170" t="s">
        <v>1069</v>
      </c>
      <c r="F170" t="s">
        <v>1070</v>
      </c>
      <c r="G170">
        <v>30</v>
      </c>
      <c r="H170" t="s">
        <v>43</v>
      </c>
      <c r="I170" t="s">
        <v>590</v>
      </c>
      <c r="J170" t="s">
        <v>45</v>
      </c>
      <c r="K170" t="s">
        <v>46</v>
      </c>
      <c r="L170" t="s">
        <v>1071</v>
      </c>
      <c r="M170" s="1">
        <v>44002</v>
      </c>
      <c r="N170" t="s">
        <v>118</v>
      </c>
      <c r="O170">
        <v>6</v>
      </c>
    </row>
    <row r="171" spans="1:15">
      <c r="A171" t="s">
        <v>1072</v>
      </c>
      <c r="B171" t="s">
        <v>1073</v>
      </c>
      <c r="C171" t="s">
        <v>661</v>
      </c>
      <c r="D171" t="s">
        <v>440</v>
      </c>
      <c r="E171" t="s">
        <v>1074</v>
      </c>
      <c r="F171" t="s">
        <v>1075</v>
      </c>
      <c r="G171">
        <v>46</v>
      </c>
      <c r="H171" t="s">
        <v>21</v>
      </c>
      <c r="I171" t="s">
        <v>220</v>
      </c>
      <c r="J171" t="s">
        <v>221</v>
      </c>
      <c r="K171" t="s">
        <v>24</v>
      </c>
      <c r="L171" t="s">
        <v>1076</v>
      </c>
      <c r="M171" s="1">
        <v>43885</v>
      </c>
      <c r="N171" t="s">
        <v>118</v>
      </c>
      <c r="O171">
        <v>6</v>
      </c>
    </row>
    <row r="172" spans="1:15">
      <c r="A172" t="s">
        <v>1077</v>
      </c>
      <c r="B172" t="s">
        <v>1078</v>
      </c>
      <c r="C172" t="s">
        <v>141</v>
      </c>
      <c r="D172" t="s">
        <v>81</v>
      </c>
      <c r="E172" t="s">
        <v>1079</v>
      </c>
      <c r="F172" t="s">
        <v>1080</v>
      </c>
      <c r="G172">
        <v>40</v>
      </c>
      <c r="H172" t="s">
        <v>21</v>
      </c>
      <c r="I172" t="s">
        <v>824</v>
      </c>
      <c r="J172" t="s">
        <v>45</v>
      </c>
      <c r="K172" t="s">
        <v>46</v>
      </c>
      <c r="L172" t="s">
        <v>1081</v>
      </c>
      <c r="M172" s="1">
        <v>43888</v>
      </c>
      <c r="N172" t="s">
        <v>48</v>
      </c>
      <c r="O172">
        <v>6</v>
      </c>
    </row>
    <row r="173" spans="1:15">
      <c r="A173" t="s">
        <v>1082</v>
      </c>
      <c r="B173" t="s">
        <v>1083</v>
      </c>
      <c r="C173" t="s">
        <v>1084</v>
      </c>
      <c r="D173" t="s">
        <v>162</v>
      </c>
      <c r="E173" t="s">
        <v>1085</v>
      </c>
      <c r="F173" t="s">
        <v>1086</v>
      </c>
      <c r="G173">
        <v>50</v>
      </c>
      <c r="H173" t="s">
        <v>43</v>
      </c>
      <c r="I173" t="s">
        <v>84</v>
      </c>
      <c r="J173" t="s">
        <v>85</v>
      </c>
      <c r="K173" t="s">
        <v>24</v>
      </c>
      <c r="L173" t="s">
        <v>1087</v>
      </c>
      <c r="M173" s="1">
        <v>45385</v>
      </c>
      <c r="N173" t="s">
        <v>26</v>
      </c>
      <c r="O173">
        <v>2</v>
      </c>
    </row>
    <row r="174" spans="1:15">
      <c r="A174" t="s">
        <v>1088</v>
      </c>
      <c r="B174" t="s">
        <v>1089</v>
      </c>
      <c r="C174" t="s">
        <v>183</v>
      </c>
      <c r="D174" t="s">
        <v>422</v>
      </c>
      <c r="E174" t="s">
        <v>1090</v>
      </c>
      <c r="F174" t="s">
        <v>1091</v>
      </c>
      <c r="G174">
        <v>53</v>
      </c>
      <c r="H174" t="s">
        <v>43</v>
      </c>
      <c r="I174" t="s">
        <v>290</v>
      </c>
      <c r="J174" t="s">
        <v>197</v>
      </c>
      <c r="K174" t="s">
        <v>24</v>
      </c>
      <c r="L174" t="s">
        <v>1092</v>
      </c>
      <c r="M174" s="1">
        <v>45320</v>
      </c>
      <c r="N174" t="s">
        <v>48</v>
      </c>
      <c r="O174">
        <v>2</v>
      </c>
    </row>
    <row r="175" spans="1:15">
      <c r="A175" t="s">
        <v>1093</v>
      </c>
      <c r="B175" t="s">
        <v>1094</v>
      </c>
      <c r="C175" t="s">
        <v>320</v>
      </c>
      <c r="D175" t="s">
        <v>238</v>
      </c>
      <c r="E175" t="s">
        <v>1095</v>
      </c>
      <c r="F175" t="s">
        <v>1096</v>
      </c>
      <c r="G175">
        <v>49</v>
      </c>
      <c r="H175" t="s">
        <v>21</v>
      </c>
      <c r="I175" t="s">
        <v>324</v>
      </c>
      <c r="J175" t="s">
        <v>325</v>
      </c>
      <c r="K175" t="s">
        <v>188</v>
      </c>
      <c r="L175" t="s">
        <v>1097</v>
      </c>
      <c r="M175" s="1">
        <v>45139</v>
      </c>
      <c r="N175" t="s">
        <v>48</v>
      </c>
      <c r="O175">
        <v>3</v>
      </c>
    </row>
    <row r="176" spans="1:15">
      <c r="A176" t="s">
        <v>1098</v>
      </c>
      <c r="B176" t="s">
        <v>1099</v>
      </c>
      <c r="C176" t="s">
        <v>711</v>
      </c>
      <c r="D176" t="s">
        <v>498</v>
      </c>
      <c r="E176" t="s">
        <v>1100</v>
      </c>
      <c r="F176" t="s">
        <v>1101</v>
      </c>
      <c r="G176">
        <v>29</v>
      </c>
      <c r="H176" t="s">
        <v>43</v>
      </c>
      <c r="I176" t="s">
        <v>196</v>
      </c>
      <c r="J176" t="s">
        <v>197</v>
      </c>
      <c r="K176" t="s">
        <v>24</v>
      </c>
      <c r="L176" t="s">
        <v>1102</v>
      </c>
      <c r="M176" s="1">
        <v>45302</v>
      </c>
      <c r="N176" t="s">
        <v>118</v>
      </c>
      <c r="O176">
        <v>2</v>
      </c>
    </row>
    <row r="177" spans="1:15">
      <c r="A177" t="s">
        <v>1103</v>
      </c>
      <c r="B177" t="s">
        <v>1104</v>
      </c>
      <c r="C177" t="s">
        <v>183</v>
      </c>
      <c r="D177" t="s">
        <v>466</v>
      </c>
      <c r="E177" t="s">
        <v>1105</v>
      </c>
      <c r="F177" t="s">
        <v>1106</v>
      </c>
      <c r="G177">
        <v>25</v>
      </c>
      <c r="H177" t="s">
        <v>55</v>
      </c>
      <c r="I177" t="s">
        <v>1107</v>
      </c>
      <c r="J177" t="s">
        <v>197</v>
      </c>
      <c r="K177" t="s">
        <v>24</v>
      </c>
      <c r="L177" t="s">
        <v>1108</v>
      </c>
      <c r="M177" s="1">
        <v>45199</v>
      </c>
      <c r="N177" t="s">
        <v>48</v>
      </c>
      <c r="O177">
        <v>3</v>
      </c>
    </row>
    <row r="178" spans="1:15">
      <c r="A178" t="s">
        <v>1109</v>
      </c>
      <c r="B178" t="s">
        <v>1110</v>
      </c>
      <c r="C178" t="s">
        <v>254</v>
      </c>
      <c r="D178" t="s">
        <v>874</v>
      </c>
      <c r="E178" t="s">
        <v>1111</v>
      </c>
      <c r="F178" t="s">
        <v>1112</v>
      </c>
      <c r="G178">
        <v>50</v>
      </c>
      <c r="H178" t="s">
        <v>21</v>
      </c>
      <c r="I178" t="s">
        <v>541</v>
      </c>
      <c r="J178" t="s">
        <v>271</v>
      </c>
      <c r="K178" t="s">
        <v>188</v>
      </c>
      <c r="L178" t="s">
        <v>1113</v>
      </c>
      <c r="M178" s="1">
        <v>44630</v>
      </c>
      <c r="N178" t="s">
        <v>118</v>
      </c>
      <c r="O178">
        <v>4</v>
      </c>
    </row>
    <row r="179" spans="1:15">
      <c r="A179" t="s">
        <v>1114</v>
      </c>
      <c r="B179" t="s">
        <v>1115</v>
      </c>
      <c r="C179" t="s">
        <v>1068</v>
      </c>
      <c r="D179" t="s">
        <v>112</v>
      </c>
      <c r="E179" t="s">
        <v>1116</v>
      </c>
      <c r="F179" t="s">
        <v>1117</v>
      </c>
      <c r="G179">
        <v>26</v>
      </c>
      <c r="H179" t="s">
        <v>55</v>
      </c>
      <c r="I179" t="s">
        <v>316</v>
      </c>
      <c r="J179" t="s">
        <v>197</v>
      </c>
      <c r="K179" t="s">
        <v>24</v>
      </c>
      <c r="L179" t="s">
        <v>1118</v>
      </c>
      <c r="M179" s="1">
        <v>45332</v>
      </c>
      <c r="N179" t="s">
        <v>48</v>
      </c>
      <c r="O179">
        <v>2</v>
      </c>
    </row>
    <row r="180" spans="1:15">
      <c r="A180" t="s">
        <v>1119</v>
      </c>
      <c r="B180" t="s">
        <v>1120</v>
      </c>
      <c r="C180" t="s">
        <v>287</v>
      </c>
      <c r="D180" t="s">
        <v>30</v>
      </c>
      <c r="E180" t="s">
        <v>1121</v>
      </c>
      <c r="F180" t="s">
        <v>1122</v>
      </c>
      <c r="G180">
        <v>50</v>
      </c>
      <c r="H180" t="s">
        <v>21</v>
      </c>
      <c r="I180" t="s">
        <v>1107</v>
      </c>
      <c r="J180" t="s">
        <v>197</v>
      </c>
      <c r="K180" t="s">
        <v>24</v>
      </c>
      <c r="L180" t="s">
        <v>1123</v>
      </c>
      <c r="M180" s="1">
        <v>44782</v>
      </c>
      <c r="N180" t="s">
        <v>48</v>
      </c>
      <c r="O180">
        <v>4</v>
      </c>
    </row>
    <row r="181" spans="1:15">
      <c r="A181" t="s">
        <v>1124</v>
      </c>
      <c r="B181" t="s">
        <v>1125</v>
      </c>
      <c r="C181" t="s">
        <v>254</v>
      </c>
      <c r="D181" t="s">
        <v>281</v>
      </c>
      <c r="E181" t="s">
        <v>1126</v>
      </c>
      <c r="F181" t="s">
        <v>1127</v>
      </c>
      <c r="G181">
        <v>32</v>
      </c>
      <c r="H181" t="s">
        <v>21</v>
      </c>
      <c r="I181" t="s">
        <v>212</v>
      </c>
      <c r="J181" t="s">
        <v>57</v>
      </c>
      <c r="K181" t="s">
        <v>46</v>
      </c>
      <c r="L181" t="s">
        <v>1128</v>
      </c>
      <c r="M181" s="1">
        <v>45451</v>
      </c>
      <c r="N181" t="s">
        <v>48</v>
      </c>
      <c r="O181">
        <v>2</v>
      </c>
    </row>
    <row r="182" spans="1:15">
      <c r="A182" t="s">
        <v>1129</v>
      </c>
      <c r="B182" t="s">
        <v>1130</v>
      </c>
      <c r="C182" t="s">
        <v>155</v>
      </c>
      <c r="D182" t="s">
        <v>275</v>
      </c>
      <c r="E182" t="s">
        <v>1131</v>
      </c>
      <c r="F182" t="s">
        <v>1132</v>
      </c>
      <c r="G182">
        <v>32</v>
      </c>
      <c r="H182" t="s">
        <v>43</v>
      </c>
      <c r="I182" t="s">
        <v>165</v>
      </c>
      <c r="J182" t="s">
        <v>166</v>
      </c>
      <c r="K182" t="s">
        <v>35</v>
      </c>
      <c r="L182" t="s">
        <v>1133</v>
      </c>
      <c r="M182" s="1">
        <v>45373</v>
      </c>
      <c r="N182" t="s">
        <v>48</v>
      </c>
      <c r="O182">
        <v>2</v>
      </c>
    </row>
    <row r="183" spans="1:15">
      <c r="A183" t="s">
        <v>1134</v>
      </c>
      <c r="B183" t="s">
        <v>1135</v>
      </c>
      <c r="C183" t="s">
        <v>320</v>
      </c>
      <c r="D183" t="s">
        <v>605</v>
      </c>
      <c r="E183" t="s">
        <v>1136</v>
      </c>
      <c r="F183" t="s">
        <v>1137</v>
      </c>
      <c r="G183">
        <v>45</v>
      </c>
      <c r="H183" t="s">
        <v>43</v>
      </c>
      <c r="I183" t="s">
        <v>824</v>
      </c>
      <c r="J183" t="s">
        <v>45</v>
      </c>
      <c r="K183" t="s">
        <v>46</v>
      </c>
      <c r="L183" t="s">
        <v>1138</v>
      </c>
      <c r="M183" s="1">
        <v>45652</v>
      </c>
      <c r="N183" t="s">
        <v>118</v>
      </c>
      <c r="O183">
        <v>2</v>
      </c>
    </row>
    <row r="184" spans="1:15">
      <c r="A184" t="s">
        <v>1139</v>
      </c>
      <c r="B184" t="s">
        <v>586</v>
      </c>
      <c r="C184" t="s">
        <v>587</v>
      </c>
      <c r="D184" t="s">
        <v>521</v>
      </c>
      <c r="E184" t="s">
        <v>1140</v>
      </c>
      <c r="F184" t="s">
        <v>1141</v>
      </c>
      <c r="G184">
        <v>47</v>
      </c>
      <c r="H184" t="s">
        <v>21</v>
      </c>
      <c r="I184" t="s">
        <v>92</v>
      </c>
      <c r="J184" t="s">
        <v>45</v>
      </c>
      <c r="K184" t="s">
        <v>46</v>
      </c>
      <c r="L184" t="s">
        <v>1142</v>
      </c>
      <c r="M184" s="1">
        <v>45320</v>
      </c>
      <c r="N184" t="s">
        <v>118</v>
      </c>
      <c r="O184">
        <v>2</v>
      </c>
    </row>
    <row r="185" spans="1:15">
      <c r="A185" t="s">
        <v>1143</v>
      </c>
      <c r="B185" t="s">
        <v>1144</v>
      </c>
      <c r="C185" t="s">
        <v>497</v>
      </c>
      <c r="D185" t="s">
        <v>527</v>
      </c>
      <c r="E185" t="s">
        <v>1145</v>
      </c>
      <c r="F185" t="s">
        <v>1146</v>
      </c>
      <c r="G185">
        <v>38</v>
      </c>
      <c r="H185" t="s">
        <v>43</v>
      </c>
      <c r="I185" t="s">
        <v>56</v>
      </c>
      <c r="J185" t="s">
        <v>57</v>
      </c>
      <c r="K185" t="s">
        <v>46</v>
      </c>
      <c r="L185" t="s">
        <v>1147</v>
      </c>
      <c r="M185" s="1">
        <v>44502</v>
      </c>
      <c r="N185" t="s">
        <v>118</v>
      </c>
      <c r="O185">
        <v>5</v>
      </c>
    </row>
    <row r="186" spans="1:15">
      <c r="A186" t="s">
        <v>1148</v>
      </c>
      <c r="B186" t="s">
        <v>1149</v>
      </c>
      <c r="C186" t="s">
        <v>497</v>
      </c>
      <c r="D186" t="s">
        <v>281</v>
      </c>
      <c r="E186" t="s">
        <v>1150</v>
      </c>
      <c r="F186" t="s">
        <v>1151</v>
      </c>
      <c r="G186">
        <v>42</v>
      </c>
      <c r="H186" t="s">
        <v>55</v>
      </c>
      <c r="I186" t="s">
        <v>316</v>
      </c>
      <c r="J186" t="s">
        <v>197</v>
      </c>
      <c r="K186" t="s">
        <v>24</v>
      </c>
      <c r="L186" t="s">
        <v>1152</v>
      </c>
      <c r="M186" s="1">
        <v>43917</v>
      </c>
      <c r="N186" t="s">
        <v>118</v>
      </c>
      <c r="O186">
        <v>6</v>
      </c>
    </row>
    <row r="187" spans="1:15">
      <c r="A187" t="s">
        <v>1153</v>
      </c>
      <c r="B187" t="s">
        <v>1154</v>
      </c>
      <c r="C187" t="s">
        <v>570</v>
      </c>
      <c r="D187" t="s">
        <v>295</v>
      </c>
      <c r="E187" t="s">
        <v>1155</v>
      </c>
      <c r="F187" t="s">
        <v>1156</v>
      </c>
      <c r="G187">
        <v>52</v>
      </c>
      <c r="H187" t="s">
        <v>21</v>
      </c>
      <c r="I187" t="s">
        <v>608</v>
      </c>
      <c r="J187" t="s">
        <v>609</v>
      </c>
      <c r="K187" t="s">
        <v>35</v>
      </c>
      <c r="L187" t="s">
        <v>1157</v>
      </c>
      <c r="M187" s="1">
        <v>44575</v>
      </c>
      <c r="N187" t="s">
        <v>48</v>
      </c>
      <c r="O187">
        <v>4</v>
      </c>
    </row>
    <row r="188" spans="1:15">
      <c r="A188" t="s">
        <v>1158</v>
      </c>
      <c r="B188" t="s">
        <v>1159</v>
      </c>
      <c r="C188" t="s">
        <v>1084</v>
      </c>
      <c r="D188" t="s">
        <v>338</v>
      </c>
      <c r="E188" t="s">
        <v>1160</v>
      </c>
      <c r="F188" t="s">
        <v>1161</v>
      </c>
      <c r="G188">
        <v>43</v>
      </c>
      <c r="H188" t="s">
        <v>43</v>
      </c>
      <c r="I188" t="s">
        <v>22</v>
      </c>
      <c r="J188" t="s">
        <v>23</v>
      </c>
      <c r="K188" t="s">
        <v>24</v>
      </c>
      <c r="L188" t="s">
        <v>1162</v>
      </c>
      <c r="M188" s="1">
        <v>44314</v>
      </c>
      <c r="N188" t="s">
        <v>118</v>
      </c>
      <c r="O188">
        <v>5</v>
      </c>
    </row>
    <row r="189" spans="1:15">
      <c r="A189" t="s">
        <v>1163</v>
      </c>
      <c r="B189" t="s">
        <v>1164</v>
      </c>
      <c r="C189" t="s">
        <v>533</v>
      </c>
      <c r="D189" t="s">
        <v>30</v>
      </c>
      <c r="E189" t="s">
        <v>1165</v>
      </c>
      <c r="F189" t="s">
        <v>1166</v>
      </c>
      <c r="G189">
        <v>24</v>
      </c>
      <c r="H189" t="s">
        <v>55</v>
      </c>
      <c r="I189" t="s">
        <v>824</v>
      </c>
      <c r="J189" t="s">
        <v>45</v>
      </c>
      <c r="K189" t="s">
        <v>46</v>
      </c>
      <c r="L189" t="s">
        <v>1167</v>
      </c>
      <c r="M189" s="1">
        <v>44740</v>
      </c>
      <c r="N189" t="s">
        <v>48</v>
      </c>
      <c r="O189">
        <v>4</v>
      </c>
    </row>
    <row r="190" spans="1:15">
      <c r="A190" t="s">
        <v>1168</v>
      </c>
      <c r="B190" t="s">
        <v>1169</v>
      </c>
      <c r="C190" t="s">
        <v>557</v>
      </c>
      <c r="D190" t="s">
        <v>81</v>
      </c>
      <c r="E190" t="s">
        <v>1170</v>
      </c>
      <c r="F190" t="s">
        <v>1171</v>
      </c>
      <c r="G190">
        <v>31</v>
      </c>
      <c r="H190" t="s">
        <v>43</v>
      </c>
      <c r="I190" t="s">
        <v>324</v>
      </c>
      <c r="J190" t="s">
        <v>325</v>
      </c>
      <c r="K190" t="s">
        <v>188</v>
      </c>
      <c r="L190" t="s">
        <v>1172</v>
      </c>
      <c r="M190" s="1">
        <v>43884</v>
      </c>
      <c r="N190" t="s">
        <v>26</v>
      </c>
      <c r="O190">
        <v>6</v>
      </c>
    </row>
    <row r="191" spans="1:15">
      <c r="A191" t="s">
        <v>1173</v>
      </c>
      <c r="B191" t="s">
        <v>1174</v>
      </c>
      <c r="C191" t="s">
        <v>705</v>
      </c>
      <c r="D191" t="s">
        <v>142</v>
      </c>
      <c r="E191" t="s">
        <v>1175</v>
      </c>
      <c r="F191" t="s">
        <v>1176</v>
      </c>
      <c r="G191">
        <v>38</v>
      </c>
      <c r="H191" t="s">
        <v>43</v>
      </c>
      <c r="I191" t="s">
        <v>220</v>
      </c>
      <c r="J191" t="s">
        <v>221</v>
      </c>
      <c r="K191" t="s">
        <v>24</v>
      </c>
      <c r="L191" t="s">
        <v>1177</v>
      </c>
      <c r="M191" s="1">
        <v>45084</v>
      </c>
      <c r="N191" t="s">
        <v>48</v>
      </c>
      <c r="O191">
        <v>3</v>
      </c>
    </row>
    <row r="192" spans="1:15">
      <c r="A192" t="s">
        <v>1178</v>
      </c>
      <c r="B192" t="s">
        <v>1179</v>
      </c>
      <c r="C192" t="s">
        <v>1180</v>
      </c>
      <c r="D192" t="s">
        <v>162</v>
      </c>
      <c r="E192" t="s">
        <v>1181</v>
      </c>
      <c r="F192" t="s">
        <v>1182</v>
      </c>
      <c r="G192">
        <v>40</v>
      </c>
      <c r="H192" t="s">
        <v>43</v>
      </c>
      <c r="I192" t="s">
        <v>220</v>
      </c>
      <c r="J192" t="s">
        <v>221</v>
      </c>
      <c r="K192" t="s">
        <v>24</v>
      </c>
      <c r="L192" t="s">
        <v>1183</v>
      </c>
      <c r="M192" s="1">
        <v>45490</v>
      </c>
      <c r="N192" t="s">
        <v>48</v>
      </c>
      <c r="O192">
        <v>2</v>
      </c>
    </row>
    <row r="193" spans="1:15">
      <c r="A193" t="s">
        <v>1184</v>
      </c>
      <c r="B193" t="s">
        <v>1185</v>
      </c>
      <c r="C193" t="s">
        <v>1186</v>
      </c>
      <c r="D193" t="s">
        <v>633</v>
      </c>
      <c r="E193" t="s">
        <v>1187</v>
      </c>
      <c r="F193" t="s">
        <v>1188</v>
      </c>
      <c r="G193">
        <v>43</v>
      </c>
      <c r="H193" t="s">
        <v>55</v>
      </c>
      <c r="I193" t="s">
        <v>84</v>
      </c>
      <c r="J193" t="s">
        <v>85</v>
      </c>
      <c r="K193" t="s">
        <v>24</v>
      </c>
      <c r="L193" t="s">
        <v>1189</v>
      </c>
      <c r="M193" s="1">
        <v>44187</v>
      </c>
      <c r="N193" t="s">
        <v>48</v>
      </c>
      <c r="O193">
        <v>6</v>
      </c>
    </row>
    <row r="194" spans="1:15">
      <c r="A194" t="s">
        <v>1190</v>
      </c>
      <c r="B194" t="s">
        <v>1191</v>
      </c>
      <c r="C194" t="s">
        <v>1180</v>
      </c>
      <c r="D194" t="s">
        <v>345</v>
      </c>
      <c r="E194" t="s">
        <v>1192</v>
      </c>
      <c r="F194" t="s">
        <v>1193</v>
      </c>
      <c r="G194">
        <v>43</v>
      </c>
      <c r="H194" t="s">
        <v>43</v>
      </c>
      <c r="I194" t="s">
        <v>179</v>
      </c>
      <c r="J194" t="s">
        <v>179</v>
      </c>
      <c r="K194" t="s">
        <v>24</v>
      </c>
      <c r="L194" t="s">
        <v>1194</v>
      </c>
      <c r="M194" s="1">
        <v>44965</v>
      </c>
      <c r="N194" t="s">
        <v>26</v>
      </c>
      <c r="O194">
        <v>3</v>
      </c>
    </row>
    <row r="195" spans="1:15">
      <c r="A195" t="s">
        <v>1195</v>
      </c>
      <c r="B195" t="s">
        <v>465</v>
      </c>
      <c r="C195" t="s">
        <v>313</v>
      </c>
      <c r="D195" t="s">
        <v>466</v>
      </c>
      <c r="E195" t="s">
        <v>1196</v>
      </c>
      <c r="F195" t="s">
        <v>1197</v>
      </c>
      <c r="G195">
        <v>46</v>
      </c>
      <c r="H195" t="s">
        <v>43</v>
      </c>
      <c r="I195" t="s">
        <v>115</v>
      </c>
      <c r="J195" t="s">
        <v>116</v>
      </c>
      <c r="K195" t="s">
        <v>24</v>
      </c>
      <c r="L195" t="s">
        <v>1198</v>
      </c>
      <c r="M195" s="1">
        <v>44907</v>
      </c>
      <c r="N195" t="s">
        <v>26</v>
      </c>
      <c r="O195">
        <v>4</v>
      </c>
    </row>
    <row r="196" spans="1:15">
      <c r="A196" t="s">
        <v>1199</v>
      </c>
      <c r="B196" t="s">
        <v>1200</v>
      </c>
      <c r="C196" t="s">
        <v>868</v>
      </c>
      <c r="D196" t="s">
        <v>162</v>
      </c>
      <c r="E196" t="s">
        <v>1201</v>
      </c>
      <c r="F196" t="s">
        <v>1202</v>
      </c>
      <c r="G196">
        <v>53</v>
      </c>
      <c r="H196" t="s">
        <v>43</v>
      </c>
      <c r="I196" t="s">
        <v>220</v>
      </c>
      <c r="J196" t="s">
        <v>221</v>
      </c>
      <c r="K196" t="s">
        <v>24</v>
      </c>
      <c r="L196" t="s">
        <v>1203</v>
      </c>
      <c r="M196" s="1">
        <v>45223</v>
      </c>
      <c r="N196" t="s">
        <v>48</v>
      </c>
      <c r="O196">
        <v>3</v>
      </c>
    </row>
    <row r="197" spans="1:15">
      <c r="A197" t="s">
        <v>1204</v>
      </c>
      <c r="B197" t="s">
        <v>319</v>
      </c>
      <c r="C197" t="s">
        <v>320</v>
      </c>
      <c r="D197" t="s">
        <v>321</v>
      </c>
      <c r="E197" t="s">
        <v>1205</v>
      </c>
      <c r="F197" t="s">
        <v>1206</v>
      </c>
      <c r="G197">
        <v>23</v>
      </c>
      <c r="H197" t="s">
        <v>21</v>
      </c>
      <c r="I197" t="s">
        <v>411</v>
      </c>
      <c r="J197" t="s">
        <v>412</v>
      </c>
      <c r="K197" t="s">
        <v>35</v>
      </c>
      <c r="L197" t="s">
        <v>1207</v>
      </c>
      <c r="M197" s="1">
        <v>45609</v>
      </c>
      <c r="N197" t="s">
        <v>26</v>
      </c>
      <c r="O197">
        <v>2</v>
      </c>
    </row>
    <row r="198" spans="1:15">
      <c r="A198" t="s">
        <v>1208</v>
      </c>
      <c r="B198" t="s">
        <v>1209</v>
      </c>
      <c r="C198" t="s">
        <v>491</v>
      </c>
      <c r="D198" t="s">
        <v>454</v>
      </c>
      <c r="E198" t="s">
        <v>1210</v>
      </c>
      <c r="F198" t="s">
        <v>1211</v>
      </c>
      <c r="G198">
        <v>38</v>
      </c>
      <c r="H198" t="s">
        <v>21</v>
      </c>
      <c r="I198" t="s">
        <v>74</v>
      </c>
      <c r="J198" t="s">
        <v>75</v>
      </c>
      <c r="K198" t="s">
        <v>76</v>
      </c>
      <c r="L198" t="s">
        <v>1212</v>
      </c>
      <c r="M198" s="1">
        <v>44893</v>
      </c>
      <c r="N198" t="s">
        <v>48</v>
      </c>
      <c r="O198">
        <v>4</v>
      </c>
    </row>
    <row r="199" spans="1:15">
      <c r="A199" t="s">
        <v>1213</v>
      </c>
      <c r="B199" t="s">
        <v>1214</v>
      </c>
      <c r="C199" t="s">
        <v>784</v>
      </c>
      <c r="D199" t="s">
        <v>295</v>
      </c>
      <c r="E199" t="s">
        <v>1215</v>
      </c>
      <c r="F199" t="s">
        <v>1216</v>
      </c>
      <c r="G199">
        <v>54</v>
      </c>
      <c r="H199" t="s">
        <v>21</v>
      </c>
      <c r="I199" t="s">
        <v>608</v>
      </c>
      <c r="J199" t="s">
        <v>609</v>
      </c>
      <c r="K199" t="s">
        <v>35</v>
      </c>
      <c r="L199" t="s">
        <v>1217</v>
      </c>
      <c r="M199" s="1">
        <v>45089</v>
      </c>
      <c r="N199" t="s">
        <v>26</v>
      </c>
      <c r="O199">
        <v>3</v>
      </c>
    </row>
    <row r="200" spans="1:15">
      <c r="A200" t="s">
        <v>1218</v>
      </c>
      <c r="B200" t="s">
        <v>1219</v>
      </c>
      <c r="C200" t="s">
        <v>1220</v>
      </c>
      <c r="D200" t="s">
        <v>974</v>
      </c>
      <c r="E200" t="s">
        <v>1221</v>
      </c>
      <c r="F200" t="s">
        <v>1222</v>
      </c>
      <c r="G200">
        <v>41</v>
      </c>
      <c r="H200" t="s">
        <v>55</v>
      </c>
      <c r="I200" t="s">
        <v>333</v>
      </c>
      <c r="J200" t="s">
        <v>85</v>
      </c>
      <c r="K200" t="s">
        <v>24</v>
      </c>
      <c r="L200" t="s">
        <v>1223</v>
      </c>
      <c r="M200" s="1">
        <v>45306</v>
      </c>
      <c r="N200" t="s">
        <v>48</v>
      </c>
      <c r="O200">
        <v>2</v>
      </c>
    </row>
    <row r="201" spans="1:15">
      <c r="A201" t="s">
        <v>1224</v>
      </c>
      <c r="B201" t="s">
        <v>638</v>
      </c>
      <c r="C201" t="s">
        <v>639</v>
      </c>
      <c r="D201" t="s">
        <v>398</v>
      </c>
      <c r="E201" t="s">
        <v>1225</v>
      </c>
      <c r="F201" t="s">
        <v>1226</v>
      </c>
      <c r="G201">
        <v>46</v>
      </c>
      <c r="H201" t="s">
        <v>55</v>
      </c>
      <c r="I201" t="s">
        <v>1019</v>
      </c>
      <c r="J201" t="s">
        <v>197</v>
      </c>
      <c r="K201" t="s">
        <v>24</v>
      </c>
      <c r="L201" t="s">
        <v>1227</v>
      </c>
      <c r="M201" s="1">
        <v>45401</v>
      </c>
      <c r="N201" t="s">
        <v>48</v>
      </c>
      <c r="O201">
        <v>2</v>
      </c>
    </row>
    <row r="202" spans="1:15">
      <c r="A202" t="s">
        <v>1228</v>
      </c>
      <c r="B202" t="s">
        <v>1229</v>
      </c>
      <c r="C202" t="s">
        <v>711</v>
      </c>
      <c r="D202" t="s">
        <v>480</v>
      </c>
      <c r="E202" t="s">
        <v>1230</v>
      </c>
      <c r="F202" t="s">
        <v>1231</v>
      </c>
      <c r="G202">
        <v>45</v>
      </c>
      <c r="H202" t="s">
        <v>43</v>
      </c>
      <c r="I202" t="s">
        <v>374</v>
      </c>
      <c r="J202" t="s">
        <v>197</v>
      </c>
      <c r="K202" t="s">
        <v>24</v>
      </c>
      <c r="L202" t="s">
        <v>1232</v>
      </c>
      <c r="M202" s="1">
        <v>44332</v>
      </c>
      <c r="N202" t="s">
        <v>118</v>
      </c>
      <c r="O202">
        <v>5</v>
      </c>
    </row>
    <row r="203" spans="1:15">
      <c r="A203" t="s">
        <v>1233</v>
      </c>
      <c r="B203" t="s">
        <v>1234</v>
      </c>
      <c r="C203" t="s">
        <v>868</v>
      </c>
      <c r="D203" t="s">
        <v>1235</v>
      </c>
      <c r="E203" t="s">
        <v>1236</v>
      </c>
      <c r="F203" t="s">
        <v>1237</v>
      </c>
      <c r="G203">
        <v>41</v>
      </c>
      <c r="H203" t="s">
        <v>55</v>
      </c>
      <c r="I203" t="s">
        <v>685</v>
      </c>
      <c r="J203" t="s">
        <v>686</v>
      </c>
      <c r="K203" t="s">
        <v>188</v>
      </c>
      <c r="L203" t="s">
        <v>1238</v>
      </c>
      <c r="M203" s="1">
        <v>44248</v>
      </c>
      <c r="N203" t="s">
        <v>48</v>
      </c>
      <c r="O203">
        <v>5</v>
      </c>
    </row>
    <row r="204" spans="1:15">
      <c r="A204" t="s">
        <v>1239</v>
      </c>
      <c r="B204" t="s">
        <v>1240</v>
      </c>
      <c r="C204" t="s">
        <v>886</v>
      </c>
      <c r="D204" t="s">
        <v>472</v>
      </c>
      <c r="E204" t="s">
        <v>1241</v>
      </c>
      <c r="F204" t="s">
        <v>1242</v>
      </c>
      <c r="G204">
        <v>43</v>
      </c>
      <c r="H204" t="s">
        <v>55</v>
      </c>
      <c r="I204" t="s">
        <v>115</v>
      </c>
      <c r="J204" t="s">
        <v>116</v>
      </c>
      <c r="K204" t="s">
        <v>24</v>
      </c>
      <c r="L204" t="s">
        <v>1243</v>
      </c>
      <c r="M204" s="1">
        <v>45388</v>
      </c>
      <c r="N204" t="s">
        <v>26</v>
      </c>
      <c r="O204">
        <v>2</v>
      </c>
    </row>
    <row r="205" spans="1:15">
      <c r="A205" t="s">
        <v>1244</v>
      </c>
      <c r="B205" t="s">
        <v>1245</v>
      </c>
      <c r="C205" t="s">
        <v>1246</v>
      </c>
      <c r="D205" t="s">
        <v>105</v>
      </c>
      <c r="E205" t="s">
        <v>1247</v>
      </c>
      <c r="F205" t="s">
        <v>1248</v>
      </c>
      <c r="G205">
        <v>26</v>
      </c>
      <c r="H205" t="s">
        <v>21</v>
      </c>
      <c r="I205" t="s">
        <v>220</v>
      </c>
      <c r="J205" t="s">
        <v>221</v>
      </c>
      <c r="K205" t="s">
        <v>24</v>
      </c>
      <c r="L205" t="s">
        <v>1249</v>
      </c>
      <c r="M205" s="1">
        <v>44119</v>
      </c>
      <c r="N205" t="s">
        <v>48</v>
      </c>
      <c r="O205">
        <v>6</v>
      </c>
    </row>
    <row r="206" spans="1:15">
      <c r="A206" t="s">
        <v>1250</v>
      </c>
      <c r="B206" t="s">
        <v>1251</v>
      </c>
      <c r="C206" t="s">
        <v>705</v>
      </c>
      <c r="D206" t="s">
        <v>472</v>
      </c>
      <c r="E206" t="s">
        <v>1252</v>
      </c>
      <c r="F206" t="s">
        <v>1253</v>
      </c>
      <c r="G206">
        <v>40</v>
      </c>
      <c r="H206" t="s">
        <v>21</v>
      </c>
      <c r="I206" t="s">
        <v>100</v>
      </c>
      <c r="J206" t="s">
        <v>57</v>
      </c>
      <c r="K206" t="s">
        <v>46</v>
      </c>
      <c r="L206" t="s">
        <v>1254</v>
      </c>
      <c r="M206" s="1">
        <v>45307</v>
      </c>
      <c r="N206" t="s">
        <v>48</v>
      </c>
      <c r="O206">
        <v>2</v>
      </c>
    </row>
    <row r="207" spans="1:15">
      <c r="A207" t="s">
        <v>1255</v>
      </c>
      <c r="B207" t="s">
        <v>1256</v>
      </c>
      <c r="C207" t="s">
        <v>711</v>
      </c>
      <c r="D207" t="s">
        <v>275</v>
      </c>
      <c r="E207" t="s">
        <v>1257</v>
      </c>
      <c r="F207" t="s">
        <v>1258</v>
      </c>
      <c r="G207">
        <v>45</v>
      </c>
      <c r="H207" t="s">
        <v>55</v>
      </c>
      <c r="I207" t="s">
        <v>226</v>
      </c>
      <c r="J207" t="s">
        <v>226</v>
      </c>
      <c r="K207" t="s">
        <v>24</v>
      </c>
      <c r="L207" t="s">
        <v>1259</v>
      </c>
      <c r="M207" s="1">
        <v>44015</v>
      </c>
      <c r="N207" t="s">
        <v>118</v>
      </c>
      <c r="O207">
        <v>6</v>
      </c>
    </row>
    <row r="208" spans="1:15">
      <c r="A208" t="s">
        <v>1260</v>
      </c>
      <c r="B208" t="s">
        <v>1261</v>
      </c>
      <c r="C208" t="s">
        <v>980</v>
      </c>
      <c r="D208" t="s">
        <v>946</v>
      </c>
      <c r="E208" t="s">
        <v>1262</v>
      </c>
      <c r="F208" t="s">
        <v>1263</v>
      </c>
      <c r="G208">
        <v>50</v>
      </c>
      <c r="H208" t="s">
        <v>43</v>
      </c>
      <c r="I208" t="s">
        <v>234</v>
      </c>
      <c r="J208" t="s">
        <v>221</v>
      </c>
      <c r="K208" t="s">
        <v>24</v>
      </c>
      <c r="L208" t="s">
        <v>1264</v>
      </c>
      <c r="M208" s="1">
        <v>45054</v>
      </c>
      <c r="N208" t="s">
        <v>26</v>
      </c>
      <c r="O208">
        <v>3</v>
      </c>
    </row>
    <row r="209" spans="1:15">
      <c r="A209" t="s">
        <v>1265</v>
      </c>
      <c r="B209" t="s">
        <v>1266</v>
      </c>
      <c r="C209" t="s">
        <v>677</v>
      </c>
      <c r="D209" t="s">
        <v>338</v>
      </c>
      <c r="E209" t="s">
        <v>1267</v>
      </c>
      <c r="F209" t="s">
        <v>1268</v>
      </c>
      <c r="G209">
        <v>22</v>
      </c>
      <c r="H209" t="s">
        <v>43</v>
      </c>
      <c r="I209" t="s">
        <v>824</v>
      </c>
      <c r="J209" t="s">
        <v>45</v>
      </c>
      <c r="K209" t="s">
        <v>46</v>
      </c>
      <c r="L209" t="s">
        <v>1269</v>
      </c>
      <c r="M209" s="1">
        <v>44580</v>
      </c>
      <c r="N209" t="s">
        <v>48</v>
      </c>
      <c r="O209">
        <v>4</v>
      </c>
    </row>
    <row r="210" spans="1:15">
      <c r="A210" t="s">
        <v>1270</v>
      </c>
      <c r="B210" t="s">
        <v>1271</v>
      </c>
      <c r="C210" t="s">
        <v>533</v>
      </c>
      <c r="D210" t="s">
        <v>321</v>
      </c>
      <c r="E210" t="s">
        <v>1272</v>
      </c>
      <c r="F210" t="s">
        <v>1273</v>
      </c>
      <c r="G210">
        <v>48</v>
      </c>
      <c r="H210" t="s">
        <v>55</v>
      </c>
      <c r="I210" t="s">
        <v>270</v>
      </c>
      <c r="J210" t="s">
        <v>271</v>
      </c>
      <c r="K210" t="s">
        <v>188</v>
      </c>
      <c r="L210" t="s">
        <v>1274</v>
      </c>
      <c r="M210" s="1">
        <v>44863</v>
      </c>
      <c r="N210" t="s">
        <v>48</v>
      </c>
      <c r="O210">
        <v>4</v>
      </c>
    </row>
    <row r="211" spans="1:15">
      <c r="A211" t="s">
        <v>1275</v>
      </c>
      <c r="B211" t="s">
        <v>1276</v>
      </c>
      <c r="C211" t="s">
        <v>604</v>
      </c>
      <c r="D211" t="s">
        <v>255</v>
      </c>
      <c r="E211" t="s">
        <v>1277</v>
      </c>
      <c r="F211" t="s">
        <v>1278</v>
      </c>
      <c r="G211">
        <v>41</v>
      </c>
      <c r="H211" t="s">
        <v>55</v>
      </c>
      <c r="I211" t="s">
        <v>115</v>
      </c>
      <c r="J211" t="s">
        <v>116</v>
      </c>
      <c r="K211" t="s">
        <v>24</v>
      </c>
      <c r="L211" t="s">
        <v>1279</v>
      </c>
      <c r="M211" s="1">
        <v>45458</v>
      </c>
      <c r="N211" t="s">
        <v>48</v>
      </c>
      <c r="O211">
        <v>2</v>
      </c>
    </row>
    <row r="212" spans="1:15">
      <c r="A212" t="s">
        <v>1280</v>
      </c>
      <c r="B212" t="s">
        <v>1281</v>
      </c>
      <c r="C212" t="s">
        <v>170</v>
      </c>
      <c r="D212" t="s">
        <v>440</v>
      </c>
      <c r="E212" t="s">
        <v>1282</v>
      </c>
      <c r="F212" t="s">
        <v>1283</v>
      </c>
      <c r="G212">
        <v>28</v>
      </c>
      <c r="H212" t="s">
        <v>43</v>
      </c>
      <c r="I212" t="s">
        <v>186</v>
      </c>
      <c r="J212" t="s">
        <v>187</v>
      </c>
      <c r="K212" t="s">
        <v>188</v>
      </c>
      <c r="L212" t="s">
        <v>1284</v>
      </c>
      <c r="M212" s="1">
        <v>43910</v>
      </c>
      <c r="N212" t="s">
        <v>118</v>
      </c>
      <c r="O212">
        <v>6</v>
      </c>
    </row>
    <row r="213" spans="1:15">
      <c r="A213" t="s">
        <v>1285</v>
      </c>
      <c r="B213" t="s">
        <v>1286</v>
      </c>
      <c r="C213" t="s">
        <v>1287</v>
      </c>
      <c r="D213" t="s">
        <v>128</v>
      </c>
      <c r="E213" t="s">
        <v>1288</v>
      </c>
      <c r="F213" t="s">
        <v>1289</v>
      </c>
      <c r="G213">
        <v>30</v>
      </c>
      <c r="H213" t="s">
        <v>43</v>
      </c>
      <c r="I213" t="s">
        <v>100</v>
      </c>
      <c r="J213" t="s">
        <v>57</v>
      </c>
      <c r="K213" t="s">
        <v>46</v>
      </c>
      <c r="L213" t="s">
        <v>1290</v>
      </c>
      <c r="M213" s="1">
        <v>44483</v>
      </c>
      <c r="N213" t="s">
        <v>26</v>
      </c>
      <c r="O213">
        <v>5</v>
      </c>
    </row>
    <row r="214" spans="1:15">
      <c r="A214" t="s">
        <v>1291</v>
      </c>
      <c r="B214" t="s">
        <v>1292</v>
      </c>
      <c r="C214" t="s">
        <v>957</v>
      </c>
      <c r="D214" t="s">
        <v>447</v>
      </c>
      <c r="E214" t="s">
        <v>1293</v>
      </c>
      <c r="F214" t="s">
        <v>1294</v>
      </c>
      <c r="G214">
        <v>39</v>
      </c>
      <c r="H214" t="s">
        <v>43</v>
      </c>
      <c r="I214" t="s">
        <v>33</v>
      </c>
      <c r="J214" t="s">
        <v>34</v>
      </c>
      <c r="K214" t="s">
        <v>35</v>
      </c>
      <c r="L214" t="s">
        <v>1295</v>
      </c>
      <c r="M214" s="1">
        <v>44834</v>
      </c>
      <c r="N214" t="s">
        <v>48</v>
      </c>
      <c r="O214">
        <v>4</v>
      </c>
    </row>
    <row r="215" spans="1:15">
      <c r="A215" t="s">
        <v>1296</v>
      </c>
      <c r="B215" t="s">
        <v>1297</v>
      </c>
      <c r="C215" t="s">
        <v>1068</v>
      </c>
      <c r="D215" t="s">
        <v>301</v>
      </c>
      <c r="E215" t="s">
        <v>1298</v>
      </c>
      <c r="F215" t="s">
        <v>1299</v>
      </c>
      <c r="G215">
        <v>21</v>
      </c>
      <c r="H215" t="s">
        <v>55</v>
      </c>
      <c r="I215" t="s">
        <v>355</v>
      </c>
      <c r="J215" t="s">
        <v>187</v>
      </c>
      <c r="K215" t="s">
        <v>188</v>
      </c>
      <c r="L215" t="s">
        <v>1300</v>
      </c>
      <c r="M215" s="1">
        <v>45462</v>
      </c>
      <c r="N215" t="s">
        <v>118</v>
      </c>
      <c r="O215">
        <v>2</v>
      </c>
    </row>
    <row r="216" spans="1:15">
      <c r="A216" t="s">
        <v>1301</v>
      </c>
      <c r="B216" t="s">
        <v>1302</v>
      </c>
      <c r="C216" t="s">
        <v>428</v>
      </c>
      <c r="D216" t="s">
        <v>135</v>
      </c>
      <c r="E216" t="s">
        <v>1303</v>
      </c>
      <c r="F216" t="s">
        <v>1304</v>
      </c>
      <c r="G216">
        <v>50</v>
      </c>
      <c r="H216" t="s">
        <v>21</v>
      </c>
      <c r="I216" t="s">
        <v>74</v>
      </c>
      <c r="J216" t="s">
        <v>75</v>
      </c>
      <c r="K216" t="s">
        <v>76</v>
      </c>
      <c r="L216" t="s">
        <v>1305</v>
      </c>
      <c r="M216" s="1">
        <v>45026</v>
      </c>
      <c r="N216" t="s">
        <v>26</v>
      </c>
      <c r="O216">
        <v>3</v>
      </c>
    </row>
    <row r="217" spans="1:15">
      <c r="A217" t="s">
        <v>1306</v>
      </c>
      <c r="B217" t="s">
        <v>1307</v>
      </c>
      <c r="C217" t="s">
        <v>594</v>
      </c>
      <c r="D217" t="s">
        <v>62</v>
      </c>
      <c r="E217" t="s">
        <v>1308</v>
      </c>
      <c r="F217" t="s">
        <v>1309</v>
      </c>
      <c r="G217">
        <v>27</v>
      </c>
      <c r="H217" t="s">
        <v>21</v>
      </c>
      <c r="I217" t="s">
        <v>368</v>
      </c>
      <c r="J217" t="s">
        <v>57</v>
      </c>
      <c r="K217" t="s">
        <v>46</v>
      </c>
      <c r="L217" t="s">
        <v>1310</v>
      </c>
      <c r="M217" s="1">
        <v>43895</v>
      </c>
      <c r="N217" t="s">
        <v>48</v>
      </c>
      <c r="O217">
        <v>6</v>
      </c>
    </row>
    <row r="218" spans="1:15">
      <c r="A218" t="s">
        <v>1311</v>
      </c>
      <c r="B218" t="s">
        <v>1312</v>
      </c>
      <c r="C218" t="s">
        <v>392</v>
      </c>
      <c r="D218" t="s">
        <v>105</v>
      </c>
      <c r="E218" t="s">
        <v>1313</v>
      </c>
      <c r="F218" t="s">
        <v>1314</v>
      </c>
      <c r="G218">
        <v>50</v>
      </c>
      <c r="H218" t="s">
        <v>21</v>
      </c>
      <c r="I218" t="s">
        <v>388</v>
      </c>
      <c r="J218" t="s">
        <v>75</v>
      </c>
      <c r="K218" t="s">
        <v>76</v>
      </c>
      <c r="L218" t="s">
        <v>1315</v>
      </c>
      <c r="M218" s="1">
        <v>44858</v>
      </c>
      <c r="N218" t="s">
        <v>48</v>
      </c>
      <c r="O218">
        <v>4</v>
      </c>
    </row>
    <row r="219" spans="1:15">
      <c r="A219" t="s">
        <v>1316</v>
      </c>
      <c r="B219" t="s">
        <v>1317</v>
      </c>
      <c r="C219" t="s">
        <v>1287</v>
      </c>
      <c r="D219" t="s">
        <v>946</v>
      </c>
      <c r="E219" t="s">
        <v>1318</v>
      </c>
      <c r="F219" t="s">
        <v>1319</v>
      </c>
      <c r="G219">
        <v>40</v>
      </c>
      <c r="H219" t="s">
        <v>21</v>
      </c>
      <c r="I219" t="s">
        <v>685</v>
      </c>
      <c r="J219" t="s">
        <v>686</v>
      </c>
      <c r="K219" t="s">
        <v>188</v>
      </c>
      <c r="L219" t="s">
        <v>1320</v>
      </c>
      <c r="M219" s="1">
        <v>44602</v>
      </c>
      <c r="N219" t="s">
        <v>118</v>
      </c>
      <c r="O219">
        <v>4</v>
      </c>
    </row>
    <row r="220" spans="1:15">
      <c r="A220" t="s">
        <v>1321</v>
      </c>
      <c r="B220" t="s">
        <v>1322</v>
      </c>
      <c r="C220" t="s">
        <v>89</v>
      </c>
      <c r="D220" t="s">
        <v>301</v>
      </c>
      <c r="E220" t="s">
        <v>1323</v>
      </c>
      <c r="F220" t="s">
        <v>1324</v>
      </c>
      <c r="G220">
        <v>36</v>
      </c>
      <c r="H220" t="s">
        <v>55</v>
      </c>
      <c r="I220" t="s">
        <v>368</v>
      </c>
      <c r="J220" t="s">
        <v>57</v>
      </c>
      <c r="K220" t="s">
        <v>46</v>
      </c>
      <c r="L220" t="s">
        <v>1325</v>
      </c>
      <c r="M220" s="1">
        <v>45476</v>
      </c>
      <c r="N220" t="s">
        <v>118</v>
      </c>
      <c r="O220">
        <v>2</v>
      </c>
    </row>
    <row r="221" spans="1:15">
      <c r="A221" t="s">
        <v>1326</v>
      </c>
      <c r="B221" t="s">
        <v>1327</v>
      </c>
      <c r="C221" t="s">
        <v>201</v>
      </c>
      <c r="D221" t="s">
        <v>156</v>
      </c>
      <c r="E221" t="s">
        <v>1328</v>
      </c>
      <c r="F221" t="s">
        <v>1329</v>
      </c>
      <c r="G221">
        <v>33</v>
      </c>
      <c r="H221" t="s">
        <v>43</v>
      </c>
      <c r="I221" t="s">
        <v>374</v>
      </c>
      <c r="J221" t="s">
        <v>197</v>
      </c>
      <c r="K221" t="s">
        <v>24</v>
      </c>
      <c r="L221" t="s">
        <v>1330</v>
      </c>
      <c r="M221" s="1">
        <v>45274</v>
      </c>
      <c r="N221" t="s">
        <v>48</v>
      </c>
      <c r="O221">
        <v>3</v>
      </c>
    </row>
    <row r="222" spans="1:15">
      <c r="A222" t="s">
        <v>1331</v>
      </c>
      <c r="B222" t="s">
        <v>1332</v>
      </c>
      <c r="C222" t="s">
        <v>762</v>
      </c>
      <c r="D222" t="s">
        <v>558</v>
      </c>
      <c r="E222" t="s">
        <v>1333</v>
      </c>
      <c r="F222" t="s">
        <v>1334</v>
      </c>
      <c r="G222">
        <v>54</v>
      </c>
      <c r="H222" t="s">
        <v>43</v>
      </c>
      <c r="I222" t="s">
        <v>234</v>
      </c>
      <c r="J222" t="s">
        <v>221</v>
      </c>
      <c r="K222" t="s">
        <v>24</v>
      </c>
      <c r="L222" t="s">
        <v>1335</v>
      </c>
      <c r="M222" s="1">
        <v>45005</v>
      </c>
      <c r="N222" t="s">
        <v>118</v>
      </c>
      <c r="O222">
        <v>3</v>
      </c>
    </row>
    <row r="223" spans="1:15">
      <c r="A223" t="s">
        <v>1336</v>
      </c>
      <c r="B223" t="s">
        <v>1337</v>
      </c>
      <c r="C223" t="s">
        <v>359</v>
      </c>
      <c r="D223" t="s">
        <v>97</v>
      </c>
      <c r="E223" t="s">
        <v>1338</v>
      </c>
      <c r="F223" t="s">
        <v>1339</v>
      </c>
      <c r="G223">
        <v>48</v>
      </c>
      <c r="H223" t="s">
        <v>43</v>
      </c>
      <c r="I223" t="s">
        <v>234</v>
      </c>
      <c r="J223" t="s">
        <v>221</v>
      </c>
      <c r="K223" t="s">
        <v>24</v>
      </c>
      <c r="L223" t="s">
        <v>1340</v>
      </c>
      <c r="M223" s="1">
        <v>44540</v>
      </c>
      <c r="N223" t="s">
        <v>118</v>
      </c>
      <c r="O223">
        <v>5</v>
      </c>
    </row>
    <row r="224" spans="1:15">
      <c r="A224" t="s">
        <v>1341</v>
      </c>
      <c r="B224" t="s">
        <v>1342</v>
      </c>
      <c r="C224" t="s">
        <v>51</v>
      </c>
      <c r="D224" t="s">
        <v>345</v>
      </c>
      <c r="E224" t="s">
        <v>1343</v>
      </c>
      <c r="F224" t="s">
        <v>1344</v>
      </c>
      <c r="G224">
        <v>26</v>
      </c>
      <c r="H224" t="s">
        <v>55</v>
      </c>
      <c r="I224" t="s">
        <v>84</v>
      </c>
      <c r="J224" t="s">
        <v>85</v>
      </c>
      <c r="K224" t="s">
        <v>24</v>
      </c>
      <c r="L224" t="s">
        <v>1345</v>
      </c>
      <c r="M224" s="1">
        <v>44112</v>
      </c>
      <c r="N224" t="s">
        <v>26</v>
      </c>
      <c r="O224">
        <v>6</v>
      </c>
    </row>
    <row r="225" spans="1:15">
      <c r="A225" t="s">
        <v>1346</v>
      </c>
      <c r="B225" t="s">
        <v>1347</v>
      </c>
      <c r="C225" t="s">
        <v>980</v>
      </c>
      <c r="D225" t="s">
        <v>156</v>
      </c>
      <c r="E225" t="s">
        <v>1348</v>
      </c>
      <c r="F225" t="s">
        <v>1349</v>
      </c>
      <c r="G225">
        <v>26</v>
      </c>
      <c r="H225" t="s">
        <v>43</v>
      </c>
      <c r="I225" t="s">
        <v>608</v>
      </c>
      <c r="J225" t="s">
        <v>609</v>
      </c>
      <c r="K225" t="s">
        <v>35</v>
      </c>
      <c r="L225" t="s">
        <v>1350</v>
      </c>
      <c r="M225" s="1">
        <v>43938</v>
      </c>
      <c r="N225" t="s">
        <v>48</v>
      </c>
      <c r="O225">
        <v>6</v>
      </c>
    </row>
    <row r="226" spans="1:15">
      <c r="A226" t="s">
        <v>1351</v>
      </c>
      <c r="B226" t="s">
        <v>1352</v>
      </c>
      <c r="C226" t="s">
        <v>104</v>
      </c>
      <c r="D226" t="s">
        <v>246</v>
      </c>
      <c r="E226" t="s">
        <v>1353</v>
      </c>
      <c r="F226" t="s">
        <v>1354</v>
      </c>
      <c r="G226">
        <v>50</v>
      </c>
      <c r="H226" t="s">
        <v>43</v>
      </c>
      <c r="I226" t="s">
        <v>541</v>
      </c>
      <c r="J226" t="s">
        <v>271</v>
      </c>
      <c r="K226" t="s">
        <v>188</v>
      </c>
      <c r="L226" t="s">
        <v>1355</v>
      </c>
      <c r="M226" s="1">
        <v>44664</v>
      </c>
      <c r="N226" t="s">
        <v>48</v>
      </c>
      <c r="O226">
        <v>4</v>
      </c>
    </row>
    <row r="227" spans="1:15">
      <c r="A227" t="s">
        <v>1356</v>
      </c>
      <c r="B227" t="s">
        <v>1357</v>
      </c>
      <c r="C227" t="s">
        <v>170</v>
      </c>
      <c r="D227" t="s">
        <v>238</v>
      </c>
      <c r="E227" t="s">
        <v>1358</v>
      </c>
      <c r="F227" t="s">
        <v>1359</v>
      </c>
      <c r="G227">
        <v>34</v>
      </c>
      <c r="H227" t="s">
        <v>55</v>
      </c>
      <c r="I227" t="s">
        <v>65</v>
      </c>
      <c r="J227" t="s">
        <v>66</v>
      </c>
      <c r="K227" t="s">
        <v>35</v>
      </c>
      <c r="L227" t="s">
        <v>1360</v>
      </c>
      <c r="M227" s="1">
        <v>45006</v>
      </c>
      <c r="N227" t="s">
        <v>48</v>
      </c>
      <c r="O227">
        <v>3</v>
      </c>
    </row>
    <row r="228" spans="1:15">
      <c r="A228" t="s">
        <v>1361</v>
      </c>
      <c r="B228" t="s">
        <v>1362</v>
      </c>
      <c r="C228" t="s">
        <v>329</v>
      </c>
      <c r="D228" t="s">
        <v>546</v>
      </c>
      <c r="E228" t="s">
        <v>1363</v>
      </c>
      <c r="F228" t="s">
        <v>1364</v>
      </c>
      <c r="G228">
        <v>38</v>
      </c>
      <c r="H228" t="s">
        <v>21</v>
      </c>
      <c r="I228" t="s">
        <v>226</v>
      </c>
      <c r="J228" t="s">
        <v>226</v>
      </c>
      <c r="K228" t="s">
        <v>24</v>
      </c>
      <c r="L228" t="s">
        <v>1365</v>
      </c>
      <c r="M228" s="1">
        <v>45364</v>
      </c>
      <c r="N228" t="s">
        <v>48</v>
      </c>
      <c r="O228">
        <v>2</v>
      </c>
    </row>
    <row r="229" spans="1:15">
      <c r="A229" t="s">
        <v>1366</v>
      </c>
      <c r="B229" t="s">
        <v>1367</v>
      </c>
      <c r="C229" t="s">
        <v>384</v>
      </c>
      <c r="D229" t="s">
        <v>1368</v>
      </c>
      <c r="E229" t="s">
        <v>1369</v>
      </c>
      <c r="F229" t="s">
        <v>1370</v>
      </c>
      <c r="G229">
        <v>54</v>
      </c>
      <c r="H229" t="s">
        <v>55</v>
      </c>
      <c r="I229" t="s">
        <v>234</v>
      </c>
      <c r="J229" t="s">
        <v>221</v>
      </c>
      <c r="K229" t="s">
        <v>24</v>
      </c>
      <c r="L229" t="s">
        <v>1371</v>
      </c>
      <c r="M229" s="1">
        <v>45144</v>
      </c>
      <c r="N229" t="s">
        <v>118</v>
      </c>
      <c r="O229">
        <v>3</v>
      </c>
    </row>
    <row r="230" spans="1:15">
      <c r="A230" t="s">
        <v>1372</v>
      </c>
      <c r="B230" t="s">
        <v>1373</v>
      </c>
      <c r="C230" t="s">
        <v>287</v>
      </c>
      <c r="D230" t="s">
        <v>338</v>
      </c>
      <c r="E230" t="s">
        <v>1374</v>
      </c>
      <c r="F230" t="s">
        <v>1375</v>
      </c>
      <c r="G230">
        <v>49</v>
      </c>
      <c r="H230" t="s">
        <v>43</v>
      </c>
      <c r="I230" t="s">
        <v>590</v>
      </c>
      <c r="J230" t="s">
        <v>45</v>
      </c>
      <c r="K230" t="s">
        <v>46</v>
      </c>
      <c r="L230" t="s">
        <v>1376</v>
      </c>
      <c r="M230" s="1">
        <v>44163</v>
      </c>
      <c r="N230" t="s">
        <v>48</v>
      </c>
      <c r="O230">
        <v>6</v>
      </c>
    </row>
    <row r="231" spans="1:15">
      <c r="A231" t="s">
        <v>1377</v>
      </c>
      <c r="B231" t="s">
        <v>1378</v>
      </c>
      <c r="C231" t="s">
        <v>677</v>
      </c>
      <c r="D231" t="s">
        <v>330</v>
      </c>
      <c r="E231" t="s">
        <v>1379</v>
      </c>
      <c r="F231" t="s">
        <v>1380</v>
      </c>
      <c r="G231">
        <v>45</v>
      </c>
      <c r="H231" t="s">
        <v>43</v>
      </c>
      <c r="I231" t="s">
        <v>212</v>
      </c>
      <c r="J231" t="s">
        <v>57</v>
      </c>
      <c r="K231" t="s">
        <v>46</v>
      </c>
      <c r="L231" t="s">
        <v>1381</v>
      </c>
      <c r="M231" s="1">
        <v>45082</v>
      </c>
      <c r="N231" t="s">
        <v>26</v>
      </c>
      <c r="O231">
        <v>3</v>
      </c>
    </row>
    <row r="232" spans="1:15">
      <c r="A232" t="s">
        <v>1382</v>
      </c>
      <c r="B232" t="s">
        <v>1383</v>
      </c>
      <c r="C232" t="s">
        <v>1384</v>
      </c>
      <c r="D232" t="s">
        <v>398</v>
      </c>
      <c r="E232" t="s">
        <v>1385</v>
      </c>
      <c r="F232" t="s">
        <v>1386</v>
      </c>
      <c r="G232">
        <v>20</v>
      </c>
      <c r="H232" t="s">
        <v>43</v>
      </c>
      <c r="I232" t="s">
        <v>685</v>
      </c>
      <c r="J232" t="s">
        <v>686</v>
      </c>
      <c r="K232" t="s">
        <v>188</v>
      </c>
      <c r="L232" t="s">
        <v>1387</v>
      </c>
      <c r="M232" s="1">
        <v>44339</v>
      </c>
      <c r="N232" t="s">
        <v>118</v>
      </c>
      <c r="O232">
        <v>5</v>
      </c>
    </row>
    <row r="233" spans="1:15">
      <c r="A233" t="s">
        <v>1388</v>
      </c>
      <c r="B233" t="s">
        <v>1389</v>
      </c>
      <c r="C233" t="s">
        <v>980</v>
      </c>
      <c r="D233" t="s">
        <v>880</v>
      </c>
      <c r="E233" t="s">
        <v>1390</v>
      </c>
      <c r="F233" t="s">
        <v>1391</v>
      </c>
      <c r="G233">
        <v>20</v>
      </c>
      <c r="H233" t="s">
        <v>43</v>
      </c>
      <c r="I233" t="s">
        <v>374</v>
      </c>
      <c r="J233" t="s">
        <v>197</v>
      </c>
      <c r="K233" t="s">
        <v>24</v>
      </c>
      <c r="L233" t="s">
        <v>1392</v>
      </c>
      <c r="M233" s="1">
        <v>45311</v>
      </c>
      <c r="N233" t="s">
        <v>48</v>
      </c>
      <c r="O233">
        <v>2</v>
      </c>
    </row>
    <row r="234" spans="1:15">
      <c r="A234" t="s">
        <v>1393</v>
      </c>
      <c r="B234" t="s">
        <v>1394</v>
      </c>
      <c r="C234" t="s">
        <v>439</v>
      </c>
      <c r="D234" t="s">
        <v>156</v>
      </c>
      <c r="E234" t="s">
        <v>1395</v>
      </c>
      <c r="F234" t="s">
        <v>1396</v>
      </c>
      <c r="G234">
        <v>52</v>
      </c>
      <c r="H234" t="s">
        <v>43</v>
      </c>
      <c r="I234" t="s">
        <v>44</v>
      </c>
      <c r="J234" t="s">
        <v>45</v>
      </c>
      <c r="K234" t="s">
        <v>46</v>
      </c>
      <c r="L234" t="s">
        <v>1397</v>
      </c>
      <c r="M234" s="1">
        <v>45236</v>
      </c>
      <c r="N234" t="s">
        <v>48</v>
      </c>
      <c r="O234">
        <v>3</v>
      </c>
    </row>
    <row r="235" spans="1:15">
      <c r="A235" t="s">
        <v>1398</v>
      </c>
      <c r="B235" t="s">
        <v>1399</v>
      </c>
      <c r="C235" t="s">
        <v>17</v>
      </c>
      <c r="D235" t="s">
        <v>142</v>
      </c>
      <c r="E235" t="s">
        <v>1400</v>
      </c>
      <c r="F235" t="s">
        <v>1401</v>
      </c>
      <c r="G235">
        <v>50</v>
      </c>
      <c r="H235" t="s">
        <v>21</v>
      </c>
      <c r="I235" t="s">
        <v>74</v>
      </c>
      <c r="J235" t="s">
        <v>75</v>
      </c>
      <c r="K235" t="s">
        <v>76</v>
      </c>
      <c r="L235" t="s">
        <v>1402</v>
      </c>
      <c r="M235" s="1">
        <v>44104</v>
      </c>
      <c r="N235" t="s">
        <v>118</v>
      </c>
      <c r="O235">
        <v>6</v>
      </c>
    </row>
    <row r="236" spans="1:15">
      <c r="A236" t="s">
        <v>1403</v>
      </c>
      <c r="B236" t="s">
        <v>1404</v>
      </c>
      <c r="C236" t="s">
        <v>570</v>
      </c>
      <c r="D236" t="s">
        <v>498</v>
      </c>
      <c r="E236" t="s">
        <v>1405</v>
      </c>
      <c r="F236" t="s">
        <v>1406</v>
      </c>
      <c r="G236">
        <v>33</v>
      </c>
      <c r="H236" t="s">
        <v>21</v>
      </c>
      <c r="I236" t="s">
        <v>685</v>
      </c>
      <c r="J236" t="s">
        <v>686</v>
      </c>
      <c r="K236" t="s">
        <v>188</v>
      </c>
      <c r="L236" t="s">
        <v>1407</v>
      </c>
      <c r="M236" s="1">
        <v>45473</v>
      </c>
      <c r="N236" t="s">
        <v>26</v>
      </c>
      <c r="O236">
        <v>2</v>
      </c>
    </row>
    <row r="237" spans="1:15">
      <c r="A237" t="s">
        <v>1408</v>
      </c>
      <c r="B237" t="s">
        <v>1409</v>
      </c>
      <c r="C237" t="s">
        <v>746</v>
      </c>
      <c r="D237" t="s">
        <v>874</v>
      </c>
      <c r="E237" t="s">
        <v>1410</v>
      </c>
      <c r="F237" t="s">
        <v>1411</v>
      </c>
      <c r="G237">
        <v>23</v>
      </c>
      <c r="H237" t="s">
        <v>55</v>
      </c>
      <c r="I237" t="s">
        <v>270</v>
      </c>
      <c r="J237" t="s">
        <v>271</v>
      </c>
      <c r="K237" t="s">
        <v>188</v>
      </c>
      <c r="L237" t="s">
        <v>1412</v>
      </c>
      <c r="M237" s="1">
        <v>44060</v>
      </c>
      <c r="N237" t="s">
        <v>26</v>
      </c>
      <c r="O237">
        <v>6</v>
      </c>
    </row>
    <row r="238" spans="1:15">
      <c r="A238" t="s">
        <v>1413</v>
      </c>
      <c r="B238" t="s">
        <v>1414</v>
      </c>
      <c r="C238" t="s">
        <v>784</v>
      </c>
      <c r="D238" t="s">
        <v>1368</v>
      </c>
      <c r="E238" t="s">
        <v>1415</v>
      </c>
      <c r="F238" t="s">
        <v>1416</v>
      </c>
      <c r="G238">
        <v>33</v>
      </c>
      <c r="H238" t="s">
        <v>55</v>
      </c>
      <c r="I238" t="s">
        <v>742</v>
      </c>
      <c r="J238" t="s">
        <v>57</v>
      </c>
      <c r="K238" t="s">
        <v>46</v>
      </c>
      <c r="L238" t="s">
        <v>1417</v>
      </c>
      <c r="M238" s="1">
        <v>44069</v>
      </c>
      <c r="N238" t="s">
        <v>118</v>
      </c>
      <c r="O238">
        <v>6</v>
      </c>
    </row>
    <row r="239" spans="1:15">
      <c r="A239" t="s">
        <v>1418</v>
      </c>
      <c r="B239" t="s">
        <v>1419</v>
      </c>
      <c r="C239" t="s">
        <v>121</v>
      </c>
      <c r="D239" t="s">
        <v>422</v>
      </c>
      <c r="E239" t="s">
        <v>1420</v>
      </c>
      <c r="F239" t="s">
        <v>1421</v>
      </c>
      <c r="G239">
        <v>46</v>
      </c>
      <c r="H239" t="s">
        <v>43</v>
      </c>
      <c r="I239" t="s">
        <v>108</v>
      </c>
      <c r="J239" t="s">
        <v>57</v>
      </c>
      <c r="K239" t="s">
        <v>46</v>
      </c>
      <c r="L239" t="s">
        <v>1422</v>
      </c>
      <c r="M239" s="1">
        <v>44882</v>
      </c>
      <c r="N239" t="s">
        <v>26</v>
      </c>
      <c r="O239">
        <v>4</v>
      </c>
    </row>
    <row r="240" spans="1:15">
      <c r="A240" t="s">
        <v>1423</v>
      </c>
      <c r="B240" t="s">
        <v>1424</v>
      </c>
      <c r="C240" t="s">
        <v>828</v>
      </c>
      <c r="D240" t="s">
        <v>321</v>
      </c>
      <c r="E240" t="s">
        <v>1425</v>
      </c>
      <c r="F240" t="s">
        <v>1426</v>
      </c>
      <c r="G240">
        <v>20</v>
      </c>
      <c r="H240" t="s">
        <v>21</v>
      </c>
      <c r="I240" t="s">
        <v>179</v>
      </c>
      <c r="J240" t="s">
        <v>179</v>
      </c>
      <c r="K240" t="s">
        <v>24</v>
      </c>
      <c r="L240" t="s">
        <v>1427</v>
      </c>
      <c r="M240" s="1">
        <v>44352</v>
      </c>
      <c r="N240" t="s">
        <v>26</v>
      </c>
      <c r="O240">
        <v>5</v>
      </c>
    </row>
    <row r="241" spans="1:15">
      <c r="A241" t="s">
        <v>1428</v>
      </c>
      <c r="B241" t="s">
        <v>1429</v>
      </c>
      <c r="C241" t="s">
        <v>868</v>
      </c>
      <c r="D241" t="s">
        <v>30</v>
      </c>
      <c r="E241" t="s">
        <v>1430</v>
      </c>
      <c r="F241" t="s">
        <v>1431</v>
      </c>
      <c r="G241">
        <v>50</v>
      </c>
      <c r="H241" t="s">
        <v>21</v>
      </c>
      <c r="I241" t="s">
        <v>241</v>
      </c>
      <c r="J241" t="s">
        <v>187</v>
      </c>
      <c r="K241" t="s">
        <v>188</v>
      </c>
      <c r="L241" t="s">
        <v>1432</v>
      </c>
      <c r="M241" s="1">
        <v>43972</v>
      </c>
      <c r="N241" t="s">
        <v>48</v>
      </c>
      <c r="O241">
        <v>6</v>
      </c>
    </row>
    <row r="242" spans="1:15">
      <c r="A242" t="s">
        <v>1433</v>
      </c>
      <c r="B242" t="s">
        <v>1434</v>
      </c>
      <c r="C242" t="s">
        <v>897</v>
      </c>
      <c r="D242" t="s">
        <v>521</v>
      </c>
      <c r="E242" t="s">
        <v>1435</v>
      </c>
      <c r="F242" t="s">
        <v>1436</v>
      </c>
      <c r="G242">
        <v>44</v>
      </c>
      <c r="H242" t="s">
        <v>43</v>
      </c>
      <c r="I242" t="s">
        <v>1019</v>
      </c>
      <c r="J242" t="s">
        <v>197</v>
      </c>
      <c r="K242" t="s">
        <v>24</v>
      </c>
      <c r="L242" t="s">
        <v>1437</v>
      </c>
      <c r="M242" s="1">
        <v>44597</v>
      </c>
      <c r="N242" t="s">
        <v>118</v>
      </c>
      <c r="O242">
        <v>4</v>
      </c>
    </row>
    <row r="243" spans="1:15">
      <c r="A243" t="s">
        <v>1438</v>
      </c>
      <c r="B243" t="s">
        <v>1439</v>
      </c>
      <c r="C243" t="s">
        <v>230</v>
      </c>
      <c r="D243" t="s">
        <v>398</v>
      </c>
      <c r="E243" t="s">
        <v>1440</v>
      </c>
      <c r="F243" t="s">
        <v>1441</v>
      </c>
      <c r="G243">
        <v>31</v>
      </c>
      <c r="H243" t="s">
        <v>55</v>
      </c>
      <c r="I243" t="s">
        <v>1019</v>
      </c>
      <c r="J243" t="s">
        <v>197</v>
      </c>
      <c r="K243" t="s">
        <v>24</v>
      </c>
      <c r="L243" t="s">
        <v>1442</v>
      </c>
      <c r="M243" s="1">
        <v>44073</v>
      </c>
      <c r="N243" t="s">
        <v>118</v>
      </c>
      <c r="O243">
        <v>6</v>
      </c>
    </row>
    <row r="244" spans="1:15">
      <c r="A244" t="s">
        <v>1443</v>
      </c>
      <c r="B244" t="s">
        <v>1444</v>
      </c>
      <c r="C244" t="s">
        <v>557</v>
      </c>
      <c r="D244" t="s">
        <v>162</v>
      </c>
      <c r="E244" t="s">
        <v>1445</v>
      </c>
      <c r="F244" t="s">
        <v>1446</v>
      </c>
      <c r="G244">
        <v>54</v>
      </c>
      <c r="H244" t="s">
        <v>43</v>
      </c>
      <c r="I244" t="s">
        <v>374</v>
      </c>
      <c r="J244" t="s">
        <v>197</v>
      </c>
      <c r="K244" t="s">
        <v>24</v>
      </c>
      <c r="L244" t="s">
        <v>1447</v>
      </c>
      <c r="M244" s="1">
        <v>45210</v>
      </c>
      <c r="N244" t="s">
        <v>26</v>
      </c>
      <c r="O244">
        <v>3</v>
      </c>
    </row>
    <row r="245" spans="1:15">
      <c r="A245" t="s">
        <v>1448</v>
      </c>
      <c r="B245" t="s">
        <v>799</v>
      </c>
      <c r="C245" t="s">
        <v>230</v>
      </c>
      <c r="D245" t="s">
        <v>527</v>
      </c>
      <c r="E245" t="s">
        <v>1449</v>
      </c>
      <c r="F245" t="s">
        <v>1450</v>
      </c>
      <c r="G245">
        <v>27</v>
      </c>
      <c r="H245" t="s">
        <v>21</v>
      </c>
      <c r="I245" t="s">
        <v>290</v>
      </c>
      <c r="J245" t="s">
        <v>197</v>
      </c>
      <c r="K245" t="s">
        <v>24</v>
      </c>
      <c r="L245" t="s">
        <v>1451</v>
      </c>
      <c r="M245" s="1">
        <v>44217</v>
      </c>
      <c r="N245" t="s">
        <v>118</v>
      </c>
      <c r="O245">
        <v>5</v>
      </c>
    </row>
    <row r="246" spans="1:15">
      <c r="A246" t="s">
        <v>1452</v>
      </c>
      <c r="B246" t="s">
        <v>1453</v>
      </c>
      <c r="C246" t="s">
        <v>1454</v>
      </c>
      <c r="D246" t="s">
        <v>97</v>
      </c>
      <c r="E246" t="s">
        <v>1455</v>
      </c>
      <c r="F246" t="s">
        <v>1456</v>
      </c>
      <c r="G246">
        <v>22</v>
      </c>
      <c r="H246" t="s">
        <v>43</v>
      </c>
      <c r="I246" t="s">
        <v>388</v>
      </c>
      <c r="J246" t="s">
        <v>75</v>
      </c>
      <c r="K246" t="s">
        <v>76</v>
      </c>
      <c r="L246" t="s">
        <v>1457</v>
      </c>
      <c r="M246" s="1">
        <v>44037</v>
      </c>
      <c r="N246" t="s">
        <v>26</v>
      </c>
      <c r="O246">
        <v>6</v>
      </c>
    </row>
    <row r="247" spans="1:15">
      <c r="A247" t="s">
        <v>1458</v>
      </c>
      <c r="B247" t="s">
        <v>1459</v>
      </c>
      <c r="C247" t="s">
        <v>504</v>
      </c>
      <c r="D247" t="s">
        <v>281</v>
      </c>
      <c r="E247" t="s">
        <v>1460</v>
      </c>
      <c r="F247" t="s">
        <v>1461</v>
      </c>
      <c r="G247">
        <v>34</v>
      </c>
      <c r="H247" t="s">
        <v>55</v>
      </c>
      <c r="I247" t="s">
        <v>186</v>
      </c>
      <c r="J247" t="s">
        <v>187</v>
      </c>
      <c r="K247" t="s">
        <v>188</v>
      </c>
      <c r="L247" t="s">
        <v>1462</v>
      </c>
      <c r="M247" s="1">
        <v>44729</v>
      </c>
      <c r="N247" t="s">
        <v>48</v>
      </c>
      <c r="O247">
        <v>4</v>
      </c>
    </row>
    <row r="248" spans="1:15">
      <c r="A248" t="s">
        <v>1463</v>
      </c>
      <c r="B248" t="s">
        <v>1464</v>
      </c>
      <c r="C248" t="s">
        <v>170</v>
      </c>
      <c r="D248" t="s">
        <v>472</v>
      </c>
      <c r="E248" t="s">
        <v>1465</v>
      </c>
      <c r="F248" t="s">
        <v>1466</v>
      </c>
      <c r="G248">
        <v>40</v>
      </c>
      <c r="H248" t="s">
        <v>55</v>
      </c>
      <c r="I248" t="s">
        <v>234</v>
      </c>
      <c r="J248" t="s">
        <v>221</v>
      </c>
      <c r="K248" t="s">
        <v>24</v>
      </c>
      <c r="L248" t="s">
        <v>1467</v>
      </c>
      <c r="M248" s="1">
        <v>45501</v>
      </c>
      <c r="N248" t="s">
        <v>26</v>
      </c>
      <c r="O248">
        <v>2</v>
      </c>
    </row>
    <row r="249" spans="1:15">
      <c r="A249" t="s">
        <v>1468</v>
      </c>
      <c r="B249" t="s">
        <v>1469</v>
      </c>
      <c r="C249" t="s">
        <v>96</v>
      </c>
      <c r="D249" t="s">
        <v>255</v>
      </c>
      <c r="E249" t="s">
        <v>1470</v>
      </c>
      <c r="F249" t="s">
        <v>1471</v>
      </c>
      <c r="G249">
        <v>34</v>
      </c>
      <c r="H249" t="s">
        <v>43</v>
      </c>
      <c r="I249" t="s">
        <v>290</v>
      </c>
      <c r="J249" t="s">
        <v>197</v>
      </c>
      <c r="K249" t="s">
        <v>24</v>
      </c>
      <c r="L249" t="s">
        <v>1472</v>
      </c>
      <c r="M249" s="1">
        <v>44898</v>
      </c>
      <c r="N249" t="s">
        <v>48</v>
      </c>
      <c r="O249">
        <v>4</v>
      </c>
    </row>
    <row r="250" spans="1:15">
      <c r="A250" t="s">
        <v>1473</v>
      </c>
      <c r="B250" t="s">
        <v>1474</v>
      </c>
      <c r="C250" t="s">
        <v>570</v>
      </c>
      <c r="D250" t="s">
        <v>605</v>
      </c>
      <c r="E250" t="s">
        <v>1475</v>
      </c>
      <c r="F250" t="s">
        <v>1476</v>
      </c>
      <c r="G250">
        <v>55</v>
      </c>
      <c r="H250" t="s">
        <v>43</v>
      </c>
      <c r="I250" t="s">
        <v>608</v>
      </c>
      <c r="J250" t="s">
        <v>609</v>
      </c>
      <c r="K250" t="s">
        <v>35</v>
      </c>
      <c r="L250" t="s">
        <v>1477</v>
      </c>
      <c r="M250" s="1">
        <v>44705</v>
      </c>
      <c r="N250" t="s">
        <v>48</v>
      </c>
      <c r="O250">
        <v>4</v>
      </c>
    </row>
    <row r="251" spans="1:15">
      <c r="A251" t="s">
        <v>1478</v>
      </c>
      <c r="B251" t="s">
        <v>1479</v>
      </c>
      <c r="C251" t="s">
        <v>359</v>
      </c>
      <c r="D251" t="s">
        <v>135</v>
      </c>
      <c r="E251" t="s">
        <v>1480</v>
      </c>
      <c r="F251" t="s">
        <v>1481</v>
      </c>
      <c r="G251">
        <v>46</v>
      </c>
      <c r="H251" t="s">
        <v>21</v>
      </c>
      <c r="I251" t="s">
        <v>100</v>
      </c>
      <c r="J251" t="s">
        <v>57</v>
      </c>
      <c r="K251" t="s">
        <v>46</v>
      </c>
      <c r="L251" t="s">
        <v>1482</v>
      </c>
      <c r="M251" s="1">
        <v>44683</v>
      </c>
      <c r="N251" t="s">
        <v>48</v>
      </c>
      <c r="O251">
        <v>4</v>
      </c>
    </row>
    <row r="252" spans="1:15">
      <c r="A252" t="s">
        <v>1483</v>
      </c>
      <c r="B252" t="s">
        <v>1484</v>
      </c>
      <c r="C252" t="s">
        <v>230</v>
      </c>
      <c r="D252" t="s">
        <v>521</v>
      </c>
      <c r="E252" t="s">
        <v>1485</v>
      </c>
      <c r="F252" t="s">
        <v>1486</v>
      </c>
      <c r="G252">
        <v>29</v>
      </c>
      <c r="H252" t="s">
        <v>43</v>
      </c>
      <c r="I252" t="s">
        <v>74</v>
      </c>
      <c r="J252" t="s">
        <v>75</v>
      </c>
      <c r="K252" t="s">
        <v>76</v>
      </c>
      <c r="L252" t="s">
        <v>1487</v>
      </c>
      <c r="M252" s="1">
        <v>45587</v>
      </c>
      <c r="N252" t="s">
        <v>48</v>
      </c>
      <c r="O252">
        <v>2</v>
      </c>
    </row>
    <row r="253" spans="1:15">
      <c r="A253" t="s">
        <v>1488</v>
      </c>
      <c r="B253" t="s">
        <v>1489</v>
      </c>
      <c r="C253" t="s">
        <v>416</v>
      </c>
      <c r="D253" t="s">
        <v>546</v>
      </c>
      <c r="E253" t="s">
        <v>1490</v>
      </c>
      <c r="F253" t="s">
        <v>1491</v>
      </c>
      <c r="G253">
        <v>36</v>
      </c>
      <c r="H253" t="s">
        <v>21</v>
      </c>
      <c r="I253" t="s">
        <v>22</v>
      </c>
      <c r="J253" t="s">
        <v>23</v>
      </c>
      <c r="K253" t="s">
        <v>24</v>
      </c>
      <c r="L253" t="s">
        <v>1492</v>
      </c>
      <c r="M253" s="1">
        <v>44328</v>
      </c>
      <c r="N253" t="s">
        <v>48</v>
      </c>
      <c r="O253">
        <v>5</v>
      </c>
    </row>
    <row r="254" spans="1:15">
      <c r="A254" t="s">
        <v>1493</v>
      </c>
      <c r="B254" t="s">
        <v>1494</v>
      </c>
      <c r="C254" t="s">
        <v>1220</v>
      </c>
      <c r="D254" t="s">
        <v>398</v>
      </c>
      <c r="E254" t="s">
        <v>1495</v>
      </c>
      <c r="F254" t="s">
        <v>1496</v>
      </c>
      <c r="G254">
        <v>32</v>
      </c>
      <c r="H254" t="s">
        <v>21</v>
      </c>
      <c r="I254" t="s">
        <v>65</v>
      </c>
      <c r="J254" t="s">
        <v>66</v>
      </c>
      <c r="K254" t="s">
        <v>35</v>
      </c>
      <c r="L254" t="s">
        <v>1497</v>
      </c>
      <c r="M254" s="1">
        <v>45314</v>
      </c>
      <c r="N254" t="s">
        <v>48</v>
      </c>
      <c r="O254">
        <v>2</v>
      </c>
    </row>
    <row r="255" spans="1:15">
      <c r="A255" t="s">
        <v>1498</v>
      </c>
      <c r="B255" t="s">
        <v>1499</v>
      </c>
      <c r="C255" t="s">
        <v>230</v>
      </c>
      <c r="D255" t="s">
        <v>255</v>
      </c>
      <c r="E255" t="s">
        <v>1500</v>
      </c>
      <c r="F255" t="s">
        <v>1501</v>
      </c>
      <c r="G255">
        <v>33</v>
      </c>
      <c r="H255" t="s">
        <v>43</v>
      </c>
      <c r="I255" t="s">
        <v>355</v>
      </c>
      <c r="J255" t="s">
        <v>187</v>
      </c>
      <c r="K255" t="s">
        <v>188</v>
      </c>
      <c r="L255" t="s">
        <v>1502</v>
      </c>
      <c r="M255" s="1">
        <v>44975</v>
      </c>
      <c r="N255" t="s">
        <v>48</v>
      </c>
      <c r="O255">
        <v>3</v>
      </c>
    </row>
    <row r="256" spans="1:15">
      <c r="A256" t="s">
        <v>1503</v>
      </c>
      <c r="B256" t="s">
        <v>1504</v>
      </c>
      <c r="C256" t="s">
        <v>351</v>
      </c>
      <c r="D256" t="s">
        <v>454</v>
      </c>
      <c r="E256" t="s">
        <v>1505</v>
      </c>
      <c r="F256" t="s">
        <v>1506</v>
      </c>
      <c r="G256">
        <v>33</v>
      </c>
      <c r="H256" t="s">
        <v>43</v>
      </c>
      <c r="I256" t="s">
        <v>590</v>
      </c>
      <c r="J256" t="s">
        <v>45</v>
      </c>
      <c r="K256" t="s">
        <v>46</v>
      </c>
      <c r="L256" t="s">
        <v>1507</v>
      </c>
      <c r="M256" s="1">
        <v>44327</v>
      </c>
      <c r="N256" t="s">
        <v>48</v>
      </c>
      <c r="O256">
        <v>5</v>
      </c>
    </row>
    <row r="257" spans="1:15">
      <c r="A257" t="s">
        <v>1508</v>
      </c>
      <c r="B257" t="s">
        <v>1509</v>
      </c>
      <c r="C257" t="s">
        <v>1186</v>
      </c>
      <c r="D257" t="s">
        <v>105</v>
      </c>
      <c r="E257" t="s">
        <v>1510</v>
      </c>
      <c r="F257" t="s">
        <v>1511</v>
      </c>
      <c r="G257">
        <v>39</v>
      </c>
      <c r="H257" t="s">
        <v>43</v>
      </c>
      <c r="I257" t="s">
        <v>241</v>
      </c>
      <c r="J257" t="s">
        <v>187</v>
      </c>
      <c r="K257" t="s">
        <v>188</v>
      </c>
      <c r="L257" t="s">
        <v>1512</v>
      </c>
      <c r="M257" s="1">
        <v>44566</v>
      </c>
      <c r="N257" t="s">
        <v>48</v>
      </c>
      <c r="O257">
        <v>4</v>
      </c>
    </row>
    <row r="258" spans="1:15">
      <c r="A258" t="s">
        <v>1513</v>
      </c>
      <c r="B258" t="s">
        <v>1514</v>
      </c>
      <c r="C258" t="s">
        <v>661</v>
      </c>
      <c r="D258" t="s">
        <v>480</v>
      </c>
      <c r="E258" t="s">
        <v>1515</v>
      </c>
      <c r="F258" t="s">
        <v>1516</v>
      </c>
      <c r="G258">
        <v>43</v>
      </c>
      <c r="H258" t="s">
        <v>43</v>
      </c>
      <c r="I258" t="s">
        <v>685</v>
      </c>
      <c r="J258" t="s">
        <v>686</v>
      </c>
      <c r="K258" t="s">
        <v>188</v>
      </c>
      <c r="L258" t="s">
        <v>1517</v>
      </c>
      <c r="M258" s="1">
        <v>44247</v>
      </c>
      <c r="N258" t="s">
        <v>118</v>
      </c>
      <c r="O258">
        <v>5</v>
      </c>
    </row>
    <row r="259" spans="1:15">
      <c r="A259" t="s">
        <v>1518</v>
      </c>
      <c r="B259" t="s">
        <v>1519</v>
      </c>
      <c r="C259" t="s">
        <v>61</v>
      </c>
      <c r="D259" t="s">
        <v>1368</v>
      </c>
      <c r="E259" t="s">
        <v>1520</v>
      </c>
      <c r="F259" t="s">
        <v>1521</v>
      </c>
      <c r="G259">
        <v>46</v>
      </c>
      <c r="H259" t="s">
        <v>43</v>
      </c>
      <c r="I259" t="s">
        <v>179</v>
      </c>
      <c r="J259" t="s">
        <v>179</v>
      </c>
      <c r="K259" t="s">
        <v>24</v>
      </c>
      <c r="L259" t="s">
        <v>1522</v>
      </c>
      <c r="M259" s="1">
        <v>44964</v>
      </c>
      <c r="N259" t="s">
        <v>48</v>
      </c>
      <c r="O259">
        <v>3</v>
      </c>
    </row>
    <row r="260" spans="1:15">
      <c r="A260" t="s">
        <v>1523</v>
      </c>
      <c r="B260" t="s">
        <v>1524</v>
      </c>
      <c r="C260" t="s">
        <v>784</v>
      </c>
      <c r="D260" t="s">
        <v>301</v>
      </c>
      <c r="E260" t="s">
        <v>1525</v>
      </c>
      <c r="F260" t="s">
        <v>1526</v>
      </c>
      <c r="G260">
        <v>41</v>
      </c>
      <c r="H260" t="s">
        <v>43</v>
      </c>
      <c r="I260" t="s">
        <v>226</v>
      </c>
      <c r="J260" t="s">
        <v>226</v>
      </c>
      <c r="K260" t="s">
        <v>24</v>
      </c>
      <c r="L260" t="s">
        <v>1527</v>
      </c>
      <c r="M260" s="1">
        <v>45171</v>
      </c>
      <c r="N260" t="s">
        <v>118</v>
      </c>
      <c r="O260">
        <v>3</v>
      </c>
    </row>
    <row r="261" spans="1:15">
      <c r="A261" t="s">
        <v>1528</v>
      </c>
      <c r="B261" t="s">
        <v>1529</v>
      </c>
      <c r="C261" t="s">
        <v>545</v>
      </c>
      <c r="D261" t="s">
        <v>135</v>
      </c>
      <c r="E261" t="s">
        <v>1530</v>
      </c>
      <c r="F261" t="s">
        <v>1531</v>
      </c>
      <c r="G261">
        <v>54</v>
      </c>
      <c r="H261" t="s">
        <v>43</v>
      </c>
      <c r="I261" t="s">
        <v>316</v>
      </c>
      <c r="J261" t="s">
        <v>197</v>
      </c>
      <c r="K261" t="s">
        <v>24</v>
      </c>
      <c r="L261" t="s">
        <v>1532</v>
      </c>
      <c r="M261" s="1">
        <v>44117</v>
      </c>
      <c r="N261" t="s">
        <v>48</v>
      </c>
      <c r="O261">
        <v>6</v>
      </c>
    </row>
    <row r="262" spans="1:15">
      <c r="A262" t="s">
        <v>1533</v>
      </c>
      <c r="B262" t="s">
        <v>1534</v>
      </c>
      <c r="C262" t="s">
        <v>148</v>
      </c>
      <c r="D262" t="s">
        <v>135</v>
      </c>
      <c r="E262" t="s">
        <v>1535</v>
      </c>
      <c r="F262" t="s">
        <v>1536</v>
      </c>
      <c r="G262">
        <v>20</v>
      </c>
      <c r="H262" t="s">
        <v>43</v>
      </c>
      <c r="I262" t="s">
        <v>270</v>
      </c>
      <c r="J262" t="s">
        <v>271</v>
      </c>
      <c r="K262" t="s">
        <v>188</v>
      </c>
      <c r="L262" t="s">
        <v>1537</v>
      </c>
      <c r="M262" s="1">
        <v>43930</v>
      </c>
      <c r="N262" t="s">
        <v>48</v>
      </c>
      <c r="O262">
        <v>6</v>
      </c>
    </row>
    <row r="263" spans="1:15">
      <c r="A263" t="s">
        <v>1538</v>
      </c>
      <c r="B263" t="s">
        <v>1539</v>
      </c>
      <c r="C263" t="s">
        <v>594</v>
      </c>
      <c r="D263" t="s">
        <v>40</v>
      </c>
      <c r="E263" t="s">
        <v>1540</v>
      </c>
      <c r="F263" t="s">
        <v>1541</v>
      </c>
      <c r="G263">
        <v>23</v>
      </c>
      <c r="H263" t="s">
        <v>55</v>
      </c>
      <c r="I263" t="s">
        <v>33</v>
      </c>
      <c r="J263" t="s">
        <v>34</v>
      </c>
      <c r="K263" t="s">
        <v>35</v>
      </c>
      <c r="L263" t="s">
        <v>1542</v>
      </c>
      <c r="M263" s="1">
        <v>44595</v>
      </c>
      <c r="N263" t="s">
        <v>26</v>
      </c>
      <c r="O263">
        <v>4</v>
      </c>
    </row>
    <row r="264" spans="1:15">
      <c r="A264" t="s">
        <v>1543</v>
      </c>
      <c r="B264" t="s">
        <v>1544</v>
      </c>
      <c r="C264" t="s">
        <v>762</v>
      </c>
      <c r="D264" t="s">
        <v>261</v>
      </c>
      <c r="E264" t="s">
        <v>1545</v>
      </c>
      <c r="F264" t="s">
        <v>1546</v>
      </c>
      <c r="G264">
        <v>21</v>
      </c>
      <c r="H264" t="s">
        <v>55</v>
      </c>
      <c r="I264" t="s">
        <v>541</v>
      </c>
      <c r="J264" t="s">
        <v>271</v>
      </c>
      <c r="K264" t="s">
        <v>188</v>
      </c>
      <c r="L264" t="s">
        <v>1547</v>
      </c>
      <c r="M264" s="1">
        <v>43855</v>
      </c>
      <c r="N264" t="s">
        <v>48</v>
      </c>
      <c r="O264">
        <v>6</v>
      </c>
    </row>
    <row r="265" spans="1:15">
      <c r="A265" t="s">
        <v>1548</v>
      </c>
      <c r="B265" t="s">
        <v>1549</v>
      </c>
      <c r="C265" t="s">
        <v>89</v>
      </c>
      <c r="D265" t="s">
        <v>238</v>
      </c>
      <c r="E265" t="s">
        <v>1550</v>
      </c>
      <c r="F265" t="s">
        <v>1551</v>
      </c>
      <c r="G265">
        <v>31</v>
      </c>
      <c r="H265" t="s">
        <v>21</v>
      </c>
      <c r="I265" t="s">
        <v>368</v>
      </c>
      <c r="J265" t="s">
        <v>57</v>
      </c>
      <c r="K265" t="s">
        <v>46</v>
      </c>
      <c r="L265" t="s">
        <v>1552</v>
      </c>
      <c r="M265" s="1">
        <v>45482</v>
      </c>
      <c r="N265" t="s">
        <v>48</v>
      </c>
      <c r="O265">
        <v>2</v>
      </c>
    </row>
    <row r="266" spans="1:15">
      <c r="A266" t="s">
        <v>1553</v>
      </c>
      <c r="B266" t="s">
        <v>1554</v>
      </c>
      <c r="C266" t="s">
        <v>557</v>
      </c>
      <c r="D266" t="s">
        <v>440</v>
      </c>
      <c r="E266" t="s">
        <v>1555</v>
      </c>
      <c r="F266" t="s">
        <v>1556</v>
      </c>
      <c r="G266">
        <v>45</v>
      </c>
      <c r="H266" t="s">
        <v>21</v>
      </c>
      <c r="I266" t="s">
        <v>165</v>
      </c>
      <c r="J266" t="s">
        <v>166</v>
      </c>
      <c r="K266" t="s">
        <v>35</v>
      </c>
      <c r="L266" t="s">
        <v>1557</v>
      </c>
      <c r="M266" s="1">
        <v>44378</v>
      </c>
      <c r="N266" t="s">
        <v>48</v>
      </c>
      <c r="O266">
        <v>5</v>
      </c>
    </row>
    <row r="267" spans="1:15">
      <c r="A267" t="s">
        <v>1558</v>
      </c>
      <c r="B267" t="s">
        <v>1559</v>
      </c>
      <c r="C267" t="s">
        <v>209</v>
      </c>
      <c r="D267" t="s">
        <v>128</v>
      </c>
      <c r="E267" t="s">
        <v>1560</v>
      </c>
      <c r="F267" t="s">
        <v>1561</v>
      </c>
      <c r="G267">
        <v>25</v>
      </c>
      <c r="H267" t="s">
        <v>21</v>
      </c>
      <c r="I267" t="s">
        <v>74</v>
      </c>
      <c r="J267" t="s">
        <v>75</v>
      </c>
      <c r="K267" t="s">
        <v>76</v>
      </c>
      <c r="L267" t="s">
        <v>1562</v>
      </c>
      <c r="M267" s="1">
        <v>45231</v>
      </c>
      <c r="N267" t="s">
        <v>48</v>
      </c>
      <c r="O267">
        <v>3</v>
      </c>
    </row>
    <row r="268" spans="1:15">
      <c r="A268" t="s">
        <v>1563</v>
      </c>
      <c r="B268" t="s">
        <v>1564</v>
      </c>
      <c r="C268" t="s">
        <v>209</v>
      </c>
      <c r="D268" t="s">
        <v>924</v>
      </c>
      <c r="E268" t="s">
        <v>1565</v>
      </c>
      <c r="F268" t="s">
        <v>1566</v>
      </c>
      <c r="G268">
        <v>30</v>
      </c>
      <c r="H268" t="s">
        <v>21</v>
      </c>
      <c r="I268" t="s">
        <v>608</v>
      </c>
      <c r="J268" t="s">
        <v>609</v>
      </c>
      <c r="K268" t="s">
        <v>35</v>
      </c>
      <c r="L268" t="s">
        <v>1567</v>
      </c>
      <c r="M268" s="1">
        <v>45270</v>
      </c>
      <c r="N268" t="s">
        <v>118</v>
      </c>
      <c r="O268">
        <v>3</v>
      </c>
    </row>
    <row r="269" spans="1:15">
      <c r="A269" t="s">
        <v>1568</v>
      </c>
      <c r="B269" t="s">
        <v>1569</v>
      </c>
      <c r="C269" t="s">
        <v>520</v>
      </c>
      <c r="D269" t="s">
        <v>135</v>
      </c>
      <c r="E269" t="s">
        <v>1570</v>
      </c>
      <c r="F269" t="s">
        <v>1571</v>
      </c>
      <c r="G269">
        <v>33</v>
      </c>
      <c r="H269" t="s">
        <v>55</v>
      </c>
      <c r="I269" t="s">
        <v>742</v>
      </c>
      <c r="J269" t="s">
        <v>57</v>
      </c>
      <c r="K269" t="s">
        <v>46</v>
      </c>
      <c r="L269" t="s">
        <v>1572</v>
      </c>
      <c r="M269" s="1">
        <v>44301</v>
      </c>
      <c r="N269" t="s">
        <v>118</v>
      </c>
      <c r="O269">
        <v>5</v>
      </c>
    </row>
    <row r="270" spans="1:15">
      <c r="A270" t="s">
        <v>1573</v>
      </c>
      <c r="B270" t="s">
        <v>1574</v>
      </c>
      <c r="C270" t="s">
        <v>460</v>
      </c>
      <c r="D270" t="s">
        <v>30</v>
      </c>
      <c r="E270" t="s">
        <v>1575</v>
      </c>
      <c r="F270" t="s">
        <v>1576</v>
      </c>
      <c r="G270">
        <v>22</v>
      </c>
      <c r="H270" t="s">
        <v>21</v>
      </c>
      <c r="I270" t="s">
        <v>241</v>
      </c>
      <c r="J270" t="s">
        <v>187</v>
      </c>
      <c r="K270" t="s">
        <v>188</v>
      </c>
      <c r="L270" t="s">
        <v>1577</v>
      </c>
      <c r="M270" s="1">
        <v>45178</v>
      </c>
      <c r="N270" t="s">
        <v>48</v>
      </c>
      <c r="O270">
        <v>3</v>
      </c>
    </row>
    <row r="271" spans="1:15">
      <c r="A271" t="s">
        <v>1578</v>
      </c>
      <c r="B271" t="s">
        <v>1579</v>
      </c>
      <c r="C271" t="s">
        <v>852</v>
      </c>
      <c r="D271" t="s">
        <v>946</v>
      </c>
      <c r="E271" t="s">
        <v>1580</v>
      </c>
      <c r="F271" t="s">
        <v>1581</v>
      </c>
      <c r="G271">
        <v>30</v>
      </c>
      <c r="H271" t="s">
        <v>55</v>
      </c>
      <c r="I271" t="s">
        <v>115</v>
      </c>
      <c r="J271" t="s">
        <v>116</v>
      </c>
      <c r="K271" t="s">
        <v>24</v>
      </c>
      <c r="L271" t="s">
        <v>1582</v>
      </c>
      <c r="M271" s="1">
        <v>44443</v>
      </c>
      <c r="N271" t="s">
        <v>48</v>
      </c>
      <c r="O271">
        <v>5</v>
      </c>
    </row>
    <row r="272" spans="1:15">
      <c r="A272" t="s">
        <v>1583</v>
      </c>
      <c r="B272" t="s">
        <v>1584</v>
      </c>
      <c r="C272" t="s">
        <v>533</v>
      </c>
      <c r="D272" t="s">
        <v>447</v>
      </c>
      <c r="E272" t="s">
        <v>1585</v>
      </c>
      <c r="F272" t="s">
        <v>1586</v>
      </c>
      <c r="G272">
        <v>28</v>
      </c>
      <c r="H272" t="s">
        <v>21</v>
      </c>
      <c r="I272" t="s">
        <v>714</v>
      </c>
      <c r="J272" t="s">
        <v>271</v>
      </c>
      <c r="K272" t="s">
        <v>188</v>
      </c>
      <c r="L272" t="s">
        <v>1587</v>
      </c>
      <c r="M272" s="1">
        <v>45378</v>
      </c>
      <c r="N272" t="s">
        <v>26</v>
      </c>
      <c r="O272">
        <v>2</v>
      </c>
    </row>
    <row r="273" spans="1:15">
      <c r="A273" t="s">
        <v>1588</v>
      </c>
      <c r="B273" t="s">
        <v>1589</v>
      </c>
      <c r="C273" t="s">
        <v>570</v>
      </c>
      <c r="D273" t="s">
        <v>558</v>
      </c>
      <c r="E273" t="s">
        <v>1590</v>
      </c>
      <c r="F273" t="s">
        <v>1591</v>
      </c>
      <c r="G273">
        <v>45</v>
      </c>
      <c r="H273" t="s">
        <v>43</v>
      </c>
      <c r="I273" t="s">
        <v>270</v>
      </c>
      <c r="J273" t="s">
        <v>271</v>
      </c>
      <c r="K273" t="s">
        <v>188</v>
      </c>
      <c r="L273" t="s">
        <v>1592</v>
      </c>
      <c r="M273" s="1">
        <v>45070</v>
      </c>
      <c r="N273" t="s">
        <v>48</v>
      </c>
      <c r="O273">
        <v>3</v>
      </c>
    </row>
    <row r="274" spans="1:15">
      <c r="A274" t="s">
        <v>1593</v>
      </c>
      <c r="B274" t="s">
        <v>1594</v>
      </c>
      <c r="C274" t="s">
        <v>17</v>
      </c>
      <c r="D274" t="s">
        <v>217</v>
      </c>
      <c r="E274" t="s">
        <v>1595</v>
      </c>
      <c r="F274" t="s">
        <v>1596</v>
      </c>
      <c r="G274">
        <v>47</v>
      </c>
      <c r="H274" t="s">
        <v>21</v>
      </c>
      <c r="I274" t="s">
        <v>316</v>
      </c>
      <c r="J274" t="s">
        <v>197</v>
      </c>
      <c r="K274" t="s">
        <v>24</v>
      </c>
      <c r="L274" t="s">
        <v>1597</v>
      </c>
      <c r="M274" s="1">
        <v>44599</v>
      </c>
      <c r="N274" t="s">
        <v>26</v>
      </c>
      <c r="O274">
        <v>4</v>
      </c>
    </row>
    <row r="275" spans="1:15">
      <c r="A275" t="s">
        <v>1598</v>
      </c>
      <c r="B275" t="s">
        <v>1599</v>
      </c>
      <c r="C275" t="s">
        <v>344</v>
      </c>
      <c r="D275" t="s">
        <v>924</v>
      </c>
      <c r="E275" t="s">
        <v>1600</v>
      </c>
      <c r="F275" t="s">
        <v>1601</v>
      </c>
      <c r="G275">
        <v>29</v>
      </c>
      <c r="H275" t="s">
        <v>43</v>
      </c>
      <c r="I275" t="s">
        <v>270</v>
      </c>
      <c r="J275" t="s">
        <v>271</v>
      </c>
      <c r="K275" t="s">
        <v>188</v>
      </c>
      <c r="L275" t="s">
        <v>1602</v>
      </c>
      <c r="M275" s="1">
        <v>44379</v>
      </c>
      <c r="N275" t="s">
        <v>48</v>
      </c>
      <c r="O275">
        <v>5</v>
      </c>
    </row>
    <row r="276" spans="1:15">
      <c r="A276" t="s">
        <v>1603</v>
      </c>
      <c r="B276" t="s">
        <v>1604</v>
      </c>
      <c r="C276" t="s">
        <v>957</v>
      </c>
      <c r="D276" t="s">
        <v>924</v>
      </c>
      <c r="E276" t="s">
        <v>1605</v>
      </c>
      <c r="F276" t="s">
        <v>1606</v>
      </c>
      <c r="G276">
        <v>43</v>
      </c>
      <c r="H276" t="s">
        <v>43</v>
      </c>
      <c r="I276" t="s">
        <v>131</v>
      </c>
      <c r="J276" t="s">
        <v>57</v>
      </c>
      <c r="K276" t="s">
        <v>46</v>
      </c>
      <c r="L276" t="s">
        <v>1607</v>
      </c>
      <c r="M276" s="1">
        <v>44741</v>
      </c>
      <c r="N276" t="s">
        <v>48</v>
      </c>
      <c r="O276">
        <v>4</v>
      </c>
    </row>
    <row r="277" spans="1:15">
      <c r="A277" t="s">
        <v>1608</v>
      </c>
      <c r="B277" t="s">
        <v>1609</v>
      </c>
      <c r="C277" t="s">
        <v>313</v>
      </c>
      <c r="D277" t="s">
        <v>398</v>
      </c>
      <c r="E277" t="s">
        <v>1610</v>
      </c>
      <c r="F277" t="s">
        <v>1611</v>
      </c>
      <c r="G277">
        <v>26</v>
      </c>
      <c r="H277" t="s">
        <v>21</v>
      </c>
      <c r="I277" t="s">
        <v>541</v>
      </c>
      <c r="J277" t="s">
        <v>271</v>
      </c>
      <c r="K277" t="s">
        <v>188</v>
      </c>
      <c r="L277" t="s">
        <v>1612</v>
      </c>
      <c r="M277" s="1">
        <v>44666</v>
      </c>
      <c r="N277" t="s">
        <v>48</v>
      </c>
      <c r="O277">
        <v>4</v>
      </c>
    </row>
    <row r="278" spans="1:15">
      <c r="A278" t="s">
        <v>1613</v>
      </c>
      <c r="B278" t="s">
        <v>1614</v>
      </c>
      <c r="C278" t="s">
        <v>453</v>
      </c>
      <c r="D278" t="s">
        <v>321</v>
      </c>
      <c r="E278" t="s">
        <v>1615</v>
      </c>
      <c r="F278" t="s">
        <v>1616</v>
      </c>
      <c r="G278">
        <v>46</v>
      </c>
      <c r="H278" t="s">
        <v>43</v>
      </c>
      <c r="I278" t="s">
        <v>475</v>
      </c>
      <c r="J278" t="s">
        <v>197</v>
      </c>
      <c r="K278" t="s">
        <v>24</v>
      </c>
      <c r="L278" t="s">
        <v>1617</v>
      </c>
      <c r="M278" s="1">
        <v>44428</v>
      </c>
      <c r="N278" t="s">
        <v>48</v>
      </c>
      <c r="O278">
        <v>5</v>
      </c>
    </row>
    <row r="279" spans="1:15">
      <c r="A279" t="s">
        <v>1618</v>
      </c>
      <c r="B279" t="s">
        <v>1619</v>
      </c>
      <c r="C279" t="s">
        <v>545</v>
      </c>
      <c r="D279" t="s">
        <v>422</v>
      </c>
      <c r="E279" t="s">
        <v>1620</v>
      </c>
      <c r="F279" t="s">
        <v>1621</v>
      </c>
      <c r="G279">
        <v>44</v>
      </c>
      <c r="H279" t="s">
        <v>21</v>
      </c>
      <c r="I279" t="s">
        <v>742</v>
      </c>
      <c r="J279" t="s">
        <v>57</v>
      </c>
      <c r="K279" t="s">
        <v>46</v>
      </c>
      <c r="L279" t="s">
        <v>1622</v>
      </c>
      <c r="M279" s="1">
        <v>45234</v>
      </c>
      <c r="N279" t="s">
        <v>48</v>
      </c>
      <c r="O279">
        <v>3</v>
      </c>
    </row>
    <row r="280" spans="1:15">
      <c r="A280" t="s">
        <v>1623</v>
      </c>
      <c r="B280" t="s">
        <v>1624</v>
      </c>
      <c r="C280" t="s">
        <v>460</v>
      </c>
      <c r="D280" t="s">
        <v>454</v>
      </c>
      <c r="E280" t="s">
        <v>1625</v>
      </c>
      <c r="F280" t="s">
        <v>1626</v>
      </c>
      <c r="G280">
        <v>46</v>
      </c>
      <c r="H280" t="s">
        <v>43</v>
      </c>
      <c r="I280" t="s">
        <v>44</v>
      </c>
      <c r="J280" t="s">
        <v>45</v>
      </c>
      <c r="K280" t="s">
        <v>46</v>
      </c>
      <c r="L280" t="s">
        <v>1627</v>
      </c>
      <c r="M280" s="1">
        <v>44396</v>
      </c>
      <c r="N280" t="s">
        <v>118</v>
      </c>
      <c r="O280">
        <v>5</v>
      </c>
    </row>
    <row r="281" spans="1:15">
      <c r="A281" t="s">
        <v>1628</v>
      </c>
      <c r="B281" t="s">
        <v>1629</v>
      </c>
      <c r="C281" t="s">
        <v>868</v>
      </c>
      <c r="D281" t="s">
        <v>81</v>
      </c>
      <c r="E281" t="s">
        <v>1630</v>
      </c>
      <c r="F281" t="s">
        <v>1631</v>
      </c>
      <c r="G281">
        <v>32</v>
      </c>
      <c r="H281" t="s">
        <v>43</v>
      </c>
      <c r="I281" t="s">
        <v>226</v>
      </c>
      <c r="J281" t="s">
        <v>226</v>
      </c>
      <c r="K281" t="s">
        <v>24</v>
      </c>
      <c r="L281" t="s">
        <v>1632</v>
      </c>
      <c r="M281" s="1">
        <v>45093</v>
      </c>
      <c r="N281" t="s">
        <v>48</v>
      </c>
      <c r="O281">
        <v>3</v>
      </c>
    </row>
    <row r="282" spans="1:15">
      <c r="A282" t="s">
        <v>1633</v>
      </c>
      <c r="B282" t="s">
        <v>1634</v>
      </c>
      <c r="C282" t="s">
        <v>287</v>
      </c>
      <c r="D282" t="s">
        <v>454</v>
      </c>
      <c r="E282" t="s">
        <v>1635</v>
      </c>
      <c r="F282" t="s">
        <v>1636</v>
      </c>
      <c r="G282">
        <v>41</v>
      </c>
      <c r="H282" t="s">
        <v>43</v>
      </c>
      <c r="I282" t="s">
        <v>475</v>
      </c>
      <c r="J282" t="s">
        <v>197</v>
      </c>
      <c r="K282" t="s">
        <v>24</v>
      </c>
      <c r="L282" t="s">
        <v>1637</v>
      </c>
      <c r="M282" s="1">
        <v>44732</v>
      </c>
      <c r="N282" t="s">
        <v>26</v>
      </c>
      <c r="O282">
        <v>4</v>
      </c>
    </row>
    <row r="283" spans="1:15">
      <c r="A283" t="s">
        <v>1638</v>
      </c>
      <c r="B283" t="s">
        <v>1634</v>
      </c>
      <c r="C283" t="s">
        <v>287</v>
      </c>
      <c r="D283" t="s">
        <v>454</v>
      </c>
      <c r="E283" t="s">
        <v>1639</v>
      </c>
      <c r="F283" t="s">
        <v>1640</v>
      </c>
      <c r="G283">
        <v>45</v>
      </c>
      <c r="H283" t="s">
        <v>43</v>
      </c>
      <c r="I283" t="s">
        <v>685</v>
      </c>
      <c r="J283" t="s">
        <v>686</v>
      </c>
      <c r="K283" t="s">
        <v>188</v>
      </c>
      <c r="L283" t="s">
        <v>1641</v>
      </c>
      <c r="M283" s="1">
        <v>44194</v>
      </c>
      <c r="N283" t="s">
        <v>48</v>
      </c>
      <c r="O283">
        <v>6</v>
      </c>
    </row>
    <row r="284" spans="1:15">
      <c r="A284" t="s">
        <v>1642</v>
      </c>
      <c r="B284" t="s">
        <v>1643</v>
      </c>
      <c r="C284" t="s">
        <v>957</v>
      </c>
      <c r="D284" t="s">
        <v>1235</v>
      </c>
      <c r="E284" t="s">
        <v>1644</v>
      </c>
      <c r="F284" t="s">
        <v>1645</v>
      </c>
      <c r="G284">
        <v>37</v>
      </c>
      <c r="H284" t="s">
        <v>43</v>
      </c>
      <c r="I284" t="s">
        <v>324</v>
      </c>
      <c r="J284" t="s">
        <v>325</v>
      </c>
      <c r="K284" t="s">
        <v>188</v>
      </c>
      <c r="L284" t="s">
        <v>1646</v>
      </c>
      <c r="M284" s="1">
        <v>44601</v>
      </c>
      <c r="N284" t="s">
        <v>48</v>
      </c>
      <c r="O284">
        <v>4</v>
      </c>
    </row>
    <row r="285" spans="1:15">
      <c r="A285" t="s">
        <v>1647</v>
      </c>
      <c r="B285" t="s">
        <v>1648</v>
      </c>
      <c r="C285" t="s">
        <v>307</v>
      </c>
      <c r="D285" t="s">
        <v>1368</v>
      </c>
      <c r="E285" t="s">
        <v>1649</v>
      </c>
      <c r="F285" t="s">
        <v>1650</v>
      </c>
      <c r="G285">
        <v>55</v>
      </c>
      <c r="H285" t="s">
        <v>21</v>
      </c>
      <c r="I285" t="s">
        <v>1107</v>
      </c>
      <c r="J285" t="s">
        <v>197</v>
      </c>
      <c r="K285" t="s">
        <v>24</v>
      </c>
      <c r="L285" t="s">
        <v>1651</v>
      </c>
      <c r="M285" s="1">
        <v>45403</v>
      </c>
      <c r="N285" t="s">
        <v>118</v>
      </c>
      <c r="O285">
        <v>2</v>
      </c>
    </row>
    <row r="286" spans="1:15">
      <c r="A286" t="s">
        <v>1652</v>
      </c>
      <c r="B286" t="s">
        <v>1653</v>
      </c>
      <c r="C286" t="s">
        <v>70</v>
      </c>
      <c r="D286" t="s">
        <v>946</v>
      </c>
      <c r="E286" t="s">
        <v>1654</v>
      </c>
      <c r="F286" t="s">
        <v>1655</v>
      </c>
      <c r="G286">
        <v>28</v>
      </c>
      <c r="H286" t="s">
        <v>43</v>
      </c>
      <c r="I286" t="s">
        <v>205</v>
      </c>
      <c r="J286" t="s">
        <v>57</v>
      </c>
      <c r="K286" t="s">
        <v>46</v>
      </c>
      <c r="L286" t="s">
        <v>1656</v>
      </c>
      <c r="M286" s="1">
        <v>44853</v>
      </c>
      <c r="N286" t="s">
        <v>48</v>
      </c>
      <c r="O286">
        <v>4</v>
      </c>
    </row>
    <row r="287" spans="1:15">
      <c r="A287" t="s">
        <v>1657</v>
      </c>
      <c r="B287" t="s">
        <v>1658</v>
      </c>
      <c r="C287" t="s">
        <v>845</v>
      </c>
      <c r="D287" t="s">
        <v>261</v>
      </c>
      <c r="E287" t="s">
        <v>1659</v>
      </c>
      <c r="F287" t="s">
        <v>1660</v>
      </c>
      <c r="G287">
        <v>45</v>
      </c>
      <c r="H287" t="s">
        <v>55</v>
      </c>
      <c r="I287" t="s">
        <v>220</v>
      </c>
      <c r="J287" t="s">
        <v>221</v>
      </c>
      <c r="K287" t="s">
        <v>24</v>
      </c>
      <c r="L287" t="s">
        <v>1661</v>
      </c>
      <c r="M287" s="1">
        <v>44812</v>
      </c>
      <c r="N287" t="s">
        <v>26</v>
      </c>
      <c r="O287">
        <v>4</v>
      </c>
    </row>
    <row r="288" spans="1:15">
      <c r="A288" t="s">
        <v>1662</v>
      </c>
      <c r="B288" t="s">
        <v>1663</v>
      </c>
      <c r="C288" t="s">
        <v>439</v>
      </c>
      <c r="D288" t="s">
        <v>546</v>
      </c>
      <c r="E288" t="s">
        <v>1664</v>
      </c>
      <c r="F288" t="s">
        <v>1665</v>
      </c>
      <c r="G288">
        <v>25</v>
      </c>
      <c r="H288" t="s">
        <v>21</v>
      </c>
      <c r="I288" t="s">
        <v>84</v>
      </c>
      <c r="J288" t="s">
        <v>85</v>
      </c>
      <c r="K288" t="s">
        <v>24</v>
      </c>
      <c r="L288" t="s">
        <v>1666</v>
      </c>
      <c r="M288" s="1">
        <v>45047</v>
      </c>
      <c r="N288" t="s">
        <v>48</v>
      </c>
      <c r="O288">
        <v>3</v>
      </c>
    </row>
    <row r="289" spans="1:15">
      <c r="A289" t="s">
        <v>1667</v>
      </c>
      <c r="B289" t="s">
        <v>1668</v>
      </c>
      <c r="C289" t="s">
        <v>344</v>
      </c>
      <c r="D289" t="s">
        <v>261</v>
      </c>
      <c r="E289" t="s">
        <v>1669</v>
      </c>
      <c r="F289" t="s">
        <v>1670</v>
      </c>
      <c r="G289">
        <v>45</v>
      </c>
      <c r="H289" t="s">
        <v>43</v>
      </c>
      <c r="I289" t="s">
        <v>186</v>
      </c>
      <c r="J289" t="s">
        <v>187</v>
      </c>
      <c r="K289" t="s">
        <v>188</v>
      </c>
      <c r="L289" t="s">
        <v>1671</v>
      </c>
      <c r="M289" s="1">
        <v>45152</v>
      </c>
      <c r="N289" t="s">
        <v>118</v>
      </c>
      <c r="O289">
        <v>3</v>
      </c>
    </row>
    <row r="290" spans="1:15">
      <c r="A290" t="s">
        <v>1672</v>
      </c>
      <c r="B290" t="s">
        <v>1673</v>
      </c>
      <c r="C290" t="s">
        <v>1246</v>
      </c>
      <c r="D290" t="s">
        <v>231</v>
      </c>
      <c r="E290" t="s">
        <v>1674</v>
      </c>
      <c r="F290" t="s">
        <v>1675</v>
      </c>
      <c r="G290">
        <v>34</v>
      </c>
      <c r="H290" t="s">
        <v>43</v>
      </c>
      <c r="I290" t="s">
        <v>742</v>
      </c>
      <c r="J290" t="s">
        <v>57</v>
      </c>
      <c r="K290" t="s">
        <v>46</v>
      </c>
      <c r="L290" t="s">
        <v>1676</v>
      </c>
      <c r="M290" s="1">
        <v>45019</v>
      </c>
      <c r="N290" t="s">
        <v>48</v>
      </c>
      <c r="O290">
        <v>3</v>
      </c>
    </row>
    <row r="291" spans="1:15">
      <c r="A291" t="s">
        <v>1677</v>
      </c>
      <c r="B291" t="s">
        <v>1678</v>
      </c>
      <c r="C291" t="s">
        <v>267</v>
      </c>
      <c r="D291" t="s">
        <v>128</v>
      </c>
      <c r="E291" t="s">
        <v>1679</v>
      </c>
      <c r="F291" t="s">
        <v>1680</v>
      </c>
      <c r="G291">
        <v>50</v>
      </c>
      <c r="H291" t="s">
        <v>21</v>
      </c>
      <c r="I291" t="s">
        <v>290</v>
      </c>
      <c r="J291" t="s">
        <v>197</v>
      </c>
      <c r="K291" t="s">
        <v>24</v>
      </c>
      <c r="L291" t="s">
        <v>1681</v>
      </c>
      <c r="M291" s="1">
        <v>43881</v>
      </c>
      <c r="N291" t="s">
        <v>48</v>
      </c>
      <c r="O291">
        <v>6</v>
      </c>
    </row>
    <row r="292" spans="1:15">
      <c r="A292" t="s">
        <v>1682</v>
      </c>
      <c r="B292" t="s">
        <v>1683</v>
      </c>
      <c r="C292" t="s">
        <v>39</v>
      </c>
      <c r="D292" t="s">
        <v>142</v>
      </c>
      <c r="E292" t="s">
        <v>1684</v>
      </c>
      <c r="F292" t="s">
        <v>1685</v>
      </c>
      <c r="G292">
        <v>41</v>
      </c>
      <c r="H292" t="s">
        <v>43</v>
      </c>
      <c r="I292" t="s">
        <v>290</v>
      </c>
      <c r="J292" t="s">
        <v>197</v>
      </c>
      <c r="K292" t="s">
        <v>24</v>
      </c>
      <c r="L292" t="s">
        <v>1686</v>
      </c>
      <c r="M292" s="1">
        <v>44469</v>
      </c>
      <c r="N292" t="s">
        <v>48</v>
      </c>
      <c r="O292">
        <v>5</v>
      </c>
    </row>
    <row r="293" spans="1:15">
      <c r="A293" t="s">
        <v>1687</v>
      </c>
      <c r="B293" t="s">
        <v>1688</v>
      </c>
      <c r="C293" t="s">
        <v>1287</v>
      </c>
      <c r="D293" t="s">
        <v>246</v>
      </c>
      <c r="E293" t="s">
        <v>1689</v>
      </c>
      <c r="F293" t="s">
        <v>1690</v>
      </c>
      <c r="G293">
        <v>24</v>
      </c>
      <c r="H293" t="s">
        <v>43</v>
      </c>
      <c r="I293" t="s">
        <v>84</v>
      </c>
      <c r="J293" t="s">
        <v>85</v>
      </c>
      <c r="K293" t="s">
        <v>24</v>
      </c>
      <c r="L293" t="s">
        <v>1691</v>
      </c>
      <c r="M293" s="1">
        <v>44484</v>
      </c>
      <c r="N293" t="s">
        <v>48</v>
      </c>
      <c r="O293">
        <v>5</v>
      </c>
    </row>
    <row r="294" spans="1:15">
      <c r="A294" t="s">
        <v>1692</v>
      </c>
      <c r="B294" t="s">
        <v>1693</v>
      </c>
      <c r="C294" t="s">
        <v>70</v>
      </c>
      <c r="D294" t="s">
        <v>18</v>
      </c>
      <c r="E294" t="s">
        <v>1694</v>
      </c>
      <c r="F294" t="s">
        <v>1695</v>
      </c>
      <c r="G294">
        <v>35</v>
      </c>
      <c r="H294" t="s">
        <v>55</v>
      </c>
      <c r="I294" t="s">
        <v>368</v>
      </c>
      <c r="J294" t="s">
        <v>57</v>
      </c>
      <c r="K294" t="s">
        <v>46</v>
      </c>
      <c r="L294" t="s">
        <v>1696</v>
      </c>
      <c r="M294" s="1">
        <v>45347</v>
      </c>
      <c r="N294" t="s">
        <v>48</v>
      </c>
      <c r="O294">
        <v>2</v>
      </c>
    </row>
    <row r="295" spans="1:15">
      <c r="A295" t="s">
        <v>1697</v>
      </c>
      <c r="B295" t="s">
        <v>1698</v>
      </c>
      <c r="C295" t="s">
        <v>1186</v>
      </c>
      <c r="D295" t="s">
        <v>974</v>
      </c>
      <c r="E295" t="s">
        <v>1699</v>
      </c>
      <c r="F295" t="s">
        <v>1700</v>
      </c>
      <c r="G295">
        <v>31</v>
      </c>
      <c r="H295" t="s">
        <v>21</v>
      </c>
      <c r="I295" t="s">
        <v>74</v>
      </c>
      <c r="J295" t="s">
        <v>75</v>
      </c>
      <c r="K295" t="s">
        <v>76</v>
      </c>
      <c r="L295" t="s">
        <v>1701</v>
      </c>
      <c r="M295" s="1">
        <v>45120</v>
      </c>
      <c r="N295" t="s">
        <v>118</v>
      </c>
      <c r="O295">
        <v>3</v>
      </c>
    </row>
    <row r="296" spans="1:15">
      <c r="A296" t="s">
        <v>1702</v>
      </c>
      <c r="B296" t="s">
        <v>1703</v>
      </c>
      <c r="C296" t="s">
        <v>267</v>
      </c>
      <c r="D296" t="s">
        <v>352</v>
      </c>
      <c r="E296" t="s">
        <v>1704</v>
      </c>
      <c r="F296" t="s">
        <v>1705</v>
      </c>
      <c r="G296">
        <v>20</v>
      </c>
      <c r="H296" t="s">
        <v>21</v>
      </c>
      <c r="I296" t="s">
        <v>355</v>
      </c>
      <c r="J296" t="s">
        <v>187</v>
      </c>
      <c r="K296" t="s">
        <v>188</v>
      </c>
      <c r="L296" t="s">
        <v>1706</v>
      </c>
      <c r="M296" s="1">
        <v>44627</v>
      </c>
      <c r="N296" t="s">
        <v>48</v>
      </c>
      <c r="O296">
        <v>4</v>
      </c>
    </row>
    <row r="297" spans="1:15">
      <c r="A297" t="s">
        <v>1707</v>
      </c>
      <c r="B297" t="s">
        <v>1708</v>
      </c>
      <c r="C297" t="s">
        <v>570</v>
      </c>
      <c r="D297" t="s">
        <v>52</v>
      </c>
      <c r="E297" t="s">
        <v>1709</v>
      </c>
      <c r="F297" t="s">
        <v>1710</v>
      </c>
      <c r="G297">
        <v>43</v>
      </c>
      <c r="H297" t="s">
        <v>43</v>
      </c>
      <c r="I297" t="s">
        <v>56</v>
      </c>
      <c r="J297" t="s">
        <v>57</v>
      </c>
      <c r="K297" t="s">
        <v>46</v>
      </c>
      <c r="L297" t="s">
        <v>1711</v>
      </c>
      <c r="M297" s="1">
        <v>44213</v>
      </c>
      <c r="N297" t="s">
        <v>48</v>
      </c>
      <c r="O297">
        <v>5</v>
      </c>
    </row>
    <row r="298" spans="1:15">
      <c r="A298" t="s">
        <v>1712</v>
      </c>
      <c r="B298" t="s">
        <v>1713</v>
      </c>
      <c r="C298" t="s">
        <v>718</v>
      </c>
      <c r="D298" t="s">
        <v>18</v>
      </c>
      <c r="E298" t="s">
        <v>1714</v>
      </c>
      <c r="F298" t="s">
        <v>1715</v>
      </c>
      <c r="G298">
        <v>44</v>
      </c>
      <c r="H298" t="s">
        <v>55</v>
      </c>
      <c r="I298" t="s">
        <v>608</v>
      </c>
      <c r="J298" t="s">
        <v>609</v>
      </c>
      <c r="K298" t="s">
        <v>35</v>
      </c>
      <c r="L298" t="s">
        <v>1716</v>
      </c>
      <c r="M298" s="1">
        <v>45053</v>
      </c>
      <c r="N298" t="s">
        <v>118</v>
      </c>
      <c r="O298">
        <v>3</v>
      </c>
    </row>
    <row r="299" spans="1:15">
      <c r="A299" t="s">
        <v>1717</v>
      </c>
      <c r="B299" t="s">
        <v>1718</v>
      </c>
      <c r="C299" t="s">
        <v>1719</v>
      </c>
      <c r="D299" t="s">
        <v>18</v>
      </c>
      <c r="E299" t="s">
        <v>1720</v>
      </c>
      <c r="F299" t="s">
        <v>1721</v>
      </c>
      <c r="G299">
        <v>39</v>
      </c>
      <c r="H299" t="s">
        <v>55</v>
      </c>
      <c r="I299" t="s">
        <v>1722</v>
      </c>
      <c r="J299" t="s">
        <v>221</v>
      </c>
      <c r="K299" t="s">
        <v>24</v>
      </c>
      <c r="L299" t="s">
        <v>1723</v>
      </c>
      <c r="M299" s="1">
        <v>45497</v>
      </c>
      <c r="N299" t="s">
        <v>26</v>
      </c>
      <c r="O299">
        <v>2</v>
      </c>
    </row>
    <row r="300" spans="1:15">
      <c r="A300" t="s">
        <v>1724</v>
      </c>
      <c r="B300" t="s">
        <v>1725</v>
      </c>
      <c r="C300" t="s">
        <v>746</v>
      </c>
      <c r="D300" t="s">
        <v>255</v>
      </c>
      <c r="E300" t="s">
        <v>1726</v>
      </c>
      <c r="F300" t="s">
        <v>1727</v>
      </c>
      <c r="G300">
        <v>43</v>
      </c>
      <c r="H300" t="s">
        <v>21</v>
      </c>
      <c r="I300" t="s">
        <v>374</v>
      </c>
      <c r="J300" t="s">
        <v>197</v>
      </c>
      <c r="K300" t="s">
        <v>24</v>
      </c>
      <c r="L300" t="s">
        <v>1728</v>
      </c>
      <c r="M300" s="1">
        <v>44205</v>
      </c>
      <c r="N300" t="s">
        <v>26</v>
      </c>
      <c r="O300">
        <v>5</v>
      </c>
    </row>
    <row r="301" spans="1:15">
      <c r="A301" t="s">
        <v>1729</v>
      </c>
      <c r="B301" t="s">
        <v>1730</v>
      </c>
      <c r="C301" t="s">
        <v>705</v>
      </c>
      <c r="D301" t="s">
        <v>546</v>
      </c>
      <c r="E301" t="s">
        <v>1731</v>
      </c>
      <c r="F301" t="s">
        <v>1732</v>
      </c>
      <c r="G301">
        <v>54</v>
      </c>
      <c r="H301" t="s">
        <v>21</v>
      </c>
      <c r="I301" t="s">
        <v>411</v>
      </c>
      <c r="J301" t="s">
        <v>412</v>
      </c>
      <c r="K301" t="s">
        <v>35</v>
      </c>
      <c r="L301" t="s">
        <v>1733</v>
      </c>
      <c r="M301" s="1">
        <v>44827</v>
      </c>
      <c r="N301" t="s">
        <v>26</v>
      </c>
      <c r="O301">
        <v>4</v>
      </c>
    </row>
    <row r="302" spans="1:15">
      <c r="A302" t="s">
        <v>1734</v>
      </c>
      <c r="B302" t="s">
        <v>1735</v>
      </c>
      <c r="C302" t="s">
        <v>1736</v>
      </c>
      <c r="D302" t="s">
        <v>193</v>
      </c>
      <c r="E302" t="s">
        <v>1737</v>
      </c>
      <c r="F302" t="s">
        <v>1738</v>
      </c>
      <c r="G302">
        <v>42</v>
      </c>
      <c r="H302" t="s">
        <v>21</v>
      </c>
      <c r="I302" t="s">
        <v>220</v>
      </c>
      <c r="J302" t="s">
        <v>221</v>
      </c>
      <c r="K302" t="s">
        <v>24</v>
      </c>
      <c r="L302" t="s">
        <v>1739</v>
      </c>
      <c r="M302" s="1">
        <v>43940</v>
      </c>
      <c r="N302" t="s">
        <v>118</v>
      </c>
      <c r="O302">
        <v>6</v>
      </c>
    </row>
    <row r="303" spans="1:15">
      <c r="A303" t="s">
        <v>1740</v>
      </c>
      <c r="B303" t="s">
        <v>1741</v>
      </c>
      <c r="C303" t="s">
        <v>287</v>
      </c>
      <c r="D303" t="s">
        <v>345</v>
      </c>
      <c r="E303" t="s">
        <v>1742</v>
      </c>
      <c r="F303" t="s">
        <v>1743</v>
      </c>
      <c r="G303">
        <v>46</v>
      </c>
      <c r="H303" t="s">
        <v>43</v>
      </c>
      <c r="I303" t="s">
        <v>33</v>
      </c>
      <c r="J303" t="s">
        <v>34</v>
      </c>
      <c r="K303" t="s">
        <v>35</v>
      </c>
      <c r="L303" t="s">
        <v>1744</v>
      </c>
      <c r="M303" s="1">
        <v>44844</v>
      </c>
      <c r="N303" t="s">
        <v>118</v>
      </c>
      <c r="O303">
        <v>4</v>
      </c>
    </row>
    <row r="304" spans="1:15">
      <c r="A304" t="s">
        <v>1745</v>
      </c>
      <c r="B304" t="s">
        <v>1746</v>
      </c>
      <c r="C304" t="s">
        <v>70</v>
      </c>
      <c r="D304" t="s">
        <v>447</v>
      </c>
      <c r="E304" t="s">
        <v>1747</v>
      </c>
      <c r="F304" t="s">
        <v>1748</v>
      </c>
      <c r="G304">
        <v>34</v>
      </c>
      <c r="H304" t="s">
        <v>43</v>
      </c>
      <c r="I304" t="s">
        <v>196</v>
      </c>
      <c r="J304" t="s">
        <v>197</v>
      </c>
      <c r="K304" t="s">
        <v>24</v>
      </c>
      <c r="L304" t="s">
        <v>1749</v>
      </c>
      <c r="M304" s="1">
        <v>45460</v>
      </c>
      <c r="N304" t="s">
        <v>48</v>
      </c>
      <c r="O304">
        <v>2</v>
      </c>
    </row>
    <row r="305" spans="1:15">
      <c r="A305" t="s">
        <v>1750</v>
      </c>
      <c r="B305" t="s">
        <v>1751</v>
      </c>
      <c r="C305" t="s">
        <v>570</v>
      </c>
      <c r="D305" t="s">
        <v>40</v>
      </c>
      <c r="E305" t="s">
        <v>1752</v>
      </c>
      <c r="F305" t="s">
        <v>1753</v>
      </c>
      <c r="G305">
        <v>52</v>
      </c>
      <c r="H305" t="s">
        <v>21</v>
      </c>
      <c r="I305" t="s">
        <v>196</v>
      </c>
      <c r="J305" t="s">
        <v>197</v>
      </c>
      <c r="K305" t="s">
        <v>24</v>
      </c>
      <c r="L305" t="s">
        <v>1754</v>
      </c>
      <c r="M305" s="1">
        <v>44956</v>
      </c>
      <c r="N305" t="s">
        <v>26</v>
      </c>
      <c r="O305">
        <v>3</v>
      </c>
    </row>
    <row r="306" spans="1:15">
      <c r="A306" t="s">
        <v>1755</v>
      </c>
      <c r="B306" t="s">
        <v>1756</v>
      </c>
      <c r="C306" t="s">
        <v>307</v>
      </c>
      <c r="D306" t="s">
        <v>217</v>
      </c>
      <c r="E306" t="s">
        <v>1757</v>
      </c>
      <c r="F306" t="s">
        <v>1758</v>
      </c>
      <c r="G306">
        <v>48</v>
      </c>
      <c r="H306" t="s">
        <v>55</v>
      </c>
      <c r="I306" t="s">
        <v>241</v>
      </c>
      <c r="J306" t="s">
        <v>187</v>
      </c>
      <c r="K306" t="s">
        <v>188</v>
      </c>
      <c r="L306" t="s">
        <v>1759</v>
      </c>
      <c r="M306" s="1">
        <v>45387</v>
      </c>
      <c r="N306" t="s">
        <v>48</v>
      </c>
      <c r="O306">
        <v>2</v>
      </c>
    </row>
    <row r="307" spans="1:15">
      <c r="A307" t="s">
        <v>1760</v>
      </c>
      <c r="B307" t="s">
        <v>1761</v>
      </c>
      <c r="C307" t="s">
        <v>29</v>
      </c>
      <c r="D307" t="s">
        <v>202</v>
      </c>
      <c r="E307" t="s">
        <v>1762</v>
      </c>
      <c r="F307" t="s">
        <v>1763</v>
      </c>
      <c r="G307">
        <v>42</v>
      </c>
      <c r="H307" t="s">
        <v>21</v>
      </c>
      <c r="I307" t="s">
        <v>186</v>
      </c>
      <c r="J307" t="s">
        <v>187</v>
      </c>
      <c r="K307" t="s">
        <v>188</v>
      </c>
      <c r="L307" t="s">
        <v>1764</v>
      </c>
      <c r="M307" s="1">
        <v>44369</v>
      </c>
      <c r="N307" t="s">
        <v>118</v>
      </c>
      <c r="O307">
        <v>5</v>
      </c>
    </row>
    <row r="308" spans="1:15">
      <c r="A308" t="s">
        <v>1765</v>
      </c>
      <c r="B308" t="s">
        <v>1766</v>
      </c>
      <c r="C308" t="s">
        <v>1180</v>
      </c>
      <c r="D308" t="s">
        <v>97</v>
      </c>
      <c r="E308" t="s">
        <v>1767</v>
      </c>
      <c r="F308" t="s">
        <v>1768</v>
      </c>
      <c r="G308">
        <v>47</v>
      </c>
      <c r="H308" t="s">
        <v>21</v>
      </c>
      <c r="I308" t="s">
        <v>355</v>
      </c>
      <c r="J308" t="s">
        <v>187</v>
      </c>
      <c r="K308" t="s">
        <v>188</v>
      </c>
      <c r="L308" t="s">
        <v>1769</v>
      </c>
      <c r="M308" s="1">
        <v>44549</v>
      </c>
      <c r="N308" t="s">
        <v>26</v>
      </c>
      <c r="O308">
        <v>5</v>
      </c>
    </row>
    <row r="309" spans="1:15">
      <c r="A309" t="s">
        <v>1770</v>
      </c>
      <c r="B309" t="s">
        <v>1771</v>
      </c>
      <c r="C309" t="s">
        <v>287</v>
      </c>
      <c r="D309" t="s">
        <v>778</v>
      </c>
      <c r="E309" t="s">
        <v>1772</v>
      </c>
      <c r="F309" t="s">
        <v>1773</v>
      </c>
      <c r="G309">
        <v>54</v>
      </c>
      <c r="H309" t="s">
        <v>21</v>
      </c>
      <c r="I309" t="s">
        <v>316</v>
      </c>
      <c r="J309" t="s">
        <v>197</v>
      </c>
      <c r="K309" t="s">
        <v>24</v>
      </c>
      <c r="L309" t="s">
        <v>1774</v>
      </c>
      <c r="M309" s="1">
        <v>44406</v>
      </c>
      <c r="N309" t="s">
        <v>48</v>
      </c>
      <c r="O309">
        <v>5</v>
      </c>
    </row>
    <row r="310" spans="1:15">
      <c r="A310" t="s">
        <v>1775</v>
      </c>
      <c r="B310" t="s">
        <v>1776</v>
      </c>
      <c r="C310" t="s">
        <v>70</v>
      </c>
      <c r="D310" t="s">
        <v>238</v>
      </c>
      <c r="E310" t="s">
        <v>1777</v>
      </c>
      <c r="F310" t="s">
        <v>1778</v>
      </c>
      <c r="G310">
        <v>46</v>
      </c>
      <c r="H310" t="s">
        <v>21</v>
      </c>
      <c r="I310" t="s">
        <v>368</v>
      </c>
      <c r="J310" t="s">
        <v>57</v>
      </c>
      <c r="K310" t="s">
        <v>46</v>
      </c>
      <c r="L310" t="s">
        <v>1779</v>
      </c>
      <c r="M310" s="1">
        <v>44108</v>
      </c>
      <c r="N310" t="s">
        <v>48</v>
      </c>
      <c r="O310">
        <v>6</v>
      </c>
    </row>
    <row r="311" spans="1:15">
      <c r="A311" t="s">
        <v>1780</v>
      </c>
      <c r="B311" t="s">
        <v>1781</v>
      </c>
      <c r="C311" t="s">
        <v>1782</v>
      </c>
      <c r="D311" t="s">
        <v>162</v>
      </c>
      <c r="E311" t="s">
        <v>1783</v>
      </c>
      <c r="F311" t="s">
        <v>1784</v>
      </c>
      <c r="G311">
        <v>45</v>
      </c>
      <c r="H311" t="s">
        <v>43</v>
      </c>
      <c r="I311" t="s">
        <v>100</v>
      </c>
      <c r="J311" t="s">
        <v>57</v>
      </c>
      <c r="K311" t="s">
        <v>46</v>
      </c>
      <c r="L311" t="s">
        <v>1785</v>
      </c>
      <c r="M311" s="1">
        <v>45390</v>
      </c>
      <c r="N311" t="s">
        <v>48</v>
      </c>
      <c r="O311">
        <v>2</v>
      </c>
    </row>
    <row r="312" spans="1:15">
      <c r="A312" t="s">
        <v>1786</v>
      </c>
      <c r="B312" t="s">
        <v>1787</v>
      </c>
      <c r="C312" t="s">
        <v>903</v>
      </c>
      <c r="D312" t="s">
        <v>295</v>
      </c>
      <c r="E312" t="s">
        <v>1788</v>
      </c>
      <c r="F312" t="s">
        <v>1789</v>
      </c>
      <c r="G312">
        <v>25</v>
      </c>
      <c r="H312" t="s">
        <v>43</v>
      </c>
      <c r="I312" t="s">
        <v>270</v>
      </c>
      <c r="J312" t="s">
        <v>271</v>
      </c>
      <c r="K312" t="s">
        <v>188</v>
      </c>
      <c r="L312" t="s">
        <v>1790</v>
      </c>
      <c r="M312" s="1">
        <v>45458</v>
      </c>
      <c r="N312" t="s">
        <v>26</v>
      </c>
      <c r="O312">
        <v>2</v>
      </c>
    </row>
    <row r="313" spans="1:15">
      <c r="A313" t="s">
        <v>1791</v>
      </c>
      <c r="B313" t="s">
        <v>1792</v>
      </c>
      <c r="C313" t="s">
        <v>570</v>
      </c>
      <c r="D313" t="s">
        <v>217</v>
      </c>
      <c r="E313" t="s">
        <v>1793</v>
      </c>
      <c r="F313" t="s">
        <v>1794</v>
      </c>
      <c r="G313">
        <v>20</v>
      </c>
      <c r="H313" t="s">
        <v>21</v>
      </c>
      <c r="I313" t="s">
        <v>226</v>
      </c>
      <c r="J313" t="s">
        <v>226</v>
      </c>
      <c r="K313" t="s">
        <v>24</v>
      </c>
      <c r="L313" t="s">
        <v>1795</v>
      </c>
      <c r="M313" s="1">
        <v>45022</v>
      </c>
      <c r="N313" t="s">
        <v>118</v>
      </c>
      <c r="O313">
        <v>3</v>
      </c>
    </row>
    <row r="314" spans="1:15">
      <c r="A314" t="s">
        <v>1796</v>
      </c>
      <c r="B314" t="s">
        <v>1797</v>
      </c>
      <c r="C314" t="s">
        <v>17</v>
      </c>
      <c r="D314" t="s">
        <v>261</v>
      </c>
      <c r="E314" t="s">
        <v>1798</v>
      </c>
      <c r="F314" t="s">
        <v>1799</v>
      </c>
      <c r="G314">
        <v>47</v>
      </c>
      <c r="H314" t="s">
        <v>21</v>
      </c>
      <c r="I314" t="s">
        <v>241</v>
      </c>
      <c r="J314" t="s">
        <v>187</v>
      </c>
      <c r="K314" t="s">
        <v>188</v>
      </c>
      <c r="L314" t="s">
        <v>1800</v>
      </c>
      <c r="M314" s="1">
        <v>44277</v>
      </c>
      <c r="N314" t="s">
        <v>118</v>
      </c>
      <c r="O314">
        <v>5</v>
      </c>
    </row>
    <row r="315" spans="1:15">
      <c r="A315" t="s">
        <v>1801</v>
      </c>
      <c r="B315" t="s">
        <v>1802</v>
      </c>
      <c r="C315" t="s">
        <v>460</v>
      </c>
      <c r="D315" t="s">
        <v>105</v>
      </c>
      <c r="E315" t="s">
        <v>1803</v>
      </c>
      <c r="F315" t="s">
        <v>1804</v>
      </c>
      <c r="G315">
        <v>51</v>
      </c>
      <c r="H315" t="s">
        <v>43</v>
      </c>
      <c r="I315" t="s">
        <v>196</v>
      </c>
      <c r="J315" t="s">
        <v>197</v>
      </c>
      <c r="K315" t="s">
        <v>24</v>
      </c>
      <c r="L315" t="s">
        <v>1805</v>
      </c>
      <c r="M315" s="1">
        <v>44990</v>
      </c>
      <c r="N315" t="s">
        <v>48</v>
      </c>
      <c r="O315">
        <v>3</v>
      </c>
    </row>
    <row r="316" spans="1:15">
      <c r="A316" t="s">
        <v>1806</v>
      </c>
      <c r="B316" t="s">
        <v>1807</v>
      </c>
      <c r="C316" t="s">
        <v>61</v>
      </c>
      <c r="D316" t="s">
        <v>202</v>
      </c>
      <c r="E316" t="s">
        <v>1808</v>
      </c>
      <c r="F316" t="s">
        <v>1809</v>
      </c>
      <c r="G316">
        <v>49</v>
      </c>
      <c r="H316" t="s">
        <v>21</v>
      </c>
      <c r="I316" t="s">
        <v>590</v>
      </c>
      <c r="J316" t="s">
        <v>45</v>
      </c>
      <c r="K316" t="s">
        <v>46</v>
      </c>
      <c r="L316" t="s">
        <v>1810</v>
      </c>
      <c r="M316" s="1">
        <v>44734</v>
      </c>
      <c r="N316" t="s">
        <v>118</v>
      </c>
      <c r="O316">
        <v>4</v>
      </c>
    </row>
    <row r="317" spans="1:15">
      <c r="A317" t="s">
        <v>1811</v>
      </c>
      <c r="B317" t="s">
        <v>1812</v>
      </c>
      <c r="C317" t="s">
        <v>784</v>
      </c>
      <c r="D317" t="s">
        <v>1235</v>
      </c>
      <c r="E317" t="s">
        <v>1813</v>
      </c>
      <c r="F317" t="s">
        <v>1814</v>
      </c>
      <c r="G317">
        <v>37</v>
      </c>
      <c r="H317" t="s">
        <v>21</v>
      </c>
      <c r="I317" t="s">
        <v>374</v>
      </c>
      <c r="J317" t="s">
        <v>197</v>
      </c>
      <c r="K317" t="s">
        <v>24</v>
      </c>
      <c r="L317" t="s">
        <v>1815</v>
      </c>
      <c r="M317" s="1">
        <v>45621</v>
      </c>
      <c r="N317" t="s">
        <v>48</v>
      </c>
      <c r="O317">
        <v>2</v>
      </c>
    </row>
    <row r="318" spans="1:15">
      <c r="A318" t="s">
        <v>1816</v>
      </c>
      <c r="B318" t="s">
        <v>1817</v>
      </c>
      <c r="C318" t="s">
        <v>845</v>
      </c>
      <c r="D318" t="s">
        <v>398</v>
      </c>
      <c r="E318" t="s">
        <v>1818</v>
      </c>
      <c r="F318" t="s">
        <v>1819</v>
      </c>
      <c r="G318">
        <v>39</v>
      </c>
      <c r="H318" t="s">
        <v>21</v>
      </c>
      <c r="I318" t="s">
        <v>249</v>
      </c>
      <c r="J318" t="s">
        <v>250</v>
      </c>
      <c r="K318" t="s">
        <v>188</v>
      </c>
      <c r="L318" t="s">
        <v>1820</v>
      </c>
      <c r="M318" s="1">
        <v>45112</v>
      </c>
      <c r="N318" t="s">
        <v>118</v>
      </c>
      <c r="O318">
        <v>3</v>
      </c>
    </row>
    <row r="319" spans="1:15">
      <c r="A319" t="s">
        <v>1821</v>
      </c>
      <c r="B319" t="s">
        <v>1822</v>
      </c>
      <c r="C319" t="s">
        <v>1782</v>
      </c>
      <c r="D319" t="s">
        <v>398</v>
      </c>
      <c r="E319" t="s">
        <v>1823</v>
      </c>
      <c r="F319" t="s">
        <v>1824</v>
      </c>
      <c r="G319">
        <v>34</v>
      </c>
      <c r="H319" t="s">
        <v>55</v>
      </c>
      <c r="I319" t="s">
        <v>685</v>
      </c>
      <c r="J319" t="s">
        <v>686</v>
      </c>
      <c r="K319" t="s">
        <v>188</v>
      </c>
      <c r="L319" t="s">
        <v>1825</v>
      </c>
      <c r="M319" s="1">
        <v>44102</v>
      </c>
      <c r="N319" t="s">
        <v>118</v>
      </c>
      <c r="O319">
        <v>6</v>
      </c>
    </row>
    <row r="320" spans="1:15">
      <c r="A320" t="s">
        <v>1826</v>
      </c>
      <c r="B320" t="s">
        <v>1827</v>
      </c>
      <c r="C320" t="s">
        <v>677</v>
      </c>
      <c r="D320" t="s">
        <v>231</v>
      </c>
      <c r="E320" t="s">
        <v>1828</v>
      </c>
      <c r="F320" t="s">
        <v>1829</v>
      </c>
      <c r="G320">
        <v>50</v>
      </c>
      <c r="H320" t="s">
        <v>21</v>
      </c>
      <c r="I320" t="s">
        <v>411</v>
      </c>
      <c r="J320" t="s">
        <v>412</v>
      </c>
      <c r="K320" t="s">
        <v>35</v>
      </c>
      <c r="L320" t="s">
        <v>1830</v>
      </c>
      <c r="M320" s="1">
        <v>44101</v>
      </c>
      <c r="N320" t="s">
        <v>48</v>
      </c>
      <c r="O320">
        <v>6</v>
      </c>
    </row>
    <row r="321" spans="1:15">
      <c r="A321" t="s">
        <v>1831</v>
      </c>
      <c r="B321" t="s">
        <v>1832</v>
      </c>
      <c r="C321" t="s">
        <v>705</v>
      </c>
      <c r="D321" t="s">
        <v>398</v>
      </c>
      <c r="E321" t="s">
        <v>1833</v>
      </c>
      <c r="F321" t="s">
        <v>1834</v>
      </c>
      <c r="G321">
        <v>44</v>
      </c>
      <c r="H321" t="s">
        <v>21</v>
      </c>
      <c r="I321" t="s">
        <v>824</v>
      </c>
      <c r="J321" t="s">
        <v>45</v>
      </c>
      <c r="K321" t="s">
        <v>46</v>
      </c>
      <c r="L321" t="s">
        <v>1835</v>
      </c>
      <c r="M321" s="1">
        <v>44111</v>
      </c>
      <c r="N321" t="s">
        <v>48</v>
      </c>
      <c r="O321">
        <v>6</v>
      </c>
    </row>
    <row r="322" spans="1:15">
      <c r="A322" t="s">
        <v>1836</v>
      </c>
      <c r="B322" t="s">
        <v>1110</v>
      </c>
      <c r="C322" t="s">
        <v>254</v>
      </c>
      <c r="D322" t="s">
        <v>874</v>
      </c>
      <c r="E322" t="s">
        <v>1837</v>
      </c>
      <c r="F322" t="s">
        <v>1838</v>
      </c>
      <c r="G322">
        <v>33</v>
      </c>
      <c r="H322" t="s">
        <v>21</v>
      </c>
      <c r="I322" t="s">
        <v>44</v>
      </c>
      <c r="J322" t="s">
        <v>45</v>
      </c>
      <c r="K322" t="s">
        <v>46</v>
      </c>
      <c r="L322" t="s">
        <v>1839</v>
      </c>
      <c r="M322" s="1">
        <v>44550</v>
      </c>
      <c r="N322" t="s">
        <v>118</v>
      </c>
      <c r="O322">
        <v>5</v>
      </c>
    </row>
    <row r="323" spans="1:15">
      <c r="A323" t="s">
        <v>1840</v>
      </c>
      <c r="B323" t="s">
        <v>1841</v>
      </c>
      <c r="C323" t="s">
        <v>1454</v>
      </c>
      <c r="D323" t="s">
        <v>255</v>
      </c>
      <c r="E323" t="s">
        <v>1842</v>
      </c>
      <c r="F323" t="s">
        <v>1843</v>
      </c>
      <c r="G323">
        <v>44</v>
      </c>
      <c r="H323" t="s">
        <v>43</v>
      </c>
      <c r="I323" t="s">
        <v>22</v>
      </c>
      <c r="J323" t="s">
        <v>23</v>
      </c>
      <c r="K323" t="s">
        <v>24</v>
      </c>
      <c r="L323" t="s">
        <v>1844</v>
      </c>
      <c r="M323" s="1">
        <v>45038</v>
      </c>
      <c r="N323" t="s">
        <v>118</v>
      </c>
      <c r="O323">
        <v>3</v>
      </c>
    </row>
    <row r="324" spans="1:15">
      <c r="A324" t="s">
        <v>1845</v>
      </c>
      <c r="B324" t="s">
        <v>1846</v>
      </c>
      <c r="C324" t="s">
        <v>886</v>
      </c>
      <c r="D324" t="s">
        <v>778</v>
      </c>
      <c r="E324" t="s">
        <v>1847</v>
      </c>
      <c r="F324" t="s">
        <v>1848</v>
      </c>
      <c r="G324">
        <v>38</v>
      </c>
      <c r="H324" t="s">
        <v>21</v>
      </c>
      <c r="I324" t="s">
        <v>65</v>
      </c>
      <c r="J324" t="s">
        <v>66</v>
      </c>
      <c r="K324" t="s">
        <v>35</v>
      </c>
      <c r="L324" t="s">
        <v>1849</v>
      </c>
      <c r="M324" s="1">
        <v>44964</v>
      </c>
      <c r="N324" t="s">
        <v>48</v>
      </c>
      <c r="O324">
        <v>3</v>
      </c>
    </row>
    <row r="325" spans="1:15">
      <c r="A325" t="s">
        <v>1850</v>
      </c>
      <c r="B325" t="s">
        <v>1851</v>
      </c>
      <c r="C325" t="s">
        <v>446</v>
      </c>
      <c r="D325" t="s">
        <v>874</v>
      </c>
      <c r="E325" t="s">
        <v>1852</v>
      </c>
      <c r="F325" t="s">
        <v>1853</v>
      </c>
      <c r="G325">
        <v>35</v>
      </c>
      <c r="H325" t="s">
        <v>43</v>
      </c>
      <c r="I325" t="s">
        <v>234</v>
      </c>
      <c r="J325" t="s">
        <v>221</v>
      </c>
      <c r="K325" t="s">
        <v>24</v>
      </c>
      <c r="L325" t="s">
        <v>1854</v>
      </c>
      <c r="M325" s="1">
        <v>43942</v>
      </c>
      <c r="N325" t="s">
        <v>118</v>
      </c>
      <c r="O325">
        <v>6</v>
      </c>
    </row>
    <row r="326" spans="1:15">
      <c r="A326" t="s">
        <v>1855</v>
      </c>
      <c r="B326" t="s">
        <v>1856</v>
      </c>
      <c r="C326" t="s">
        <v>307</v>
      </c>
      <c r="D326" t="s">
        <v>156</v>
      </c>
      <c r="E326" t="s">
        <v>1857</v>
      </c>
      <c r="F326" t="s">
        <v>1858</v>
      </c>
      <c r="G326">
        <v>28</v>
      </c>
      <c r="H326" t="s">
        <v>43</v>
      </c>
      <c r="I326" t="s">
        <v>131</v>
      </c>
      <c r="J326" t="s">
        <v>57</v>
      </c>
      <c r="K326" t="s">
        <v>46</v>
      </c>
      <c r="L326" t="s">
        <v>1859</v>
      </c>
      <c r="M326" s="1">
        <v>44479</v>
      </c>
      <c r="N326" t="s">
        <v>26</v>
      </c>
      <c r="O326">
        <v>5</v>
      </c>
    </row>
    <row r="327" spans="1:15">
      <c r="A327" t="s">
        <v>1860</v>
      </c>
      <c r="B327" t="s">
        <v>1861</v>
      </c>
      <c r="C327" t="s">
        <v>39</v>
      </c>
      <c r="D327" t="s">
        <v>81</v>
      </c>
      <c r="E327" t="s">
        <v>1862</v>
      </c>
      <c r="F327" t="s">
        <v>1863</v>
      </c>
      <c r="G327">
        <v>20</v>
      </c>
      <c r="H327" t="s">
        <v>43</v>
      </c>
      <c r="I327" t="s">
        <v>179</v>
      </c>
      <c r="J327" t="s">
        <v>179</v>
      </c>
      <c r="K327" t="s">
        <v>24</v>
      </c>
      <c r="L327" t="s">
        <v>1864</v>
      </c>
      <c r="M327" s="1">
        <v>43969</v>
      </c>
      <c r="N327" t="s">
        <v>48</v>
      </c>
      <c r="O327">
        <v>6</v>
      </c>
    </row>
    <row r="328" spans="1:15">
      <c r="A328" t="s">
        <v>1865</v>
      </c>
      <c r="B328" t="s">
        <v>1866</v>
      </c>
      <c r="C328" t="s">
        <v>61</v>
      </c>
      <c r="D328" t="s">
        <v>605</v>
      </c>
      <c r="E328" t="s">
        <v>1867</v>
      </c>
      <c r="F328" t="s">
        <v>1868</v>
      </c>
      <c r="G328">
        <v>46</v>
      </c>
      <c r="H328" t="s">
        <v>43</v>
      </c>
      <c r="I328" t="s">
        <v>608</v>
      </c>
      <c r="J328" t="s">
        <v>609</v>
      </c>
      <c r="K328" t="s">
        <v>35</v>
      </c>
      <c r="L328" t="s">
        <v>1869</v>
      </c>
      <c r="M328" s="1">
        <v>45402</v>
      </c>
      <c r="N328" t="s">
        <v>118</v>
      </c>
      <c r="O328">
        <v>2</v>
      </c>
    </row>
    <row r="329" spans="1:15">
      <c r="A329" t="s">
        <v>1870</v>
      </c>
      <c r="B329" t="s">
        <v>1871</v>
      </c>
      <c r="C329" t="s">
        <v>746</v>
      </c>
      <c r="D329" t="s">
        <v>295</v>
      </c>
      <c r="E329" t="s">
        <v>1872</v>
      </c>
      <c r="F329" t="s">
        <v>1873</v>
      </c>
      <c r="G329">
        <v>25</v>
      </c>
      <c r="H329" t="s">
        <v>55</v>
      </c>
      <c r="I329" t="s">
        <v>92</v>
      </c>
      <c r="J329" t="s">
        <v>45</v>
      </c>
      <c r="K329" t="s">
        <v>46</v>
      </c>
      <c r="L329" t="s">
        <v>1874</v>
      </c>
      <c r="M329" s="1">
        <v>44465</v>
      </c>
      <c r="N329" t="s">
        <v>48</v>
      </c>
      <c r="O329">
        <v>5</v>
      </c>
    </row>
    <row r="330" spans="1:15">
      <c r="A330" t="s">
        <v>1875</v>
      </c>
      <c r="B330" t="s">
        <v>1876</v>
      </c>
      <c r="C330" t="s">
        <v>491</v>
      </c>
      <c r="D330" t="s">
        <v>633</v>
      </c>
      <c r="E330" t="s">
        <v>1877</v>
      </c>
      <c r="F330" t="s">
        <v>1878</v>
      </c>
      <c r="G330">
        <v>24</v>
      </c>
      <c r="H330" t="s">
        <v>43</v>
      </c>
      <c r="I330" t="s">
        <v>1019</v>
      </c>
      <c r="J330" t="s">
        <v>197</v>
      </c>
      <c r="K330" t="s">
        <v>24</v>
      </c>
      <c r="L330" t="s">
        <v>1879</v>
      </c>
      <c r="M330" s="1">
        <v>45148</v>
      </c>
      <c r="N330" t="s">
        <v>118</v>
      </c>
      <c r="O330">
        <v>3</v>
      </c>
    </row>
    <row r="331" spans="1:15">
      <c r="A331" t="s">
        <v>1880</v>
      </c>
      <c r="B331" t="s">
        <v>1881</v>
      </c>
      <c r="C331" t="s">
        <v>1882</v>
      </c>
      <c r="D331" t="s">
        <v>338</v>
      </c>
      <c r="E331" t="s">
        <v>1883</v>
      </c>
      <c r="F331" t="s">
        <v>1884</v>
      </c>
      <c r="G331">
        <v>23</v>
      </c>
      <c r="H331" t="s">
        <v>43</v>
      </c>
      <c r="I331" t="s">
        <v>411</v>
      </c>
      <c r="J331" t="s">
        <v>412</v>
      </c>
      <c r="K331" t="s">
        <v>35</v>
      </c>
      <c r="L331" t="s">
        <v>1885</v>
      </c>
      <c r="M331" s="1">
        <v>44759</v>
      </c>
      <c r="N331" t="s">
        <v>48</v>
      </c>
      <c r="O331">
        <v>4</v>
      </c>
    </row>
    <row r="332" spans="1:15">
      <c r="A332" t="s">
        <v>1886</v>
      </c>
      <c r="B332" t="s">
        <v>1887</v>
      </c>
      <c r="C332" t="s">
        <v>1180</v>
      </c>
      <c r="D332" t="s">
        <v>231</v>
      </c>
      <c r="E332" t="s">
        <v>1888</v>
      </c>
      <c r="F332" t="s">
        <v>1889</v>
      </c>
      <c r="G332">
        <v>53</v>
      </c>
      <c r="H332" t="s">
        <v>55</v>
      </c>
      <c r="I332" t="s">
        <v>44</v>
      </c>
      <c r="J332" t="s">
        <v>45</v>
      </c>
      <c r="K332" t="s">
        <v>46</v>
      </c>
      <c r="L332" t="s">
        <v>1890</v>
      </c>
      <c r="M332" s="1">
        <v>44541</v>
      </c>
      <c r="N332" t="s">
        <v>48</v>
      </c>
      <c r="O332">
        <v>5</v>
      </c>
    </row>
    <row r="333" spans="1:15">
      <c r="A333" t="s">
        <v>1891</v>
      </c>
      <c r="B333" t="s">
        <v>1892</v>
      </c>
      <c r="C333" t="s">
        <v>1736</v>
      </c>
      <c r="D333" t="s">
        <v>81</v>
      </c>
      <c r="E333" t="s">
        <v>1893</v>
      </c>
      <c r="F333" t="s">
        <v>1894</v>
      </c>
      <c r="G333">
        <v>47</v>
      </c>
      <c r="H333" t="s">
        <v>43</v>
      </c>
      <c r="I333" t="s">
        <v>590</v>
      </c>
      <c r="J333" t="s">
        <v>45</v>
      </c>
      <c r="K333" t="s">
        <v>46</v>
      </c>
      <c r="L333" t="s">
        <v>1895</v>
      </c>
      <c r="M333" s="1">
        <v>44517</v>
      </c>
      <c r="N333" t="s">
        <v>26</v>
      </c>
      <c r="O333">
        <v>5</v>
      </c>
    </row>
    <row r="334" spans="1:15">
      <c r="A334" t="s">
        <v>1896</v>
      </c>
      <c r="B334" t="s">
        <v>1897</v>
      </c>
      <c r="C334" t="s">
        <v>254</v>
      </c>
      <c r="D334" t="s">
        <v>112</v>
      </c>
      <c r="E334" t="s">
        <v>1898</v>
      </c>
      <c r="F334" t="s">
        <v>1899</v>
      </c>
      <c r="G334">
        <v>43</v>
      </c>
      <c r="H334" t="s">
        <v>21</v>
      </c>
      <c r="I334" t="s">
        <v>226</v>
      </c>
      <c r="J334" t="s">
        <v>226</v>
      </c>
      <c r="K334" t="s">
        <v>24</v>
      </c>
      <c r="L334" t="s">
        <v>1900</v>
      </c>
      <c r="M334" s="1">
        <v>44877</v>
      </c>
      <c r="N334" t="s">
        <v>118</v>
      </c>
      <c r="O334">
        <v>4</v>
      </c>
    </row>
    <row r="335" spans="1:15">
      <c r="A335" t="s">
        <v>1901</v>
      </c>
      <c r="B335" t="s">
        <v>1902</v>
      </c>
      <c r="C335" t="s">
        <v>533</v>
      </c>
      <c r="D335" t="s">
        <v>974</v>
      </c>
      <c r="E335" t="s">
        <v>1903</v>
      </c>
      <c r="F335" t="s">
        <v>1904</v>
      </c>
      <c r="G335">
        <v>27</v>
      </c>
      <c r="H335" t="s">
        <v>21</v>
      </c>
      <c r="I335" t="s">
        <v>196</v>
      </c>
      <c r="J335" t="s">
        <v>197</v>
      </c>
      <c r="K335" t="s">
        <v>24</v>
      </c>
      <c r="L335" t="s">
        <v>1905</v>
      </c>
      <c r="M335" s="1">
        <v>45311</v>
      </c>
      <c r="N335" t="s">
        <v>26</v>
      </c>
      <c r="O335">
        <v>2</v>
      </c>
    </row>
    <row r="336" spans="1:15">
      <c r="A336" t="s">
        <v>1906</v>
      </c>
      <c r="B336" t="s">
        <v>1907</v>
      </c>
      <c r="C336" t="s">
        <v>183</v>
      </c>
      <c r="D336" t="s">
        <v>30</v>
      </c>
      <c r="E336" t="s">
        <v>1908</v>
      </c>
      <c r="F336" t="s">
        <v>1909</v>
      </c>
      <c r="G336">
        <v>29</v>
      </c>
      <c r="H336" t="s">
        <v>21</v>
      </c>
      <c r="I336" t="s">
        <v>685</v>
      </c>
      <c r="J336" t="s">
        <v>686</v>
      </c>
      <c r="K336" t="s">
        <v>188</v>
      </c>
      <c r="L336" t="s">
        <v>1910</v>
      </c>
      <c r="M336" s="1">
        <v>44615</v>
      </c>
      <c r="N336" t="s">
        <v>48</v>
      </c>
      <c r="O336">
        <v>4</v>
      </c>
    </row>
    <row r="337" spans="1:15">
      <c r="A337" t="s">
        <v>1911</v>
      </c>
      <c r="B337" t="s">
        <v>1912</v>
      </c>
      <c r="C337" t="s">
        <v>1186</v>
      </c>
      <c r="D337" t="s">
        <v>846</v>
      </c>
      <c r="E337" t="s">
        <v>1913</v>
      </c>
      <c r="F337" t="s">
        <v>1914</v>
      </c>
      <c r="G337">
        <v>46</v>
      </c>
      <c r="H337" t="s">
        <v>43</v>
      </c>
      <c r="I337" t="s">
        <v>74</v>
      </c>
      <c r="J337" t="s">
        <v>75</v>
      </c>
      <c r="K337" t="s">
        <v>76</v>
      </c>
      <c r="L337" t="s">
        <v>1915</v>
      </c>
      <c r="M337" s="1">
        <v>44339</v>
      </c>
      <c r="N337" t="s">
        <v>48</v>
      </c>
      <c r="O337">
        <v>5</v>
      </c>
    </row>
    <row r="338" spans="1:15">
      <c r="A338" t="s">
        <v>1916</v>
      </c>
      <c r="B338" t="s">
        <v>1917</v>
      </c>
      <c r="C338" t="s">
        <v>868</v>
      </c>
      <c r="D338" t="s">
        <v>1368</v>
      </c>
      <c r="E338" t="s">
        <v>1918</v>
      </c>
      <c r="F338" t="s">
        <v>1919</v>
      </c>
      <c r="G338">
        <v>53</v>
      </c>
      <c r="H338" t="s">
        <v>21</v>
      </c>
      <c r="I338" t="s">
        <v>249</v>
      </c>
      <c r="J338" t="s">
        <v>250</v>
      </c>
      <c r="K338" t="s">
        <v>188</v>
      </c>
      <c r="L338" t="s">
        <v>1920</v>
      </c>
      <c r="M338" s="1">
        <v>44288</v>
      </c>
      <c r="N338" t="s">
        <v>118</v>
      </c>
      <c r="O338">
        <v>5</v>
      </c>
    </row>
    <row r="339" spans="1:15">
      <c r="A339" t="s">
        <v>1921</v>
      </c>
      <c r="B339" t="s">
        <v>1922</v>
      </c>
      <c r="C339" t="s">
        <v>254</v>
      </c>
      <c r="D339" t="s">
        <v>480</v>
      </c>
      <c r="E339" t="s">
        <v>1923</v>
      </c>
      <c r="F339" t="s">
        <v>1924</v>
      </c>
      <c r="G339">
        <v>20</v>
      </c>
      <c r="H339" t="s">
        <v>43</v>
      </c>
      <c r="I339" t="s">
        <v>65</v>
      </c>
      <c r="J339" t="s">
        <v>66</v>
      </c>
      <c r="K339" t="s">
        <v>35</v>
      </c>
      <c r="L339" t="s">
        <v>1925</v>
      </c>
      <c r="M339" s="1">
        <v>44766</v>
      </c>
      <c r="N339" t="s">
        <v>48</v>
      </c>
      <c r="O339">
        <v>4</v>
      </c>
    </row>
    <row r="340" spans="1:15">
      <c r="A340" t="s">
        <v>1926</v>
      </c>
      <c r="B340" t="s">
        <v>1927</v>
      </c>
      <c r="C340" t="s">
        <v>739</v>
      </c>
      <c r="D340" t="s">
        <v>1368</v>
      </c>
      <c r="E340" t="s">
        <v>1928</v>
      </c>
      <c r="F340" t="s">
        <v>1929</v>
      </c>
      <c r="G340">
        <v>51</v>
      </c>
      <c r="H340" t="s">
        <v>21</v>
      </c>
      <c r="I340" t="s">
        <v>324</v>
      </c>
      <c r="J340" t="s">
        <v>325</v>
      </c>
      <c r="K340" t="s">
        <v>188</v>
      </c>
      <c r="L340" t="s">
        <v>1930</v>
      </c>
      <c r="M340" s="1">
        <v>44585</v>
      </c>
      <c r="N340" t="s">
        <v>26</v>
      </c>
      <c r="O340">
        <v>4</v>
      </c>
    </row>
    <row r="341" spans="1:15">
      <c r="A341" t="s">
        <v>1931</v>
      </c>
      <c r="B341" t="s">
        <v>1932</v>
      </c>
      <c r="C341" t="s">
        <v>479</v>
      </c>
      <c r="D341" t="s">
        <v>778</v>
      </c>
      <c r="E341" t="s">
        <v>1933</v>
      </c>
      <c r="F341" t="s">
        <v>1934</v>
      </c>
      <c r="G341">
        <v>42</v>
      </c>
      <c r="H341" t="s">
        <v>21</v>
      </c>
      <c r="I341" t="s">
        <v>179</v>
      </c>
      <c r="J341" t="s">
        <v>179</v>
      </c>
      <c r="K341" t="s">
        <v>24</v>
      </c>
      <c r="L341" t="s">
        <v>1935</v>
      </c>
      <c r="M341" s="1">
        <v>44940</v>
      </c>
      <c r="N341" t="s">
        <v>48</v>
      </c>
      <c r="O341">
        <v>3</v>
      </c>
    </row>
    <row r="342" spans="1:15">
      <c r="A342" t="s">
        <v>1936</v>
      </c>
      <c r="B342" t="s">
        <v>1937</v>
      </c>
      <c r="C342" t="s">
        <v>183</v>
      </c>
      <c r="D342" t="s">
        <v>52</v>
      </c>
      <c r="E342" t="s">
        <v>1938</v>
      </c>
      <c r="F342" t="s">
        <v>1939</v>
      </c>
      <c r="G342">
        <v>53</v>
      </c>
      <c r="H342" t="s">
        <v>21</v>
      </c>
      <c r="I342" t="s">
        <v>374</v>
      </c>
      <c r="J342" t="s">
        <v>197</v>
      </c>
      <c r="K342" t="s">
        <v>24</v>
      </c>
      <c r="L342" t="s">
        <v>1940</v>
      </c>
      <c r="M342" s="1">
        <v>44251</v>
      </c>
      <c r="N342" t="s">
        <v>118</v>
      </c>
      <c r="O342">
        <v>5</v>
      </c>
    </row>
    <row r="343" spans="1:15">
      <c r="A343" t="s">
        <v>1941</v>
      </c>
      <c r="B343" t="s">
        <v>1942</v>
      </c>
      <c r="C343" t="s">
        <v>935</v>
      </c>
      <c r="D343" t="s">
        <v>605</v>
      </c>
      <c r="E343" t="s">
        <v>1943</v>
      </c>
      <c r="F343" t="s">
        <v>1944</v>
      </c>
      <c r="G343">
        <v>53</v>
      </c>
      <c r="H343" t="s">
        <v>43</v>
      </c>
      <c r="I343" t="s">
        <v>65</v>
      </c>
      <c r="J343" t="s">
        <v>66</v>
      </c>
      <c r="K343" t="s">
        <v>35</v>
      </c>
      <c r="L343" t="s">
        <v>1945</v>
      </c>
      <c r="M343" s="1">
        <v>44305</v>
      </c>
      <c r="N343" t="s">
        <v>48</v>
      </c>
      <c r="O343">
        <v>5</v>
      </c>
    </row>
    <row r="344" spans="1:15">
      <c r="A344" t="s">
        <v>1946</v>
      </c>
      <c r="B344" t="s">
        <v>1947</v>
      </c>
      <c r="C344" t="s">
        <v>718</v>
      </c>
      <c r="D344" t="s">
        <v>330</v>
      </c>
      <c r="E344" t="s">
        <v>1948</v>
      </c>
      <c r="F344" t="s">
        <v>1949</v>
      </c>
      <c r="G344">
        <v>45</v>
      </c>
      <c r="H344" t="s">
        <v>21</v>
      </c>
      <c r="I344" t="s">
        <v>22</v>
      </c>
      <c r="J344" t="s">
        <v>23</v>
      </c>
      <c r="K344" t="s">
        <v>24</v>
      </c>
      <c r="L344" t="s">
        <v>1950</v>
      </c>
      <c r="M344" s="1">
        <v>45510</v>
      </c>
      <c r="N344" t="s">
        <v>26</v>
      </c>
      <c r="O344">
        <v>2</v>
      </c>
    </row>
    <row r="345" spans="1:15">
      <c r="A345" t="s">
        <v>1951</v>
      </c>
      <c r="B345" t="s">
        <v>1952</v>
      </c>
      <c r="C345" t="s">
        <v>533</v>
      </c>
      <c r="D345" t="s">
        <v>605</v>
      </c>
      <c r="E345" t="s">
        <v>1953</v>
      </c>
      <c r="F345" t="s">
        <v>1954</v>
      </c>
      <c r="G345">
        <v>40</v>
      </c>
      <c r="H345" t="s">
        <v>43</v>
      </c>
      <c r="I345" t="s">
        <v>234</v>
      </c>
      <c r="J345" t="s">
        <v>221</v>
      </c>
      <c r="K345" t="s">
        <v>24</v>
      </c>
      <c r="L345" t="s">
        <v>1955</v>
      </c>
      <c r="M345" s="1">
        <v>45573</v>
      </c>
      <c r="N345" t="s">
        <v>48</v>
      </c>
      <c r="O345">
        <v>2</v>
      </c>
    </row>
    <row r="346" spans="1:15">
      <c r="A346" t="s">
        <v>1956</v>
      </c>
      <c r="B346" t="s">
        <v>1957</v>
      </c>
      <c r="C346" t="s">
        <v>886</v>
      </c>
      <c r="D346" t="s">
        <v>880</v>
      </c>
      <c r="E346" t="s">
        <v>1958</v>
      </c>
      <c r="F346" t="s">
        <v>1959</v>
      </c>
      <c r="G346">
        <v>29</v>
      </c>
      <c r="H346" t="s">
        <v>21</v>
      </c>
      <c r="I346" t="s">
        <v>22</v>
      </c>
      <c r="J346" t="s">
        <v>23</v>
      </c>
      <c r="K346" t="s">
        <v>24</v>
      </c>
      <c r="L346" t="s">
        <v>1960</v>
      </c>
      <c r="M346" s="1">
        <v>44054</v>
      </c>
      <c r="N346" t="s">
        <v>48</v>
      </c>
      <c r="O346">
        <v>6</v>
      </c>
    </row>
    <row r="347" spans="1:15">
      <c r="A347" t="s">
        <v>1961</v>
      </c>
      <c r="B347" t="s">
        <v>1962</v>
      </c>
      <c r="C347" t="s">
        <v>176</v>
      </c>
      <c r="D347" t="s">
        <v>128</v>
      </c>
      <c r="E347" t="s">
        <v>1963</v>
      </c>
      <c r="F347" t="s">
        <v>1964</v>
      </c>
      <c r="G347">
        <v>39</v>
      </c>
      <c r="H347" t="s">
        <v>43</v>
      </c>
      <c r="I347" t="s">
        <v>316</v>
      </c>
      <c r="J347" t="s">
        <v>197</v>
      </c>
      <c r="K347" t="s">
        <v>24</v>
      </c>
      <c r="L347" t="s">
        <v>1965</v>
      </c>
      <c r="M347" s="1">
        <v>44756</v>
      </c>
      <c r="N347" t="s">
        <v>48</v>
      </c>
      <c r="O347">
        <v>4</v>
      </c>
    </row>
    <row r="348" spans="1:15">
      <c r="A348" t="s">
        <v>1966</v>
      </c>
      <c r="B348" t="s">
        <v>1967</v>
      </c>
      <c r="C348" t="s">
        <v>1180</v>
      </c>
      <c r="D348" t="s">
        <v>398</v>
      </c>
      <c r="E348" t="s">
        <v>1968</v>
      </c>
      <c r="F348" t="s">
        <v>1969</v>
      </c>
      <c r="G348">
        <v>33</v>
      </c>
      <c r="H348" t="s">
        <v>43</v>
      </c>
      <c r="I348" t="s">
        <v>84</v>
      </c>
      <c r="J348" t="s">
        <v>85</v>
      </c>
      <c r="K348" t="s">
        <v>24</v>
      </c>
      <c r="L348" t="s">
        <v>1970</v>
      </c>
      <c r="M348" s="1">
        <v>43913</v>
      </c>
      <c r="N348" t="s">
        <v>48</v>
      </c>
      <c r="O348">
        <v>6</v>
      </c>
    </row>
    <row r="349" spans="1:15">
      <c r="A349" t="s">
        <v>1971</v>
      </c>
      <c r="B349" t="s">
        <v>1972</v>
      </c>
      <c r="C349" t="s">
        <v>121</v>
      </c>
      <c r="D349" t="s">
        <v>281</v>
      </c>
      <c r="E349" t="s">
        <v>1973</v>
      </c>
      <c r="F349" t="s">
        <v>1974</v>
      </c>
      <c r="G349">
        <v>36</v>
      </c>
      <c r="H349" t="s">
        <v>21</v>
      </c>
      <c r="I349" t="s">
        <v>249</v>
      </c>
      <c r="J349" t="s">
        <v>250</v>
      </c>
      <c r="K349" t="s">
        <v>188</v>
      </c>
      <c r="L349" t="s">
        <v>1975</v>
      </c>
      <c r="M349" s="1">
        <v>44443</v>
      </c>
      <c r="N349" t="s">
        <v>48</v>
      </c>
      <c r="O349">
        <v>5</v>
      </c>
    </row>
    <row r="350" spans="1:15">
      <c r="A350" t="s">
        <v>1976</v>
      </c>
      <c r="B350" t="s">
        <v>1977</v>
      </c>
      <c r="C350" t="s">
        <v>209</v>
      </c>
      <c r="D350" t="s">
        <v>338</v>
      </c>
      <c r="E350" t="s">
        <v>1978</v>
      </c>
      <c r="F350" t="s">
        <v>1979</v>
      </c>
      <c r="G350">
        <v>26</v>
      </c>
      <c r="H350" t="s">
        <v>21</v>
      </c>
      <c r="I350" t="s">
        <v>324</v>
      </c>
      <c r="J350" t="s">
        <v>325</v>
      </c>
      <c r="K350" t="s">
        <v>188</v>
      </c>
      <c r="L350" t="s">
        <v>1980</v>
      </c>
      <c r="M350" s="1">
        <v>44777</v>
      </c>
      <c r="N350" t="s">
        <v>48</v>
      </c>
      <c r="O350">
        <v>4</v>
      </c>
    </row>
    <row r="351" spans="1:15">
      <c r="A351" t="s">
        <v>1981</v>
      </c>
      <c r="B351" t="s">
        <v>1982</v>
      </c>
      <c r="C351" t="s">
        <v>677</v>
      </c>
      <c r="D351" t="s">
        <v>605</v>
      </c>
      <c r="E351" t="s">
        <v>1983</v>
      </c>
      <c r="F351" t="s">
        <v>1984</v>
      </c>
      <c r="G351">
        <v>25</v>
      </c>
      <c r="H351" t="s">
        <v>55</v>
      </c>
      <c r="I351" t="s">
        <v>212</v>
      </c>
      <c r="J351" t="s">
        <v>57</v>
      </c>
      <c r="K351" t="s">
        <v>46</v>
      </c>
      <c r="L351" t="s">
        <v>1985</v>
      </c>
      <c r="M351" s="1">
        <v>44593</v>
      </c>
      <c r="N351" t="s">
        <v>26</v>
      </c>
      <c r="O351">
        <v>4</v>
      </c>
    </row>
    <row r="352" spans="1:15">
      <c r="A352" t="s">
        <v>1986</v>
      </c>
      <c r="B352" t="s">
        <v>1987</v>
      </c>
      <c r="C352" t="s">
        <v>428</v>
      </c>
      <c r="D352" t="s">
        <v>142</v>
      </c>
      <c r="E352" t="s">
        <v>1988</v>
      </c>
      <c r="F352" t="s">
        <v>1989</v>
      </c>
      <c r="G352">
        <v>28</v>
      </c>
      <c r="H352" t="s">
        <v>21</v>
      </c>
      <c r="I352" t="s">
        <v>212</v>
      </c>
      <c r="J352" t="s">
        <v>57</v>
      </c>
      <c r="K352" t="s">
        <v>46</v>
      </c>
      <c r="L352" t="s">
        <v>1990</v>
      </c>
      <c r="M352" s="1">
        <v>44739</v>
      </c>
      <c r="N352" t="s">
        <v>48</v>
      </c>
      <c r="O352">
        <v>4</v>
      </c>
    </row>
    <row r="353" spans="1:15">
      <c r="A353" t="s">
        <v>1991</v>
      </c>
      <c r="B353" t="s">
        <v>1992</v>
      </c>
      <c r="C353" t="s">
        <v>1180</v>
      </c>
      <c r="D353" t="s">
        <v>30</v>
      </c>
      <c r="E353" t="s">
        <v>1993</v>
      </c>
      <c r="F353" t="s">
        <v>1994</v>
      </c>
      <c r="G353">
        <v>45</v>
      </c>
      <c r="H353" t="s">
        <v>43</v>
      </c>
      <c r="I353" t="s">
        <v>196</v>
      </c>
      <c r="J353" t="s">
        <v>197</v>
      </c>
      <c r="K353" t="s">
        <v>24</v>
      </c>
      <c r="L353" t="s">
        <v>1995</v>
      </c>
      <c r="M353" s="1">
        <v>45513</v>
      </c>
      <c r="N353" t="s">
        <v>48</v>
      </c>
      <c r="O353">
        <v>2</v>
      </c>
    </row>
    <row r="354" spans="1:15">
      <c r="A354" t="s">
        <v>1996</v>
      </c>
      <c r="B354" t="s">
        <v>1499</v>
      </c>
      <c r="C354" t="s">
        <v>230</v>
      </c>
      <c r="D354" t="s">
        <v>255</v>
      </c>
      <c r="E354" t="s">
        <v>1997</v>
      </c>
      <c r="F354" t="s">
        <v>1998</v>
      </c>
      <c r="G354">
        <v>48</v>
      </c>
      <c r="H354" t="s">
        <v>21</v>
      </c>
      <c r="I354" t="s">
        <v>1107</v>
      </c>
      <c r="J354" t="s">
        <v>197</v>
      </c>
      <c r="K354" t="s">
        <v>24</v>
      </c>
      <c r="L354" t="s">
        <v>1999</v>
      </c>
      <c r="M354" s="1">
        <v>44404</v>
      </c>
      <c r="N354" t="s">
        <v>48</v>
      </c>
      <c r="O354">
        <v>5</v>
      </c>
    </row>
    <row r="355" spans="1:15">
      <c r="A355" t="s">
        <v>2000</v>
      </c>
      <c r="B355" t="s">
        <v>2001</v>
      </c>
      <c r="C355" t="s">
        <v>1454</v>
      </c>
      <c r="D355" t="s">
        <v>466</v>
      </c>
      <c r="E355" t="s">
        <v>2002</v>
      </c>
      <c r="F355" t="s">
        <v>2003</v>
      </c>
      <c r="G355">
        <v>55</v>
      </c>
      <c r="H355" t="s">
        <v>43</v>
      </c>
      <c r="I355" t="s">
        <v>226</v>
      </c>
      <c r="J355" t="s">
        <v>226</v>
      </c>
      <c r="K355" t="s">
        <v>24</v>
      </c>
      <c r="L355" t="s">
        <v>2004</v>
      </c>
      <c r="M355" s="1">
        <v>45638</v>
      </c>
      <c r="N355" t="s">
        <v>48</v>
      </c>
      <c r="O355">
        <v>2</v>
      </c>
    </row>
    <row r="356" spans="1:15">
      <c r="A356" t="s">
        <v>2005</v>
      </c>
      <c r="B356" t="s">
        <v>2006</v>
      </c>
      <c r="C356" t="s">
        <v>121</v>
      </c>
      <c r="D356" t="s">
        <v>217</v>
      </c>
      <c r="E356" t="s">
        <v>2007</v>
      </c>
      <c r="F356" t="s">
        <v>2008</v>
      </c>
      <c r="G356">
        <v>54</v>
      </c>
      <c r="H356" t="s">
        <v>21</v>
      </c>
      <c r="I356" t="s">
        <v>1019</v>
      </c>
      <c r="J356" t="s">
        <v>197</v>
      </c>
      <c r="K356" t="s">
        <v>24</v>
      </c>
      <c r="L356" t="s">
        <v>2009</v>
      </c>
      <c r="M356" s="1">
        <v>44341</v>
      </c>
      <c r="N356" t="s">
        <v>118</v>
      </c>
      <c r="O356">
        <v>5</v>
      </c>
    </row>
    <row r="357" spans="1:15">
      <c r="A357" t="s">
        <v>2010</v>
      </c>
      <c r="B357" t="s">
        <v>2011</v>
      </c>
      <c r="C357" t="s">
        <v>104</v>
      </c>
      <c r="D357" t="s">
        <v>558</v>
      </c>
      <c r="E357" t="s">
        <v>2012</v>
      </c>
      <c r="F357" t="s">
        <v>2013</v>
      </c>
      <c r="G357">
        <v>40</v>
      </c>
      <c r="H357" t="s">
        <v>43</v>
      </c>
      <c r="I357" t="s">
        <v>316</v>
      </c>
      <c r="J357" t="s">
        <v>197</v>
      </c>
      <c r="K357" t="s">
        <v>24</v>
      </c>
      <c r="L357" t="s">
        <v>2014</v>
      </c>
      <c r="M357" s="1">
        <v>44859</v>
      </c>
      <c r="N357" t="s">
        <v>48</v>
      </c>
      <c r="O357">
        <v>4</v>
      </c>
    </row>
    <row r="358" spans="1:15">
      <c r="A358" t="s">
        <v>2015</v>
      </c>
      <c r="B358" t="s">
        <v>2016</v>
      </c>
      <c r="C358" t="s">
        <v>216</v>
      </c>
      <c r="D358" t="s">
        <v>352</v>
      </c>
      <c r="E358" t="s">
        <v>2017</v>
      </c>
      <c r="F358" t="s">
        <v>2018</v>
      </c>
      <c r="G358">
        <v>50</v>
      </c>
      <c r="H358" t="s">
        <v>55</v>
      </c>
      <c r="I358" t="s">
        <v>92</v>
      </c>
      <c r="J358" t="s">
        <v>45</v>
      </c>
      <c r="K358" t="s">
        <v>46</v>
      </c>
      <c r="L358" t="s">
        <v>2019</v>
      </c>
      <c r="M358" s="1">
        <v>45487</v>
      </c>
      <c r="N358" t="s">
        <v>48</v>
      </c>
      <c r="O358">
        <v>2</v>
      </c>
    </row>
    <row r="359" spans="1:15">
      <c r="A359" t="s">
        <v>2020</v>
      </c>
      <c r="B359" t="s">
        <v>2021</v>
      </c>
      <c r="C359" t="s">
        <v>96</v>
      </c>
      <c r="D359" t="s">
        <v>816</v>
      </c>
      <c r="E359" t="s">
        <v>2022</v>
      </c>
      <c r="F359" t="s">
        <v>2023</v>
      </c>
      <c r="G359">
        <v>54</v>
      </c>
      <c r="H359" t="s">
        <v>21</v>
      </c>
      <c r="I359" t="s">
        <v>333</v>
      </c>
      <c r="J359" t="s">
        <v>85</v>
      </c>
      <c r="K359" t="s">
        <v>24</v>
      </c>
      <c r="L359" t="s">
        <v>2024</v>
      </c>
      <c r="M359" s="1">
        <v>44376</v>
      </c>
      <c r="N359" t="s">
        <v>48</v>
      </c>
      <c r="O359">
        <v>5</v>
      </c>
    </row>
    <row r="360" spans="1:15">
      <c r="A360" t="s">
        <v>2025</v>
      </c>
      <c r="B360" t="s">
        <v>2026</v>
      </c>
      <c r="C360" t="s">
        <v>903</v>
      </c>
      <c r="D360" t="s">
        <v>338</v>
      </c>
      <c r="E360" t="s">
        <v>2027</v>
      </c>
      <c r="F360" t="s">
        <v>2028</v>
      </c>
      <c r="G360">
        <v>40</v>
      </c>
      <c r="H360" t="s">
        <v>43</v>
      </c>
      <c r="I360" t="s">
        <v>1107</v>
      </c>
      <c r="J360" t="s">
        <v>197</v>
      </c>
      <c r="K360" t="s">
        <v>24</v>
      </c>
      <c r="L360" t="s">
        <v>2029</v>
      </c>
      <c r="M360" s="1">
        <v>45044</v>
      </c>
      <c r="N360" t="s">
        <v>26</v>
      </c>
      <c r="O360">
        <v>3</v>
      </c>
    </row>
    <row r="361" spans="1:15">
      <c r="A361" t="s">
        <v>2030</v>
      </c>
      <c r="B361" t="s">
        <v>2031</v>
      </c>
      <c r="C361" t="s">
        <v>639</v>
      </c>
      <c r="D361" t="s">
        <v>281</v>
      </c>
      <c r="E361" t="s">
        <v>2032</v>
      </c>
      <c r="F361" t="s">
        <v>2033</v>
      </c>
      <c r="G361">
        <v>32</v>
      </c>
      <c r="H361" t="s">
        <v>43</v>
      </c>
      <c r="I361" t="s">
        <v>196</v>
      </c>
      <c r="J361" t="s">
        <v>197</v>
      </c>
      <c r="K361" t="s">
        <v>24</v>
      </c>
      <c r="L361" t="s">
        <v>2034</v>
      </c>
      <c r="M361" s="1">
        <v>44984</v>
      </c>
      <c r="N361" t="s">
        <v>26</v>
      </c>
      <c r="O361">
        <v>3</v>
      </c>
    </row>
    <row r="362" spans="1:15">
      <c r="A362" t="s">
        <v>2035</v>
      </c>
      <c r="B362" t="s">
        <v>2036</v>
      </c>
      <c r="C362" t="s">
        <v>155</v>
      </c>
      <c r="D362" t="s">
        <v>521</v>
      </c>
      <c r="E362" t="s">
        <v>2037</v>
      </c>
      <c r="F362" t="s">
        <v>2038</v>
      </c>
      <c r="G362">
        <v>21</v>
      </c>
      <c r="H362" t="s">
        <v>55</v>
      </c>
      <c r="I362" t="s">
        <v>74</v>
      </c>
      <c r="J362" t="s">
        <v>75</v>
      </c>
      <c r="K362" t="s">
        <v>76</v>
      </c>
      <c r="L362" t="s">
        <v>2039</v>
      </c>
      <c r="M362" s="1">
        <v>44279</v>
      </c>
      <c r="N362" t="s">
        <v>118</v>
      </c>
      <c r="O362">
        <v>5</v>
      </c>
    </row>
    <row r="363" spans="1:15">
      <c r="A363" t="s">
        <v>2040</v>
      </c>
      <c r="B363" t="s">
        <v>300</v>
      </c>
      <c r="C363" t="s">
        <v>183</v>
      </c>
      <c r="D363" t="s">
        <v>301</v>
      </c>
      <c r="E363" t="s">
        <v>2041</v>
      </c>
      <c r="F363" t="s">
        <v>2042</v>
      </c>
      <c r="G363">
        <v>21</v>
      </c>
      <c r="H363" t="s">
        <v>21</v>
      </c>
      <c r="I363" t="s">
        <v>1107</v>
      </c>
      <c r="J363" t="s">
        <v>197</v>
      </c>
      <c r="K363" t="s">
        <v>24</v>
      </c>
      <c r="L363" t="s">
        <v>2043</v>
      </c>
      <c r="M363" s="1">
        <v>43952</v>
      </c>
      <c r="N363" t="s">
        <v>26</v>
      </c>
      <c r="O363">
        <v>6</v>
      </c>
    </row>
    <row r="364" spans="1:15">
      <c r="A364" t="s">
        <v>2044</v>
      </c>
      <c r="B364" t="s">
        <v>2045</v>
      </c>
      <c r="C364" t="s">
        <v>70</v>
      </c>
      <c r="D364" t="s">
        <v>142</v>
      </c>
      <c r="E364" t="s">
        <v>2046</v>
      </c>
      <c r="F364" t="s">
        <v>2047</v>
      </c>
      <c r="G364">
        <v>45</v>
      </c>
      <c r="H364" t="s">
        <v>55</v>
      </c>
      <c r="I364" t="s">
        <v>270</v>
      </c>
      <c r="J364" t="s">
        <v>271</v>
      </c>
      <c r="K364" t="s">
        <v>188</v>
      </c>
      <c r="L364" t="s">
        <v>2048</v>
      </c>
      <c r="M364" s="1">
        <v>45273</v>
      </c>
      <c r="N364" t="s">
        <v>48</v>
      </c>
      <c r="O364">
        <v>3</v>
      </c>
    </row>
    <row r="365" spans="1:15">
      <c r="A365" t="s">
        <v>2049</v>
      </c>
      <c r="B365" t="s">
        <v>2050</v>
      </c>
      <c r="C365" t="s">
        <v>587</v>
      </c>
      <c r="D365" t="s">
        <v>454</v>
      </c>
      <c r="E365" t="s">
        <v>2051</v>
      </c>
      <c r="F365" t="s">
        <v>2052</v>
      </c>
      <c r="G365">
        <v>40</v>
      </c>
      <c r="H365" t="s">
        <v>21</v>
      </c>
      <c r="I365" t="s">
        <v>411</v>
      </c>
      <c r="J365" t="s">
        <v>412</v>
      </c>
      <c r="K365" t="s">
        <v>35</v>
      </c>
      <c r="L365" t="s">
        <v>2053</v>
      </c>
      <c r="M365" s="1">
        <v>44828</v>
      </c>
      <c r="N365" t="s">
        <v>26</v>
      </c>
      <c r="O365">
        <v>4</v>
      </c>
    </row>
    <row r="366" spans="1:15">
      <c r="A366" t="s">
        <v>2054</v>
      </c>
      <c r="B366" t="s">
        <v>2055</v>
      </c>
      <c r="C366" t="s">
        <v>439</v>
      </c>
      <c r="D366" t="s">
        <v>480</v>
      </c>
      <c r="E366" t="s">
        <v>2056</v>
      </c>
      <c r="F366" t="s">
        <v>2057</v>
      </c>
      <c r="G366">
        <v>31</v>
      </c>
      <c r="H366" t="s">
        <v>43</v>
      </c>
      <c r="I366" t="s">
        <v>333</v>
      </c>
      <c r="J366" t="s">
        <v>85</v>
      </c>
      <c r="K366" t="s">
        <v>24</v>
      </c>
      <c r="L366" t="s">
        <v>2058</v>
      </c>
      <c r="M366" s="1">
        <v>45499</v>
      </c>
      <c r="N366" t="s">
        <v>48</v>
      </c>
      <c r="O366">
        <v>2</v>
      </c>
    </row>
    <row r="367" spans="1:15">
      <c r="A367" t="s">
        <v>2059</v>
      </c>
      <c r="B367" t="s">
        <v>2060</v>
      </c>
      <c r="C367" t="s">
        <v>1882</v>
      </c>
      <c r="D367" t="s">
        <v>1235</v>
      </c>
      <c r="E367" t="s">
        <v>2061</v>
      </c>
      <c r="F367" t="s">
        <v>2062</v>
      </c>
      <c r="G367">
        <v>45</v>
      </c>
      <c r="H367" t="s">
        <v>55</v>
      </c>
      <c r="I367" t="s">
        <v>131</v>
      </c>
      <c r="J367" t="s">
        <v>57</v>
      </c>
      <c r="K367" t="s">
        <v>46</v>
      </c>
      <c r="L367" t="s">
        <v>2063</v>
      </c>
      <c r="M367" s="1">
        <v>45004</v>
      </c>
      <c r="N367" t="s">
        <v>48</v>
      </c>
      <c r="O367">
        <v>3</v>
      </c>
    </row>
    <row r="368" spans="1:15">
      <c r="A368" t="s">
        <v>2064</v>
      </c>
      <c r="B368" t="s">
        <v>2065</v>
      </c>
      <c r="C368" t="s">
        <v>216</v>
      </c>
      <c r="D368" t="s">
        <v>498</v>
      </c>
      <c r="E368" t="s">
        <v>2066</v>
      </c>
      <c r="F368" t="s">
        <v>2067</v>
      </c>
      <c r="G368">
        <v>51</v>
      </c>
      <c r="H368" t="s">
        <v>21</v>
      </c>
      <c r="I368" t="s">
        <v>608</v>
      </c>
      <c r="J368" t="s">
        <v>609</v>
      </c>
      <c r="K368" t="s">
        <v>35</v>
      </c>
      <c r="L368" t="s">
        <v>2068</v>
      </c>
      <c r="M368" s="1">
        <v>44044</v>
      </c>
      <c r="N368" t="s">
        <v>48</v>
      </c>
      <c r="O368">
        <v>6</v>
      </c>
    </row>
    <row r="369" spans="1:15">
      <c r="A369" t="s">
        <v>2069</v>
      </c>
      <c r="B369" t="s">
        <v>2070</v>
      </c>
      <c r="C369" t="s">
        <v>570</v>
      </c>
      <c r="D369" t="s">
        <v>71</v>
      </c>
      <c r="E369" t="s">
        <v>2071</v>
      </c>
      <c r="F369" t="s">
        <v>2072</v>
      </c>
      <c r="G369">
        <v>25</v>
      </c>
      <c r="H369" t="s">
        <v>43</v>
      </c>
      <c r="I369" t="s">
        <v>44</v>
      </c>
      <c r="J369" t="s">
        <v>45</v>
      </c>
      <c r="K369" t="s">
        <v>46</v>
      </c>
      <c r="L369" t="s">
        <v>2073</v>
      </c>
      <c r="M369" s="1">
        <v>45644</v>
      </c>
      <c r="N369" t="s">
        <v>118</v>
      </c>
      <c r="O369">
        <v>2</v>
      </c>
    </row>
    <row r="370" spans="1:15">
      <c r="A370" t="s">
        <v>2074</v>
      </c>
      <c r="B370" t="s">
        <v>2075</v>
      </c>
      <c r="C370" t="s">
        <v>677</v>
      </c>
      <c r="D370" t="s">
        <v>112</v>
      </c>
      <c r="E370" t="s">
        <v>2076</v>
      </c>
      <c r="F370" t="s">
        <v>2077</v>
      </c>
      <c r="G370">
        <v>26</v>
      </c>
      <c r="H370" t="s">
        <v>21</v>
      </c>
      <c r="I370" t="s">
        <v>316</v>
      </c>
      <c r="J370" t="s">
        <v>197</v>
      </c>
      <c r="K370" t="s">
        <v>24</v>
      </c>
      <c r="L370" t="s">
        <v>2078</v>
      </c>
      <c r="M370" s="1">
        <v>45442</v>
      </c>
      <c r="N370" t="s">
        <v>48</v>
      </c>
      <c r="O370">
        <v>2</v>
      </c>
    </row>
    <row r="371" spans="1:15">
      <c r="A371" t="s">
        <v>2079</v>
      </c>
      <c r="B371" t="s">
        <v>2080</v>
      </c>
      <c r="C371" t="s">
        <v>705</v>
      </c>
      <c r="D371" t="s">
        <v>880</v>
      </c>
      <c r="E371" t="s">
        <v>2081</v>
      </c>
      <c r="F371" t="s">
        <v>2082</v>
      </c>
      <c r="G371">
        <v>44</v>
      </c>
      <c r="H371" t="s">
        <v>43</v>
      </c>
      <c r="I371" t="s">
        <v>205</v>
      </c>
      <c r="J371" t="s">
        <v>57</v>
      </c>
      <c r="K371" t="s">
        <v>46</v>
      </c>
      <c r="L371" t="s">
        <v>2083</v>
      </c>
      <c r="M371" s="1">
        <v>45636</v>
      </c>
      <c r="N371" t="s">
        <v>26</v>
      </c>
      <c r="O371">
        <v>2</v>
      </c>
    </row>
    <row r="372" spans="1:15">
      <c r="A372" t="s">
        <v>2084</v>
      </c>
      <c r="B372" t="s">
        <v>2085</v>
      </c>
      <c r="C372" t="s">
        <v>230</v>
      </c>
      <c r="D372" t="s">
        <v>202</v>
      </c>
      <c r="E372" t="s">
        <v>2086</v>
      </c>
      <c r="F372" t="s">
        <v>2087</v>
      </c>
      <c r="G372">
        <v>30</v>
      </c>
      <c r="H372" t="s">
        <v>43</v>
      </c>
      <c r="I372" t="s">
        <v>1019</v>
      </c>
      <c r="J372" t="s">
        <v>197</v>
      </c>
      <c r="K372" t="s">
        <v>24</v>
      </c>
      <c r="L372" t="s">
        <v>2088</v>
      </c>
      <c r="M372" s="1">
        <v>44292</v>
      </c>
      <c r="N372" t="s">
        <v>48</v>
      </c>
      <c r="O372">
        <v>5</v>
      </c>
    </row>
    <row r="373" spans="1:15">
      <c r="A373" t="s">
        <v>2089</v>
      </c>
      <c r="B373" t="s">
        <v>2090</v>
      </c>
      <c r="C373" t="s">
        <v>337</v>
      </c>
      <c r="D373" t="s">
        <v>238</v>
      </c>
      <c r="E373" t="s">
        <v>2091</v>
      </c>
      <c r="F373" t="s">
        <v>2092</v>
      </c>
      <c r="G373">
        <v>44</v>
      </c>
      <c r="H373" t="s">
        <v>21</v>
      </c>
      <c r="I373" t="s">
        <v>270</v>
      </c>
      <c r="J373" t="s">
        <v>271</v>
      </c>
      <c r="K373" t="s">
        <v>188</v>
      </c>
      <c r="L373" t="s">
        <v>2093</v>
      </c>
      <c r="M373" s="1">
        <v>44179</v>
      </c>
      <c r="N373" t="s">
        <v>48</v>
      </c>
      <c r="O373">
        <v>6</v>
      </c>
    </row>
    <row r="374" spans="1:15">
      <c r="A374" t="s">
        <v>2094</v>
      </c>
      <c r="B374" t="s">
        <v>2095</v>
      </c>
      <c r="C374" t="s">
        <v>1186</v>
      </c>
      <c r="D374" t="s">
        <v>422</v>
      </c>
      <c r="E374" t="s">
        <v>2096</v>
      </c>
      <c r="F374" t="s">
        <v>2097</v>
      </c>
      <c r="G374">
        <v>47</v>
      </c>
      <c r="H374" t="s">
        <v>21</v>
      </c>
      <c r="I374" t="s">
        <v>685</v>
      </c>
      <c r="J374" t="s">
        <v>686</v>
      </c>
      <c r="K374" t="s">
        <v>188</v>
      </c>
      <c r="L374" t="s">
        <v>2098</v>
      </c>
      <c r="M374" s="1">
        <v>43894</v>
      </c>
      <c r="N374" t="s">
        <v>26</v>
      </c>
      <c r="O374">
        <v>6</v>
      </c>
    </row>
    <row r="375" spans="1:15">
      <c r="A375" t="s">
        <v>2099</v>
      </c>
      <c r="B375" t="s">
        <v>2100</v>
      </c>
      <c r="C375" t="s">
        <v>520</v>
      </c>
      <c r="D375" t="s">
        <v>974</v>
      </c>
      <c r="E375" t="s">
        <v>2101</v>
      </c>
      <c r="F375" t="s">
        <v>2102</v>
      </c>
      <c r="G375">
        <v>55</v>
      </c>
      <c r="H375" t="s">
        <v>55</v>
      </c>
      <c r="I375" t="s">
        <v>212</v>
      </c>
      <c r="J375" t="s">
        <v>57</v>
      </c>
      <c r="K375" t="s">
        <v>46</v>
      </c>
      <c r="L375" t="s">
        <v>2103</v>
      </c>
      <c r="M375" s="1">
        <v>45258</v>
      </c>
      <c r="N375" t="s">
        <v>48</v>
      </c>
      <c r="O375">
        <v>3</v>
      </c>
    </row>
    <row r="376" spans="1:15">
      <c r="A376" t="s">
        <v>2104</v>
      </c>
      <c r="B376" t="s">
        <v>2105</v>
      </c>
      <c r="C376" t="s">
        <v>344</v>
      </c>
      <c r="D376" t="s">
        <v>238</v>
      </c>
      <c r="E376" t="s">
        <v>2106</v>
      </c>
      <c r="F376" t="s">
        <v>2107</v>
      </c>
      <c r="G376">
        <v>51</v>
      </c>
      <c r="H376" t="s">
        <v>21</v>
      </c>
      <c r="I376" t="s">
        <v>115</v>
      </c>
      <c r="J376" t="s">
        <v>116</v>
      </c>
      <c r="K376" t="s">
        <v>24</v>
      </c>
      <c r="L376" t="s">
        <v>2108</v>
      </c>
      <c r="M376" s="1">
        <v>44956</v>
      </c>
      <c r="N376" t="s">
        <v>48</v>
      </c>
      <c r="O376">
        <v>3</v>
      </c>
    </row>
    <row r="377" spans="1:15">
      <c r="A377" t="s">
        <v>2109</v>
      </c>
      <c r="B377" t="s">
        <v>2110</v>
      </c>
      <c r="C377" t="s">
        <v>576</v>
      </c>
      <c r="D377" t="s">
        <v>231</v>
      </c>
      <c r="E377" t="s">
        <v>2111</v>
      </c>
      <c r="F377" t="s">
        <v>2112</v>
      </c>
      <c r="G377">
        <v>32</v>
      </c>
      <c r="H377" t="s">
        <v>21</v>
      </c>
      <c r="I377" t="s">
        <v>608</v>
      </c>
      <c r="J377" t="s">
        <v>609</v>
      </c>
      <c r="K377" t="s">
        <v>35</v>
      </c>
      <c r="L377" t="s">
        <v>2113</v>
      </c>
      <c r="M377" s="1">
        <v>44814</v>
      </c>
      <c r="N377" t="s">
        <v>48</v>
      </c>
      <c r="O377">
        <v>4</v>
      </c>
    </row>
    <row r="378" spans="1:15">
      <c r="A378" t="s">
        <v>2114</v>
      </c>
      <c r="B378" t="s">
        <v>2115</v>
      </c>
      <c r="C378" t="s">
        <v>446</v>
      </c>
      <c r="D378" t="s">
        <v>974</v>
      </c>
      <c r="E378" t="s">
        <v>2116</v>
      </c>
      <c r="F378" t="s">
        <v>2117</v>
      </c>
      <c r="G378">
        <v>45</v>
      </c>
      <c r="H378" t="s">
        <v>43</v>
      </c>
      <c r="I378" t="s">
        <v>685</v>
      </c>
      <c r="J378" t="s">
        <v>686</v>
      </c>
      <c r="K378" t="s">
        <v>188</v>
      </c>
      <c r="L378" t="s">
        <v>2118</v>
      </c>
      <c r="M378" s="1">
        <v>44462</v>
      </c>
      <c r="N378" t="s">
        <v>118</v>
      </c>
      <c r="O378">
        <v>5</v>
      </c>
    </row>
    <row r="379" spans="1:15">
      <c r="A379" t="s">
        <v>2119</v>
      </c>
      <c r="B379" t="s">
        <v>2120</v>
      </c>
      <c r="C379" t="s">
        <v>344</v>
      </c>
      <c r="D379" t="s">
        <v>112</v>
      </c>
      <c r="E379" t="s">
        <v>2121</v>
      </c>
      <c r="F379" t="s">
        <v>2122</v>
      </c>
      <c r="G379">
        <v>31</v>
      </c>
      <c r="H379" t="s">
        <v>43</v>
      </c>
      <c r="I379" t="s">
        <v>824</v>
      </c>
      <c r="J379" t="s">
        <v>45</v>
      </c>
      <c r="K379" t="s">
        <v>46</v>
      </c>
      <c r="L379" t="s">
        <v>2123</v>
      </c>
      <c r="M379" s="1">
        <v>44587</v>
      </c>
      <c r="N379" t="s">
        <v>48</v>
      </c>
      <c r="O379">
        <v>4</v>
      </c>
    </row>
    <row r="380" spans="1:15">
      <c r="A380" t="s">
        <v>2124</v>
      </c>
      <c r="B380" t="s">
        <v>2125</v>
      </c>
      <c r="C380" t="s">
        <v>428</v>
      </c>
      <c r="D380" t="s">
        <v>880</v>
      </c>
      <c r="E380" t="s">
        <v>2126</v>
      </c>
      <c r="F380" t="s">
        <v>2127</v>
      </c>
      <c r="G380">
        <v>26</v>
      </c>
      <c r="H380" t="s">
        <v>21</v>
      </c>
      <c r="I380" t="s">
        <v>196</v>
      </c>
      <c r="J380" t="s">
        <v>197</v>
      </c>
      <c r="K380" t="s">
        <v>24</v>
      </c>
      <c r="L380" t="s">
        <v>2128</v>
      </c>
      <c r="M380" s="1">
        <v>44140</v>
      </c>
      <c r="N380" t="s">
        <v>48</v>
      </c>
      <c r="O380">
        <v>6</v>
      </c>
    </row>
    <row r="381" spans="1:15">
      <c r="A381" t="s">
        <v>2129</v>
      </c>
      <c r="B381" t="s">
        <v>2130</v>
      </c>
      <c r="C381" t="s">
        <v>148</v>
      </c>
      <c r="D381" t="s">
        <v>546</v>
      </c>
      <c r="E381" t="s">
        <v>2131</v>
      </c>
      <c r="F381" t="s">
        <v>2132</v>
      </c>
      <c r="G381">
        <v>53</v>
      </c>
      <c r="H381" t="s">
        <v>43</v>
      </c>
      <c r="I381" t="s">
        <v>249</v>
      </c>
      <c r="J381" t="s">
        <v>250</v>
      </c>
      <c r="K381" t="s">
        <v>188</v>
      </c>
      <c r="L381" t="s">
        <v>2133</v>
      </c>
      <c r="M381" s="1">
        <v>45507</v>
      </c>
      <c r="N381" t="s">
        <v>26</v>
      </c>
      <c r="O381">
        <v>2</v>
      </c>
    </row>
    <row r="382" spans="1:15">
      <c r="A382" t="s">
        <v>2134</v>
      </c>
      <c r="B382" t="s">
        <v>2135</v>
      </c>
      <c r="C382" t="s">
        <v>294</v>
      </c>
      <c r="D382" t="s">
        <v>472</v>
      </c>
      <c r="E382" t="s">
        <v>2136</v>
      </c>
      <c r="F382" t="s">
        <v>2137</v>
      </c>
      <c r="G382">
        <v>45</v>
      </c>
      <c r="H382" t="s">
        <v>21</v>
      </c>
      <c r="I382" t="s">
        <v>685</v>
      </c>
      <c r="J382" t="s">
        <v>686</v>
      </c>
      <c r="K382" t="s">
        <v>188</v>
      </c>
      <c r="L382" t="s">
        <v>2138</v>
      </c>
      <c r="M382" s="1">
        <v>43992</v>
      </c>
      <c r="N382" t="s">
        <v>26</v>
      </c>
      <c r="O382">
        <v>6</v>
      </c>
    </row>
    <row r="383" spans="1:15">
      <c r="A383" t="s">
        <v>2139</v>
      </c>
      <c r="B383" t="s">
        <v>2140</v>
      </c>
      <c r="C383" t="s">
        <v>903</v>
      </c>
      <c r="D383" t="s">
        <v>422</v>
      </c>
      <c r="E383" t="s">
        <v>2141</v>
      </c>
      <c r="F383" t="s">
        <v>2142</v>
      </c>
      <c r="G383">
        <v>48</v>
      </c>
      <c r="H383" t="s">
        <v>21</v>
      </c>
      <c r="I383" t="s">
        <v>290</v>
      </c>
      <c r="J383" t="s">
        <v>197</v>
      </c>
      <c r="K383" t="s">
        <v>24</v>
      </c>
      <c r="L383" t="s">
        <v>2143</v>
      </c>
      <c r="M383" s="1">
        <v>45381</v>
      </c>
      <c r="N383" t="s">
        <v>48</v>
      </c>
      <c r="O383">
        <v>2</v>
      </c>
    </row>
    <row r="384" spans="1:15">
      <c r="A384" t="s">
        <v>2144</v>
      </c>
      <c r="B384" t="s">
        <v>2145</v>
      </c>
      <c r="C384" t="s">
        <v>51</v>
      </c>
      <c r="D384" t="s">
        <v>846</v>
      </c>
      <c r="E384" t="s">
        <v>2146</v>
      </c>
      <c r="F384" t="s">
        <v>2147</v>
      </c>
      <c r="G384">
        <v>32</v>
      </c>
      <c r="H384" t="s">
        <v>21</v>
      </c>
      <c r="I384" t="s">
        <v>65</v>
      </c>
      <c r="J384" t="s">
        <v>66</v>
      </c>
      <c r="K384" t="s">
        <v>35</v>
      </c>
      <c r="L384" t="s">
        <v>2148</v>
      </c>
      <c r="M384" s="1">
        <v>44722</v>
      </c>
      <c r="N384" t="s">
        <v>26</v>
      </c>
      <c r="O384">
        <v>4</v>
      </c>
    </row>
    <row r="385" spans="1:15">
      <c r="A385" t="s">
        <v>2149</v>
      </c>
      <c r="B385" t="s">
        <v>2150</v>
      </c>
      <c r="C385" t="s">
        <v>428</v>
      </c>
      <c r="D385" t="s">
        <v>105</v>
      </c>
      <c r="E385" t="s">
        <v>2151</v>
      </c>
      <c r="F385" t="s">
        <v>2152</v>
      </c>
      <c r="G385">
        <v>55</v>
      </c>
      <c r="H385" t="s">
        <v>43</v>
      </c>
      <c r="I385" t="s">
        <v>475</v>
      </c>
      <c r="J385" t="s">
        <v>197</v>
      </c>
      <c r="K385" t="s">
        <v>24</v>
      </c>
      <c r="L385" t="s">
        <v>2153</v>
      </c>
      <c r="M385" s="1">
        <v>44644</v>
      </c>
      <c r="N385" t="s">
        <v>48</v>
      </c>
      <c r="O385">
        <v>4</v>
      </c>
    </row>
    <row r="386" spans="1:15">
      <c r="A386" t="s">
        <v>2154</v>
      </c>
      <c r="B386" t="s">
        <v>1286</v>
      </c>
      <c r="C386" t="s">
        <v>1287</v>
      </c>
      <c r="D386" t="s">
        <v>128</v>
      </c>
      <c r="E386" t="s">
        <v>2155</v>
      </c>
      <c r="F386" t="s">
        <v>2156</v>
      </c>
      <c r="G386">
        <v>46</v>
      </c>
      <c r="H386" t="s">
        <v>21</v>
      </c>
      <c r="I386" t="s">
        <v>355</v>
      </c>
      <c r="J386" t="s">
        <v>187</v>
      </c>
      <c r="K386" t="s">
        <v>188</v>
      </c>
      <c r="L386" t="s">
        <v>2157</v>
      </c>
      <c r="M386" s="1">
        <v>45431</v>
      </c>
      <c r="N386" t="s">
        <v>118</v>
      </c>
      <c r="O386">
        <v>2</v>
      </c>
    </row>
    <row r="387" spans="1:15">
      <c r="A387" t="s">
        <v>2158</v>
      </c>
      <c r="B387" t="s">
        <v>2159</v>
      </c>
      <c r="C387" t="s">
        <v>491</v>
      </c>
      <c r="D387" t="s">
        <v>440</v>
      </c>
      <c r="E387" t="s">
        <v>2160</v>
      </c>
      <c r="F387" t="s">
        <v>2161</v>
      </c>
      <c r="G387">
        <v>26</v>
      </c>
      <c r="H387" t="s">
        <v>43</v>
      </c>
      <c r="I387" t="s">
        <v>56</v>
      </c>
      <c r="J387" t="s">
        <v>57</v>
      </c>
      <c r="K387" t="s">
        <v>46</v>
      </c>
      <c r="L387" t="s">
        <v>2162</v>
      </c>
      <c r="M387" s="1">
        <v>45427</v>
      </c>
      <c r="N387" t="s">
        <v>26</v>
      </c>
      <c r="O387">
        <v>2</v>
      </c>
    </row>
    <row r="388" spans="1:15">
      <c r="A388" t="s">
        <v>2163</v>
      </c>
      <c r="B388" t="s">
        <v>2164</v>
      </c>
      <c r="C388" t="s">
        <v>359</v>
      </c>
      <c r="D388" t="s">
        <v>480</v>
      </c>
      <c r="E388" t="s">
        <v>2165</v>
      </c>
      <c r="F388" t="s">
        <v>2166</v>
      </c>
      <c r="G388">
        <v>50</v>
      </c>
      <c r="H388" t="s">
        <v>21</v>
      </c>
      <c r="I388" t="s">
        <v>226</v>
      </c>
      <c r="J388" t="s">
        <v>226</v>
      </c>
      <c r="K388" t="s">
        <v>24</v>
      </c>
      <c r="L388" t="s">
        <v>2167</v>
      </c>
      <c r="M388" s="1">
        <v>45078</v>
      </c>
      <c r="N388" t="s">
        <v>48</v>
      </c>
      <c r="O388">
        <v>3</v>
      </c>
    </row>
    <row r="389" spans="1:15">
      <c r="A389" t="s">
        <v>2168</v>
      </c>
      <c r="B389" t="s">
        <v>2169</v>
      </c>
      <c r="C389" t="s">
        <v>570</v>
      </c>
      <c r="D389" t="s">
        <v>385</v>
      </c>
      <c r="E389" t="s">
        <v>2170</v>
      </c>
      <c r="F389" t="s">
        <v>2171</v>
      </c>
      <c r="G389">
        <v>41</v>
      </c>
      <c r="H389" t="s">
        <v>21</v>
      </c>
      <c r="I389" t="s">
        <v>115</v>
      </c>
      <c r="J389" t="s">
        <v>116</v>
      </c>
      <c r="K389" t="s">
        <v>24</v>
      </c>
      <c r="L389" t="s">
        <v>2172</v>
      </c>
      <c r="M389" s="1">
        <v>44641</v>
      </c>
      <c r="N389" t="s">
        <v>48</v>
      </c>
      <c r="O389">
        <v>4</v>
      </c>
    </row>
    <row r="390" spans="1:15">
      <c r="A390" t="s">
        <v>2173</v>
      </c>
      <c r="B390" t="s">
        <v>2174</v>
      </c>
      <c r="C390" t="s">
        <v>570</v>
      </c>
      <c r="D390" t="s">
        <v>246</v>
      </c>
      <c r="E390" t="s">
        <v>2175</v>
      </c>
      <c r="F390" t="s">
        <v>2176</v>
      </c>
      <c r="G390">
        <v>39</v>
      </c>
      <c r="H390" t="s">
        <v>43</v>
      </c>
      <c r="I390" t="s">
        <v>179</v>
      </c>
      <c r="J390" t="s">
        <v>179</v>
      </c>
      <c r="K390" t="s">
        <v>24</v>
      </c>
      <c r="L390" t="s">
        <v>2177</v>
      </c>
      <c r="M390" s="1">
        <v>45505</v>
      </c>
      <c r="N390" t="s">
        <v>48</v>
      </c>
      <c r="O390">
        <v>2</v>
      </c>
    </row>
    <row r="391" spans="1:15">
      <c r="A391" t="s">
        <v>2178</v>
      </c>
      <c r="B391" t="s">
        <v>2179</v>
      </c>
      <c r="C391" t="s">
        <v>935</v>
      </c>
      <c r="D391" t="s">
        <v>338</v>
      </c>
      <c r="E391" t="s">
        <v>2180</v>
      </c>
      <c r="F391" t="s">
        <v>2181</v>
      </c>
      <c r="G391">
        <v>40</v>
      </c>
      <c r="H391" t="s">
        <v>43</v>
      </c>
      <c r="I391" t="s">
        <v>374</v>
      </c>
      <c r="J391" t="s">
        <v>197</v>
      </c>
      <c r="K391" t="s">
        <v>24</v>
      </c>
      <c r="L391" t="s">
        <v>2182</v>
      </c>
      <c r="M391" s="1">
        <v>45416</v>
      </c>
      <c r="N391" t="s">
        <v>118</v>
      </c>
      <c r="O391">
        <v>2</v>
      </c>
    </row>
    <row r="392" spans="1:15">
      <c r="A392" t="s">
        <v>2183</v>
      </c>
      <c r="B392" t="s">
        <v>2184</v>
      </c>
      <c r="C392" t="s">
        <v>497</v>
      </c>
      <c r="D392" t="s">
        <v>135</v>
      </c>
      <c r="E392" t="s">
        <v>2185</v>
      </c>
      <c r="F392" t="s">
        <v>2186</v>
      </c>
      <c r="G392">
        <v>53</v>
      </c>
      <c r="H392" t="s">
        <v>43</v>
      </c>
      <c r="I392" t="s">
        <v>205</v>
      </c>
      <c r="J392" t="s">
        <v>57</v>
      </c>
      <c r="K392" t="s">
        <v>46</v>
      </c>
      <c r="L392" t="s">
        <v>2187</v>
      </c>
      <c r="M392" s="1">
        <v>45386</v>
      </c>
      <c r="N392" t="s">
        <v>48</v>
      </c>
      <c r="O392">
        <v>2</v>
      </c>
    </row>
    <row r="393" spans="1:15">
      <c r="A393" t="s">
        <v>2188</v>
      </c>
      <c r="B393" t="s">
        <v>2189</v>
      </c>
      <c r="C393" t="s">
        <v>661</v>
      </c>
      <c r="D393" t="s">
        <v>778</v>
      </c>
      <c r="E393" t="s">
        <v>2190</v>
      </c>
      <c r="F393" t="s">
        <v>2191</v>
      </c>
      <c r="G393">
        <v>53</v>
      </c>
      <c r="H393" t="s">
        <v>55</v>
      </c>
      <c r="I393" t="s">
        <v>33</v>
      </c>
      <c r="J393" t="s">
        <v>34</v>
      </c>
      <c r="K393" t="s">
        <v>35</v>
      </c>
      <c r="L393" t="s">
        <v>2192</v>
      </c>
      <c r="M393" s="1">
        <v>44108</v>
      </c>
      <c r="N393" t="s">
        <v>48</v>
      </c>
      <c r="O393">
        <v>6</v>
      </c>
    </row>
    <row r="394" spans="1:15">
      <c r="A394" t="s">
        <v>2193</v>
      </c>
      <c r="B394" t="s">
        <v>2194</v>
      </c>
      <c r="C394" t="s">
        <v>329</v>
      </c>
      <c r="D394" t="s">
        <v>345</v>
      </c>
      <c r="E394" t="s">
        <v>2195</v>
      </c>
      <c r="F394" t="s">
        <v>2196</v>
      </c>
      <c r="G394">
        <v>43</v>
      </c>
      <c r="H394" t="s">
        <v>21</v>
      </c>
      <c r="I394" t="s">
        <v>186</v>
      </c>
      <c r="J394" t="s">
        <v>187</v>
      </c>
      <c r="K394" t="s">
        <v>188</v>
      </c>
      <c r="L394" t="s">
        <v>2197</v>
      </c>
      <c r="M394" s="1">
        <v>43934</v>
      </c>
      <c r="N394" t="s">
        <v>48</v>
      </c>
      <c r="O394">
        <v>6</v>
      </c>
    </row>
    <row r="395" spans="1:15">
      <c r="A395" t="s">
        <v>2198</v>
      </c>
      <c r="B395" t="s">
        <v>2199</v>
      </c>
      <c r="C395" t="s">
        <v>1068</v>
      </c>
      <c r="D395" t="s">
        <v>527</v>
      </c>
      <c r="E395" t="s">
        <v>2200</v>
      </c>
      <c r="F395" t="s">
        <v>2201</v>
      </c>
      <c r="G395">
        <v>35</v>
      </c>
      <c r="H395" t="s">
        <v>43</v>
      </c>
      <c r="I395" t="s">
        <v>590</v>
      </c>
      <c r="J395" t="s">
        <v>45</v>
      </c>
      <c r="K395" t="s">
        <v>46</v>
      </c>
      <c r="L395" t="s">
        <v>2202</v>
      </c>
      <c r="M395" s="1">
        <v>43893</v>
      </c>
      <c r="N395" t="s">
        <v>118</v>
      </c>
      <c r="O395">
        <v>6</v>
      </c>
    </row>
    <row r="396" spans="1:15">
      <c r="A396" t="s">
        <v>2203</v>
      </c>
      <c r="B396" t="s">
        <v>2204</v>
      </c>
      <c r="C396" t="s">
        <v>127</v>
      </c>
      <c r="D396" t="s">
        <v>880</v>
      </c>
      <c r="E396" t="s">
        <v>2205</v>
      </c>
      <c r="F396" t="s">
        <v>2206</v>
      </c>
      <c r="G396">
        <v>30</v>
      </c>
      <c r="H396" t="s">
        <v>43</v>
      </c>
      <c r="I396" t="s">
        <v>541</v>
      </c>
      <c r="J396" t="s">
        <v>271</v>
      </c>
      <c r="K396" t="s">
        <v>188</v>
      </c>
      <c r="L396" t="s">
        <v>2207</v>
      </c>
      <c r="M396" s="1">
        <v>44536</v>
      </c>
      <c r="N396" t="s">
        <v>48</v>
      </c>
      <c r="O396">
        <v>5</v>
      </c>
    </row>
    <row r="397" spans="1:15">
      <c r="A397" t="s">
        <v>2208</v>
      </c>
      <c r="B397" t="s">
        <v>2209</v>
      </c>
      <c r="C397" t="s">
        <v>2210</v>
      </c>
      <c r="D397" t="s">
        <v>352</v>
      </c>
      <c r="E397" t="s">
        <v>2211</v>
      </c>
      <c r="F397" t="s">
        <v>2212</v>
      </c>
      <c r="G397">
        <v>34</v>
      </c>
      <c r="H397" t="s">
        <v>21</v>
      </c>
      <c r="I397" t="s">
        <v>388</v>
      </c>
      <c r="J397" t="s">
        <v>75</v>
      </c>
      <c r="K397" t="s">
        <v>76</v>
      </c>
      <c r="L397" t="s">
        <v>2213</v>
      </c>
      <c r="M397" s="1">
        <v>45156</v>
      </c>
      <c r="N397" t="s">
        <v>48</v>
      </c>
      <c r="O397">
        <v>3</v>
      </c>
    </row>
    <row r="398" spans="1:15">
      <c r="A398" t="s">
        <v>2214</v>
      </c>
      <c r="B398" t="s">
        <v>2215</v>
      </c>
      <c r="C398" t="s">
        <v>1782</v>
      </c>
      <c r="D398" t="s">
        <v>546</v>
      </c>
      <c r="E398" t="s">
        <v>2216</v>
      </c>
      <c r="F398" t="s">
        <v>2217</v>
      </c>
      <c r="G398">
        <v>31</v>
      </c>
      <c r="H398" t="s">
        <v>55</v>
      </c>
      <c r="I398" t="s">
        <v>131</v>
      </c>
      <c r="J398" t="s">
        <v>57</v>
      </c>
      <c r="K398" t="s">
        <v>46</v>
      </c>
      <c r="L398" t="s">
        <v>2218</v>
      </c>
      <c r="M398" s="1">
        <v>44101</v>
      </c>
      <c r="N398" t="s">
        <v>48</v>
      </c>
      <c r="O398">
        <v>6</v>
      </c>
    </row>
    <row r="399" spans="1:15">
      <c r="A399" t="s">
        <v>2219</v>
      </c>
      <c r="B399" t="s">
        <v>2220</v>
      </c>
      <c r="C399" t="s">
        <v>805</v>
      </c>
      <c r="D399" t="s">
        <v>112</v>
      </c>
      <c r="E399" t="s">
        <v>2221</v>
      </c>
      <c r="F399" t="s">
        <v>2222</v>
      </c>
      <c r="G399">
        <v>44</v>
      </c>
      <c r="H399" t="s">
        <v>43</v>
      </c>
      <c r="I399" t="s">
        <v>1019</v>
      </c>
      <c r="J399" t="s">
        <v>197</v>
      </c>
      <c r="K399" t="s">
        <v>24</v>
      </c>
      <c r="L399" t="s">
        <v>2223</v>
      </c>
      <c r="M399" s="1">
        <v>44698</v>
      </c>
      <c r="N399" t="s">
        <v>118</v>
      </c>
      <c r="O399">
        <v>4</v>
      </c>
    </row>
    <row r="400" spans="1:15">
      <c r="A400" t="s">
        <v>2224</v>
      </c>
      <c r="B400" t="s">
        <v>2225</v>
      </c>
      <c r="C400" t="s">
        <v>845</v>
      </c>
      <c r="D400" t="s">
        <v>946</v>
      </c>
      <c r="E400" t="s">
        <v>2226</v>
      </c>
      <c r="F400" t="s">
        <v>2227</v>
      </c>
      <c r="G400">
        <v>26</v>
      </c>
      <c r="H400" t="s">
        <v>21</v>
      </c>
      <c r="I400" t="s">
        <v>1722</v>
      </c>
      <c r="J400" t="s">
        <v>221</v>
      </c>
      <c r="K400" t="s">
        <v>24</v>
      </c>
      <c r="L400" t="s">
        <v>2228</v>
      </c>
      <c r="M400" s="1">
        <v>45028</v>
      </c>
      <c r="N400" t="s">
        <v>26</v>
      </c>
      <c r="O400">
        <v>3</v>
      </c>
    </row>
    <row r="401" spans="1:15">
      <c r="A401" t="s">
        <v>2229</v>
      </c>
      <c r="B401" t="s">
        <v>913</v>
      </c>
      <c r="C401" t="s">
        <v>344</v>
      </c>
      <c r="D401" t="s">
        <v>447</v>
      </c>
      <c r="E401" t="s">
        <v>2230</v>
      </c>
      <c r="F401" t="s">
        <v>2231</v>
      </c>
      <c r="G401">
        <v>39</v>
      </c>
      <c r="H401" t="s">
        <v>21</v>
      </c>
      <c r="I401" t="s">
        <v>151</v>
      </c>
      <c r="J401" t="s">
        <v>75</v>
      </c>
      <c r="K401" t="s">
        <v>76</v>
      </c>
      <c r="L401" t="s">
        <v>2232</v>
      </c>
      <c r="M401" s="1">
        <v>44409</v>
      </c>
      <c r="N401" t="s">
        <v>118</v>
      </c>
      <c r="O401">
        <v>5</v>
      </c>
    </row>
    <row r="402" spans="1:15">
      <c r="A402" t="s">
        <v>2233</v>
      </c>
      <c r="B402" t="s">
        <v>2234</v>
      </c>
      <c r="C402" t="s">
        <v>254</v>
      </c>
      <c r="D402" t="s">
        <v>301</v>
      </c>
      <c r="E402" t="s">
        <v>2235</v>
      </c>
      <c r="F402" t="s">
        <v>2236</v>
      </c>
      <c r="G402">
        <v>32</v>
      </c>
      <c r="H402" t="s">
        <v>21</v>
      </c>
      <c r="I402" t="s">
        <v>1019</v>
      </c>
      <c r="J402" t="s">
        <v>197</v>
      </c>
      <c r="K402" t="s">
        <v>24</v>
      </c>
      <c r="L402" t="s">
        <v>2237</v>
      </c>
      <c r="M402" s="1">
        <v>44442</v>
      </c>
      <c r="N402" t="s">
        <v>26</v>
      </c>
      <c r="O402">
        <v>5</v>
      </c>
    </row>
    <row r="403" spans="1:15">
      <c r="A403" t="s">
        <v>2238</v>
      </c>
      <c r="B403" t="s">
        <v>2239</v>
      </c>
      <c r="C403" t="s">
        <v>479</v>
      </c>
      <c r="D403" t="s">
        <v>156</v>
      </c>
      <c r="E403" t="s">
        <v>2240</v>
      </c>
      <c r="F403" t="s">
        <v>2241</v>
      </c>
      <c r="G403">
        <v>28</v>
      </c>
      <c r="H403" t="s">
        <v>21</v>
      </c>
      <c r="I403" t="s">
        <v>115</v>
      </c>
      <c r="J403" t="s">
        <v>116</v>
      </c>
      <c r="K403" t="s">
        <v>24</v>
      </c>
      <c r="L403" t="s">
        <v>2242</v>
      </c>
      <c r="M403" s="1">
        <v>44485</v>
      </c>
      <c r="N403" t="s">
        <v>118</v>
      </c>
      <c r="O403">
        <v>5</v>
      </c>
    </row>
    <row r="404" spans="1:15">
      <c r="A404" t="s">
        <v>2243</v>
      </c>
      <c r="B404" t="s">
        <v>2244</v>
      </c>
      <c r="C404" t="s">
        <v>739</v>
      </c>
      <c r="D404" t="s">
        <v>112</v>
      </c>
      <c r="E404" t="s">
        <v>2245</v>
      </c>
      <c r="F404" t="s">
        <v>2246</v>
      </c>
      <c r="G404">
        <v>32</v>
      </c>
      <c r="H404" t="s">
        <v>43</v>
      </c>
      <c r="I404" t="s">
        <v>186</v>
      </c>
      <c r="J404" t="s">
        <v>187</v>
      </c>
      <c r="K404" t="s">
        <v>188</v>
      </c>
      <c r="L404" t="s">
        <v>2247</v>
      </c>
      <c r="M404" s="1">
        <v>45281</v>
      </c>
      <c r="N404" t="s">
        <v>48</v>
      </c>
      <c r="O404">
        <v>3</v>
      </c>
    </row>
    <row r="405" spans="1:15">
      <c r="A405" t="s">
        <v>2248</v>
      </c>
      <c r="B405" t="s">
        <v>2249</v>
      </c>
      <c r="C405" t="s">
        <v>294</v>
      </c>
      <c r="D405" t="s">
        <v>633</v>
      </c>
      <c r="E405" t="s">
        <v>2250</v>
      </c>
      <c r="F405" t="s">
        <v>2251</v>
      </c>
      <c r="G405">
        <v>30</v>
      </c>
      <c r="H405" t="s">
        <v>55</v>
      </c>
      <c r="I405" t="s">
        <v>33</v>
      </c>
      <c r="J405" t="s">
        <v>34</v>
      </c>
      <c r="K405" t="s">
        <v>35</v>
      </c>
      <c r="L405" t="s">
        <v>2252</v>
      </c>
      <c r="M405" s="1">
        <v>45562</v>
      </c>
      <c r="N405" t="s">
        <v>48</v>
      </c>
      <c r="O405">
        <v>2</v>
      </c>
    </row>
    <row r="406" spans="1:15">
      <c r="A406" t="s">
        <v>2253</v>
      </c>
      <c r="B406" t="s">
        <v>2254</v>
      </c>
      <c r="C406" t="s">
        <v>739</v>
      </c>
      <c r="D406" t="s">
        <v>202</v>
      </c>
      <c r="E406" t="s">
        <v>2255</v>
      </c>
      <c r="F406" t="s">
        <v>2256</v>
      </c>
      <c r="G406">
        <v>41</v>
      </c>
      <c r="H406" t="s">
        <v>21</v>
      </c>
      <c r="I406" t="s">
        <v>541</v>
      </c>
      <c r="J406" t="s">
        <v>271</v>
      </c>
      <c r="K406" t="s">
        <v>188</v>
      </c>
      <c r="L406" t="s">
        <v>2257</v>
      </c>
      <c r="M406" s="1">
        <v>45223</v>
      </c>
      <c r="N406" t="s">
        <v>48</v>
      </c>
      <c r="O406">
        <v>3</v>
      </c>
    </row>
    <row r="407" spans="1:15">
      <c r="A407" t="s">
        <v>2258</v>
      </c>
      <c r="B407" t="s">
        <v>772</v>
      </c>
      <c r="C407" t="s">
        <v>453</v>
      </c>
      <c r="D407" t="s">
        <v>40</v>
      </c>
      <c r="E407" t="s">
        <v>2259</v>
      </c>
      <c r="F407" t="s">
        <v>2260</v>
      </c>
      <c r="G407">
        <v>38</v>
      </c>
      <c r="H407" t="s">
        <v>43</v>
      </c>
      <c r="I407" t="s">
        <v>824</v>
      </c>
      <c r="J407" t="s">
        <v>45</v>
      </c>
      <c r="K407" t="s">
        <v>46</v>
      </c>
      <c r="L407" t="s">
        <v>2261</v>
      </c>
      <c r="M407" s="1">
        <v>45030</v>
      </c>
      <c r="N407" t="s">
        <v>48</v>
      </c>
      <c r="O407">
        <v>3</v>
      </c>
    </row>
    <row r="408" spans="1:15">
      <c r="A408" t="s">
        <v>2262</v>
      </c>
      <c r="B408" t="s">
        <v>2263</v>
      </c>
      <c r="C408" t="s">
        <v>650</v>
      </c>
      <c r="D408" t="s">
        <v>605</v>
      </c>
      <c r="E408" t="s">
        <v>2264</v>
      </c>
      <c r="F408" t="s">
        <v>2265</v>
      </c>
      <c r="G408">
        <v>32</v>
      </c>
      <c r="H408" t="s">
        <v>55</v>
      </c>
      <c r="I408" t="s">
        <v>270</v>
      </c>
      <c r="J408" t="s">
        <v>271</v>
      </c>
      <c r="K408" t="s">
        <v>188</v>
      </c>
      <c r="L408" t="s">
        <v>2266</v>
      </c>
      <c r="M408" s="1">
        <v>45652</v>
      </c>
      <c r="N408" t="s">
        <v>48</v>
      </c>
      <c r="O408">
        <v>2</v>
      </c>
    </row>
    <row r="409" spans="1:15">
      <c r="A409" t="s">
        <v>2267</v>
      </c>
      <c r="B409" t="s">
        <v>2268</v>
      </c>
      <c r="C409" t="s">
        <v>294</v>
      </c>
      <c r="D409" t="s">
        <v>924</v>
      </c>
      <c r="E409" t="s">
        <v>2269</v>
      </c>
      <c r="F409" t="s">
        <v>2270</v>
      </c>
      <c r="G409">
        <v>41</v>
      </c>
      <c r="H409" t="s">
        <v>43</v>
      </c>
      <c r="I409" t="s">
        <v>290</v>
      </c>
      <c r="J409" t="s">
        <v>197</v>
      </c>
      <c r="K409" t="s">
        <v>24</v>
      </c>
      <c r="L409" t="s">
        <v>2271</v>
      </c>
      <c r="M409" s="1">
        <v>44241</v>
      </c>
      <c r="N409" t="s">
        <v>26</v>
      </c>
      <c r="O409">
        <v>5</v>
      </c>
    </row>
    <row r="410" spans="1:15">
      <c r="A410" t="s">
        <v>2272</v>
      </c>
      <c r="B410" t="s">
        <v>2273</v>
      </c>
      <c r="C410" t="s">
        <v>718</v>
      </c>
      <c r="D410" t="s">
        <v>440</v>
      </c>
      <c r="E410" t="s">
        <v>2274</v>
      </c>
      <c r="F410" t="s">
        <v>2275</v>
      </c>
      <c r="G410">
        <v>31</v>
      </c>
      <c r="H410" t="s">
        <v>43</v>
      </c>
      <c r="I410" t="s">
        <v>226</v>
      </c>
      <c r="J410" t="s">
        <v>226</v>
      </c>
      <c r="K410" t="s">
        <v>24</v>
      </c>
      <c r="L410" t="s">
        <v>2276</v>
      </c>
      <c r="M410" s="1">
        <v>45123</v>
      </c>
      <c r="N410" t="s">
        <v>48</v>
      </c>
      <c r="O410">
        <v>3</v>
      </c>
    </row>
    <row r="411" spans="1:15">
      <c r="A411" t="s">
        <v>2277</v>
      </c>
      <c r="B411" t="s">
        <v>2278</v>
      </c>
      <c r="C411" t="s">
        <v>183</v>
      </c>
      <c r="D411" t="s">
        <v>880</v>
      </c>
      <c r="E411" t="s">
        <v>2279</v>
      </c>
      <c r="F411" t="s">
        <v>2280</v>
      </c>
      <c r="G411">
        <v>25</v>
      </c>
      <c r="H411" t="s">
        <v>21</v>
      </c>
      <c r="I411" t="s">
        <v>196</v>
      </c>
      <c r="J411" t="s">
        <v>197</v>
      </c>
      <c r="K411" t="s">
        <v>24</v>
      </c>
      <c r="L411" t="s">
        <v>2281</v>
      </c>
      <c r="M411" s="1">
        <v>44833</v>
      </c>
      <c r="N411" t="s">
        <v>26</v>
      </c>
      <c r="O411">
        <v>4</v>
      </c>
    </row>
    <row r="412" spans="1:15">
      <c r="A412" t="s">
        <v>2282</v>
      </c>
      <c r="B412" t="s">
        <v>2283</v>
      </c>
      <c r="C412" t="s">
        <v>520</v>
      </c>
      <c r="D412" t="s">
        <v>295</v>
      </c>
      <c r="E412" t="s">
        <v>2284</v>
      </c>
      <c r="F412" t="s">
        <v>2285</v>
      </c>
      <c r="G412">
        <v>54</v>
      </c>
      <c r="H412" t="s">
        <v>21</v>
      </c>
      <c r="I412" t="s">
        <v>475</v>
      </c>
      <c r="J412" t="s">
        <v>197</v>
      </c>
      <c r="K412" t="s">
        <v>24</v>
      </c>
      <c r="L412" t="s">
        <v>2286</v>
      </c>
      <c r="M412" s="1">
        <v>43908</v>
      </c>
      <c r="N412" t="s">
        <v>48</v>
      </c>
      <c r="O412">
        <v>6</v>
      </c>
    </row>
    <row r="413" spans="1:15">
      <c r="A413" t="s">
        <v>2287</v>
      </c>
      <c r="B413" t="s">
        <v>2288</v>
      </c>
      <c r="C413" t="s">
        <v>677</v>
      </c>
      <c r="D413" t="s">
        <v>422</v>
      </c>
      <c r="E413" t="s">
        <v>2289</v>
      </c>
      <c r="F413" t="s">
        <v>2290</v>
      </c>
      <c r="G413">
        <v>35</v>
      </c>
      <c r="H413" t="s">
        <v>21</v>
      </c>
      <c r="I413" t="s">
        <v>179</v>
      </c>
      <c r="J413" t="s">
        <v>179</v>
      </c>
      <c r="K413" t="s">
        <v>24</v>
      </c>
      <c r="L413" t="s">
        <v>2291</v>
      </c>
      <c r="M413" s="1">
        <v>43839</v>
      </c>
      <c r="N413" t="s">
        <v>48</v>
      </c>
      <c r="O413">
        <v>6</v>
      </c>
    </row>
    <row r="414" spans="1:15">
      <c r="A414" t="s">
        <v>2292</v>
      </c>
      <c r="B414" t="s">
        <v>2293</v>
      </c>
      <c r="C414" t="s">
        <v>155</v>
      </c>
      <c r="D414" t="s">
        <v>162</v>
      </c>
      <c r="E414" t="s">
        <v>2294</v>
      </c>
      <c r="F414" t="s">
        <v>2295</v>
      </c>
      <c r="G414">
        <v>22</v>
      </c>
      <c r="H414" t="s">
        <v>43</v>
      </c>
      <c r="I414" t="s">
        <v>374</v>
      </c>
      <c r="J414" t="s">
        <v>197</v>
      </c>
      <c r="K414" t="s">
        <v>24</v>
      </c>
      <c r="L414" t="s">
        <v>2296</v>
      </c>
      <c r="M414" s="1">
        <v>43964</v>
      </c>
      <c r="N414" t="s">
        <v>48</v>
      </c>
      <c r="O414">
        <v>6</v>
      </c>
    </row>
    <row r="415" spans="1:15">
      <c r="A415" t="s">
        <v>2297</v>
      </c>
      <c r="B415" t="s">
        <v>2298</v>
      </c>
      <c r="C415" t="s">
        <v>718</v>
      </c>
      <c r="D415" t="s">
        <v>62</v>
      </c>
      <c r="E415" t="s">
        <v>2299</v>
      </c>
      <c r="F415" t="s">
        <v>2300</v>
      </c>
      <c r="G415">
        <v>41</v>
      </c>
      <c r="H415" t="s">
        <v>43</v>
      </c>
      <c r="I415" t="s">
        <v>411</v>
      </c>
      <c r="J415" t="s">
        <v>412</v>
      </c>
      <c r="K415" t="s">
        <v>35</v>
      </c>
      <c r="L415" t="s">
        <v>2301</v>
      </c>
      <c r="M415" s="1">
        <v>44105</v>
      </c>
      <c r="N415" t="s">
        <v>48</v>
      </c>
      <c r="O415">
        <v>6</v>
      </c>
    </row>
    <row r="416" spans="1:15">
      <c r="A416" t="s">
        <v>2302</v>
      </c>
      <c r="B416" t="s">
        <v>2303</v>
      </c>
      <c r="C416" t="s">
        <v>170</v>
      </c>
      <c r="D416" t="s">
        <v>345</v>
      </c>
      <c r="E416" t="s">
        <v>2304</v>
      </c>
      <c r="F416" t="s">
        <v>2305</v>
      </c>
      <c r="G416">
        <v>28</v>
      </c>
      <c r="H416" t="s">
        <v>21</v>
      </c>
      <c r="I416" t="s">
        <v>74</v>
      </c>
      <c r="J416" t="s">
        <v>75</v>
      </c>
      <c r="K416" t="s">
        <v>76</v>
      </c>
      <c r="L416" t="s">
        <v>2306</v>
      </c>
      <c r="M416" s="1">
        <v>45320</v>
      </c>
      <c r="N416" t="s">
        <v>48</v>
      </c>
      <c r="O416">
        <v>2</v>
      </c>
    </row>
    <row r="417" spans="1:15">
      <c r="A417" t="s">
        <v>2307</v>
      </c>
      <c r="B417" t="s">
        <v>2308</v>
      </c>
      <c r="C417" t="s">
        <v>1719</v>
      </c>
      <c r="D417" t="s">
        <v>275</v>
      </c>
      <c r="E417" t="s">
        <v>2309</v>
      </c>
      <c r="F417" t="s">
        <v>2310</v>
      </c>
      <c r="G417">
        <v>36</v>
      </c>
      <c r="H417" t="s">
        <v>55</v>
      </c>
      <c r="I417" t="s">
        <v>1019</v>
      </c>
      <c r="J417" t="s">
        <v>197</v>
      </c>
      <c r="K417" t="s">
        <v>24</v>
      </c>
      <c r="L417" t="s">
        <v>2311</v>
      </c>
      <c r="M417" s="1">
        <v>44599</v>
      </c>
      <c r="N417" t="s">
        <v>26</v>
      </c>
      <c r="O417">
        <v>4</v>
      </c>
    </row>
    <row r="418" spans="1:15">
      <c r="A418" t="s">
        <v>2312</v>
      </c>
      <c r="B418" t="s">
        <v>2313</v>
      </c>
      <c r="C418" t="s">
        <v>834</v>
      </c>
      <c r="D418" t="s">
        <v>498</v>
      </c>
      <c r="E418" t="s">
        <v>2314</v>
      </c>
      <c r="F418" t="s">
        <v>2315</v>
      </c>
      <c r="G418">
        <v>46</v>
      </c>
      <c r="H418" t="s">
        <v>43</v>
      </c>
      <c r="I418" t="s">
        <v>249</v>
      </c>
      <c r="J418" t="s">
        <v>250</v>
      </c>
      <c r="K418" t="s">
        <v>188</v>
      </c>
      <c r="L418" t="s">
        <v>2316</v>
      </c>
      <c r="M418" s="1">
        <v>44068</v>
      </c>
      <c r="N418" t="s">
        <v>118</v>
      </c>
      <c r="O418">
        <v>6</v>
      </c>
    </row>
    <row r="419" spans="1:15">
      <c r="A419" t="s">
        <v>2317</v>
      </c>
      <c r="B419" t="s">
        <v>2318</v>
      </c>
      <c r="C419" t="s">
        <v>1180</v>
      </c>
      <c r="D419" t="s">
        <v>321</v>
      </c>
      <c r="E419" t="s">
        <v>2319</v>
      </c>
      <c r="F419" t="s">
        <v>2320</v>
      </c>
      <c r="G419">
        <v>20</v>
      </c>
      <c r="H419" t="s">
        <v>43</v>
      </c>
      <c r="I419" t="s">
        <v>388</v>
      </c>
      <c r="J419" t="s">
        <v>75</v>
      </c>
      <c r="K419" t="s">
        <v>76</v>
      </c>
      <c r="L419" t="s">
        <v>2321</v>
      </c>
      <c r="M419" s="1">
        <v>45235</v>
      </c>
      <c r="N419" t="s">
        <v>118</v>
      </c>
      <c r="O419">
        <v>3</v>
      </c>
    </row>
    <row r="420" spans="1:15">
      <c r="A420" t="s">
        <v>2322</v>
      </c>
      <c r="B420" t="s">
        <v>2323</v>
      </c>
      <c r="C420" t="s">
        <v>344</v>
      </c>
      <c r="D420" t="s">
        <v>202</v>
      </c>
      <c r="E420" t="s">
        <v>2324</v>
      </c>
      <c r="F420" t="s">
        <v>2325</v>
      </c>
      <c r="G420">
        <v>46</v>
      </c>
      <c r="H420" t="s">
        <v>21</v>
      </c>
      <c r="I420" t="s">
        <v>151</v>
      </c>
      <c r="J420" t="s">
        <v>75</v>
      </c>
      <c r="K420" t="s">
        <v>76</v>
      </c>
      <c r="L420" t="s">
        <v>2326</v>
      </c>
      <c r="M420" s="1">
        <v>44111</v>
      </c>
      <c r="N420" t="s">
        <v>26</v>
      </c>
      <c r="O420">
        <v>6</v>
      </c>
    </row>
    <row r="421" spans="1:15">
      <c r="A421" t="s">
        <v>2327</v>
      </c>
      <c r="B421" t="s">
        <v>2328</v>
      </c>
      <c r="C421" t="s">
        <v>545</v>
      </c>
      <c r="D421" t="s">
        <v>466</v>
      </c>
      <c r="E421" t="s">
        <v>2329</v>
      </c>
      <c r="F421" t="s">
        <v>2330</v>
      </c>
      <c r="G421">
        <v>32</v>
      </c>
      <c r="H421" t="s">
        <v>43</v>
      </c>
      <c r="I421" t="s">
        <v>226</v>
      </c>
      <c r="J421" t="s">
        <v>226</v>
      </c>
      <c r="K421" t="s">
        <v>24</v>
      </c>
      <c r="L421" t="s">
        <v>2331</v>
      </c>
      <c r="M421" s="1">
        <v>45078</v>
      </c>
      <c r="N421" t="s">
        <v>26</v>
      </c>
      <c r="O421">
        <v>3</v>
      </c>
    </row>
    <row r="422" spans="1:15">
      <c r="A422" t="s">
        <v>2332</v>
      </c>
      <c r="B422" t="s">
        <v>2333</v>
      </c>
      <c r="C422" t="s">
        <v>784</v>
      </c>
      <c r="D422" t="s">
        <v>558</v>
      </c>
      <c r="E422" t="s">
        <v>2334</v>
      </c>
      <c r="F422" t="s">
        <v>2335</v>
      </c>
      <c r="G422">
        <v>33</v>
      </c>
      <c r="H422" t="s">
        <v>43</v>
      </c>
      <c r="I422" t="s">
        <v>186</v>
      </c>
      <c r="J422" t="s">
        <v>187</v>
      </c>
      <c r="K422" t="s">
        <v>188</v>
      </c>
      <c r="L422" t="s">
        <v>2336</v>
      </c>
      <c r="M422" s="1">
        <v>44847</v>
      </c>
      <c r="N422" t="s">
        <v>48</v>
      </c>
      <c r="O422">
        <v>4</v>
      </c>
    </row>
    <row r="423" spans="1:15">
      <c r="A423" t="s">
        <v>2337</v>
      </c>
      <c r="B423" t="s">
        <v>2338</v>
      </c>
      <c r="C423" t="s">
        <v>980</v>
      </c>
      <c r="D423" t="s">
        <v>231</v>
      </c>
      <c r="E423" t="s">
        <v>2339</v>
      </c>
      <c r="F423" t="s">
        <v>2340</v>
      </c>
      <c r="G423">
        <v>25</v>
      </c>
      <c r="H423" t="s">
        <v>55</v>
      </c>
      <c r="I423" t="s">
        <v>333</v>
      </c>
      <c r="J423" t="s">
        <v>85</v>
      </c>
      <c r="K423" t="s">
        <v>24</v>
      </c>
      <c r="L423" t="s">
        <v>2341</v>
      </c>
      <c r="M423" s="1">
        <v>44136</v>
      </c>
      <c r="N423" t="s">
        <v>48</v>
      </c>
      <c r="O423">
        <v>6</v>
      </c>
    </row>
    <row r="424" spans="1:15">
      <c r="A424" t="s">
        <v>2342</v>
      </c>
      <c r="B424" t="s">
        <v>2343</v>
      </c>
      <c r="C424" t="s">
        <v>545</v>
      </c>
      <c r="D424" t="s">
        <v>62</v>
      </c>
      <c r="E424" t="s">
        <v>2344</v>
      </c>
      <c r="F424" t="s">
        <v>2345</v>
      </c>
      <c r="G424">
        <v>49</v>
      </c>
      <c r="H424" t="s">
        <v>21</v>
      </c>
      <c r="I424" t="s">
        <v>108</v>
      </c>
      <c r="J424" t="s">
        <v>57</v>
      </c>
      <c r="K424" t="s">
        <v>46</v>
      </c>
      <c r="L424" t="s">
        <v>2346</v>
      </c>
      <c r="M424" s="1">
        <v>44371</v>
      </c>
      <c r="N424" t="s">
        <v>48</v>
      </c>
      <c r="O424">
        <v>5</v>
      </c>
    </row>
    <row r="425" spans="1:15">
      <c r="A425" t="s">
        <v>2347</v>
      </c>
      <c r="B425" t="s">
        <v>2348</v>
      </c>
      <c r="C425" t="s">
        <v>329</v>
      </c>
      <c r="D425" t="s">
        <v>472</v>
      </c>
      <c r="E425" t="s">
        <v>2349</v>
      </c>
      <c r="F425" t="s">
        <v>2350</v>
      </c>
      <c r="G425">
        <v>27</v>
      </c>
      <c r="H425" t="s">
        <v>21</v>
      </c>
      <c r="I425" t="s">
        <v>100</v>
      </c>
      <c r="J425" t="s">
        <v>57</v>
      </c>
      <c r="K425" t="s">
        <v>46</v>
      </c>
      <c r="L425" t="s">
        <v>2351</v>
      </c>
      <c r="M425" s="1">
        <v>45343</v>
      </c>
      <c r="N425" t="s">
        <v>48</v>
      </c>
      <c r="O425">
        <v>2</v>
      </c>
    </row>
    <row r="426" spans="1:15">
      <c r="A426" t="s">
        <v>2352</v>
      </c>
      <c r="B426" t="s">
        <v>1266</v>
      </c>
      <c r="C426" t="s">
        <v>677</v>
      </c>
      <c r="D426" t="s">
        <v>338</v>
      </c>
      <c r="E426" t="s">
        <v>2353</v>
      </c>
      <c r="F426" t="s">
        <v>2354</v>
      </c>
      <c r="G426">
        <v>37</v>
      </c>
      <c r="H426" t="s">
        <v>21</v>
      </c>
      <c r="I426" t="s">
        <v>316</v>
      </c>
      <c r="J426" t="s">
        <v>197</v>
      </c>
      <c r="K426" t="s">
        <v>24</v>
      </c>
      <c r="L426" t="s">
        <v>2355</v>
      </c>
      <c r="M426" s="1">
        <v>45104</v>
      </c>
      <c r="N426" t="s">
        <v>48</v>
      </c>
      <c r="O426">
        <v>3</v>
      </c>
    </row>
    <row r="427" spans="1:15">
      <c r="A427" t="s">
        <v>2356</v>
      </c>
      <c r="B427" t="s">
        <v>586</v>
      </c>
      <c r="C427" t="s">
        <v>587</v>
      </c>
      <c r="D427" t="s">
        <v>521</v>
      </c>
      <c r="E427" t="s">
        <v>2357</v>
      </c>
      <c r="F427" t="s">
        <v>2358</v>
      </c>
      <c r="G427">
        <v>50</v>
      </c>
      <c r="H427" t="s">
        <v>43</v>
      </c>
      <c r="I427" t="s">
        <v>92</v>
      </c>
      <c r="J427" t="s">
        <v>45</v>
      </c>
      <c r="K427" t="s">
        <v>46</v>
      </c>
      <c r="L427" t="s">
        <v>2359</v>
      </c>
      <c r="M427" s="1">
        <v>45243</v>
      </c>
      <c r="N427" t="s">
        <v>48</v>
      </c>
      <c r="O427">
        <v>3</v>
      </c>
    </row>
    <row r="428" spans="1:15">
      <c r="A428" t="s">
        <v>2360</v>
      </c>
      <c r="B428" t="s">
        <v>2361</v>
      </c>
      <c r="C428" t="s">
        <v>307</v>
      </c>
      <c r="D428" t="s">
        <v>162</v>
      </c>
      <c r="E428" t="s">
        <v>2362</v>
      </c>
      <c r="F428" t="s">
        <v>2363</v>
      </c>
      <c r="G428">
        <v>48</v>
      </c>
      <c r="H428" t="s">
        <v>21</v>
      </c>
      <c r="I428" t="s">
        <v>205</v>
      </c>
      <c r="J428" t="s">
        <v>57</v>
      </c>
      <c r="K428" t="s">
        <v>46</v>
      </c>
      <c r="L428" t="s">
        <v>2364</v>
      </c>
      <c r="M428" s="1">
        <v>44819</v>
      </c>
      <c r="N428" t="s">
        <v>26</v>
      </c>
      <c r="O428">
        <v>4</v>
      </c>
    </row>
    <row r="429" spans="1:15">
      <c r="A429" t="s">
        <v>2365</v>
      </c>
      <c r="B429" t="s">
        <v>2366</v>
      </c>
      <c r="C429" t="s">
        <v>230</v>
      </c>
      <c r="D429" t="s">
        <v>97</v>
      </c>
      <c r="E429" t="s">
        <v>2367</v>
      </c>
      <c r="F429" t="s">
        <v>2368</v>
      </c>
      <c r="G429">
        <v>27</v>
      </c>
      <c r="H429" t="s">
        <v>43</v>
      </c>
      <c r="I429" t="s">
        <v>22</v>
      </c>
      <c r="J429" t="s">
        <v>23</v>
      </c>
      <c r="K429" t="s">
        <v>24</v>
      </c>
      <c r="L429" t="s">
        <v>2369</v>
      </c>
      <c r="M429" s="1">
        <v>44830</v>
      </c>
      <c r="N429" t="s">
        <v>118</v>
      </c>
      <c r="O429">
        <v>4</v>
      </c>
    </row>
    <row r="430" spans="1:15">
      <c r="A430" t="s">
        <v>2370</v>
      </c>
      <c r="B430" t="s">
        <v>2371</v>
      </c>
      <c r="C430" t="s">
        <v>61</v>
      </c>
      <c r="D430" t="s">
        <v>71</v>
      </c>
      <c r="E430" t="s">
        <v>2372</v>
      </c>
      <c r="F430" t="s">
        <v>2373</v>
      </c>
      <c r="G430">
        <v>34</v>
      </c>
      <c r="H430" t="s">
        <v>43</v>
      </c>
      <c r="I430" t="s">
        <v>368</v>
      </c>
      <c r="J430" t="s">
        <v>57</v>
      </c>
      <c r="K430" t="s">
        <v>46</v>
      </c>
      <c r="L430" t="s">
        <v>2374</v>
      </c>
      <c r="M430" s="1">
        <v>45402</v>
      </c>
      <c r="N430" t="s">
        <v>26</v>
      </c>
      <c r="O430">
        <v>2</v>
      </c>
    </row>
    <row r="431" spans="1:15">
      <c r="A431" t="s">
        <v>2375</v>
      </c>
      <c r="B431" t="s">
        <v>2376</v>
      </c>
      <c r="C431" t="s">
        <v>1287</v>
      </c>
      <c r="D431" t="s">
        <v>1235</v>
      </c>
      <c r="E431" t="s">
        <v>2377</v>
      </c>
      <c r="F431" t="s">
        <v>2378</v>
      </c>
      <c r="G431">
        <v>44</v>
      </c>
      <c r="H431" t="s">
        <v>21</v>
      </c>
      <c r="I431" t="s">
        <v>324</v>
      </c>
      <c r="J431" t="s">
        <v>325</v>
      </c>
      <c r="K431" t="s">
        <v>188</v>
      </c>
      <c r="L431" t="s">
        <v>2379</v>
      </c>
      <c r="M431" s="1">
        <v>44539</v>
      </c>
      <c r="N431" t="s">
        <v>26</v>
      </c>
      <c r="O431">
        <v>5</v>
      </c>
    </row>
    <row r="432" spans="1:15">
      <c r="A432" t="s">
        <v>2380</v>
      </c>
      <c r="B432" t="s">
        <v>2381</v>
      </c>
      <c r="C432" t="s">
        <v>1454</v>
      </c>
      <c r="D432" t="s">
        <v>605</v>
      </c>
      <c r="E432" t="s">
        <v>2382</v>
      </c>
      <c r="F432" t="s">
        <v>2383</v>
      </c>
      <c r="G432">
        <v>30</v>
      </c>
      <c r="H432" t="s">
        <v>21</v>
      </c>
      <c r="I432" t="s">
        <v>685</v>
      </c>
      <c r="J432" t="s">
        <v>686</v>
      </c>
      <c r="K432" t="s">
        <v>188</v>
      </c>
      <c r="L432" t="s">
        <v>2384</v>
      </c>
      <c r="M432" s="1">
        <v>45611</v>
      </c>
      <c r="N432" t="s">
        <v>118</v>
      </c>
      <c r="O432">
        <v>2</v>
      </c>
    </row>
    <row r="433" spans="1:15">
      <c r="A433" t="s">
        <v>2385</v>
      </c>
      <c r="B433" t="s">
        <v>2386</v>
      </c>
      <c r="C433" t="s">
        <v>1384</v>
      </c>
      <c r="D433" t="s">
        <v>156</v>
      </c>
      <c r="E433" t="s">
        <v>2387</v>
      </c>
      <c r="F433" t="s">
        <v>2388</v>
      </c>
      <c r="G433">
        <v>44</v>
      </c>
      <c r="H433" t="s">
        <v>43</v>
      </c>
      <c r="I433" t="s">
        <v>74</v>
      </c>
      <c r="J433" t="s">
        <v>75</v>
      </c>
      <c r="K433" t="s">
        <v>76</v>
      </c>
      <c r="L433" t="s">
        <v>2389</v>
      </c>
      <c r="M433" s="1">
        <v>45148</v>
      </c>
      <c r="N433" t="s">
        <v>48</v>
      </c>
      <c r="O433">
        <v>3</v>
      </c>
    </row>
    <row r="434" spans="1:15">
      <c r="A434" t="s">
        <v>2390</v>
      </c>
      <c r="B434" t="s">
        <v>2391</v>
      </c>
      <c r="C434" t="s">
        <v>746</v>
      </c>
      <c r="D434" t="s">
        <v>128</v>
      </c>
      <c r="E434" t="s">
        <v>2392</v>
      </c>
      <c r="F434" t="s">
        <v>2393</v>
      </c>
      <c r="G434">
        <v>27</v>
      </c>
      <c r="H434" t="s">
        <v>43</v>
      </c>
      <c r="I434" t="s">
        <v>226</v>
      </c>
      <c r="J434" t="s">
        <v>226</v>
      </c>
      <c r="K434" t="s">
        <v>24</v>
      </c>
      <c r="L434" t="s">
        <v>2394</v>
      </c>
      <c r="M434" s="1">
        <v>44478</v>
      </c>
      <c r="N434" t="s">
        <v>48</v>
      </c>
      <c r="O434">
        <v>5</v>
      </c>
    </row>
    <row r="435" spans="1:15">
      <c r="A435" t="s">
        <v>2395</v>
      </c>
      <c r="B435" t="s">
        <v>2396</v>
      </c>
      <c r="C435" t="s">
        <v>1246</v>
      </c>
      <c r="D435" t="s">
        <v>385</v>
      </c>
      <c r="E435" t="s">
        <v>2397</v>
      </c>
      <c r="F435" t="s">
        <v>2398</v>
      </c>
      <c r="G435">
        <v>39</v>
      </c>
      <c r="H435" t="s">
        <v>55</v>
      </c>
      <c r="I435" t="s">
        <v>131</v>
      </c>
      <c r="J435" t="s">
        <v>57</v>
      </c>
      <c r="K435" t="s">
        <v>46</v>
      </c>
      <c r="L435" t="s">
        <v>2399</v>
      </c>
      <c r="M435" s="1">
        <v>45452</v>
      </c>
      <c r="N435" t="s">
        <v>26</v>
      </c>
      <c r="O435">
        <v>2</v>
      </c>
    </row>
    <row r="436" spans="1:15">
      <c r="A436" t="s">
        <v>2400</v>
      </c>
      <c r="B436" t="s">
        <v>2401</v>
      </c>
      <c r="C436" t="s">
        <v>446</v>
      </c>
      <c r="D436" t="s">
        <v>135</v>
      </c>
      <c r="E436" t="s">
        <v>2402</v>
      </c>
      <c r="F436" t="s">
        <v>2403</v>
      </c>
      <c r="G436">
        <v>34</v>
      </c>
      <c r="H436" t="s">
        <v>43</v>
      </c>
      <c r="I436" t="s">
        <v>824</v>
      </c>
      <c r="J436" t="s">
        <v>45</v>
      </c>
      <c r="K436" t="s">
        <v>46</v>
      </c>
      <c r="L436" t="s">
        <v>2404</v>
      </c>
      <c r="M436" s="1">
        <v>45503</v>
      </c>
      <c r="N436" t="s">
        <v>48</v>
      </c>
      <c r="O436">
        <v>2</v>
      </c>
    </row>
    <row r="437" spans="1:15">
      <c r="A437" t="s">
        <v>2405</v>
      </c>
      <c r="B437" t="s">
        <v>2406</v>
      </c>
      <c r="C437" t="s">
        <v>416</v>
      </c>
      <c r="D437" t="s">
        <v>97</v>
      </c>
      <c r="E437" t="s">
        <v>2407</v>
      </c>
      <c r="F437" t="s">
        <v>2408</v>
      </c>
      <c r="G437">
        <v>48</v>
      </c>
      <c r="H437" t="s">
        <v>21</v>
      </c>
      <c r="I437" t="s">
        <v>333</v>
      </c>
      <c r="J437" t="s">
        <v>85</v>
      </c>
      <c r="K437" t="s">
        <v>24</v>
      </c>
      <c r="L437" t="s">
        <v>2409</v>
      </c>
      <c r="M437" s="1">
        <v>45297</v>
      </c>
      <c r="N437" t="s">
        <v>48</v>
      </c>
      <c r="O437">
        <v>2</v>
      </c>
    </row>
    <row r="438" spans="1:15">
      <c r="A438" t="s">
        <v>2410</v>
      </c>
      <c r="B438" t="s">
        <v>2411</v>
      </c>
      <c r="C438" t="s">
        <v>479</v>
      </c>
      <c r="D438" t="s">
        <v>261</v>
      </c>
      <c r="E438" t="s">
        <v>2412</v>
      </c>
      <c r="F438" t="s">
        <v>2413</v>
      </c>
      <c r="G438">
        <v>53</v>
      </c>
      <c r="H438" t="s">
        <v>43</v>
      </c>
      <c r="I438" t="s">
        <v>608</v>
      </c>
      <c r="J438" t="s">
        <v>609</v>
      </c>
      <c r="K438" t="s">
        <v>35</v>
      </c>
      <c r="L438" t="s">
        <v>2414</v>
      </c>
      <c r="M438" s="1">
        <v>44952</v>
      </c>
      <c r="N438" t="s">
        <v>48</v>
      </c>
      <c r="O438">
        <v>3</v>
      </c>
    </row>
    <row r="439" spans="1:15">
      <c r="A439" t="s">
        <v>2415</v>
      </c>
      <c r="B439" t="s">
        <v>2416</v>
      </c>
      <c r="C439" t="s">
        <v>61</v>
      </c>
      <c r="D439" t="s">
        <v>422</v>
      </c>
      <c r="E439" t="s">
        <v>2417</v>
      </c>
      <c r="F439" t="s">
        <v>2418</v>
      </c>
      <c r="G439">
        <v>32</v>
      </c>
      <c r="H439" t="s">
        <v>21</v>
      </c>
      <c r="I439" t="s">
        <v>205</v>
      </c>
      <c r="J439" t="s">
        <v>57</v>
      </c>
      <c r="K439" t="s">
        <v>46</v>
      </c>
      <c r="L439" t="s">
        <v>2419</v>
      </c>
      <c r="M439" s="1">
        <v>44351</v>
      </c>
      <c r="N439" t="s">
        <v>48</v>
      </c>
      <c r="O439">
        <v>5</v>
      </c>
    </row>
    <row r="440" spans="1:15">
      <c r="A440" t="s">
        <v>2420</v>
      </c>
      <c r="B440" t="s">
        <v>2421</v>
      </c>
      <c r="C440" t="s">
        <v>267</v>
      </c>
      <c r="D440" t="s">
        <v>946</v>
      </c>
      <c r="E440" t="s">
        <v>2422</v>
      </c>
      <c r="F440" t="s">
        <v>2423</v>
      </c>
      <c r="G440">
        <v>46</v>
      </c>
      <c r="H440" t="s">
        <v>21</v>
      </c>
      <c r="I440" t="s">
        <v>714</v>
      </c>
      <c r="J440" t="s">
        <v>271</v>
      </c>
      <c r="K440" t="s">
        <v>188</v>
      </c>
      <c r="L440" t="s">
        <v>2424</v>
      </c>
      <c r="M440" s="1">
        <v>45381</v>
      </c>
      <c r="N440" t="s">
        <v>26</v>
      </c>
      <c r="O440">
        <v>2</v>
      </c>
    </row>
    <row r="441" spans="1:15">
      <c r="A441" t="s">
        <v>2425</v>
      </c>
      <c r="B441" t="s">
        <v>1766</v>
      </c>
      <c r="C441" t="s">
        <v>1180</v>
      </c>
      <c r="D441" t="s">
        <v>97</v>
      </c>
      <c r="E441" t="s">
        <v>2426</v>
      </c>
      <c r="F441" t="s">
        <v>2427</v>
      </c>
      <c r="G441">
        <v>51</v>
      </c>
      <c r="H441" t="s">
        <v>21</v>
      </c>
      <c r="I441" t="s">
        <v>355</v>
      </c>
      <c r="J441" t="s">
        <v>187</v>
      </c>
      <c r="K441" t="s">
        <v>188</v>
      </c>
      <c r="L441" t="s">
        <v>2428</v>
      </c>
      <c r="M441" s="1">
        <v>44106</v>
      </c>
      <c r="N441" t="s">
        <v>26</v>
      </c>
      <c r="O441">
        <v>6</v>
      </c>
    </row>
    <row r="442" spans="1:15">
      <c r="A442" t="s">
        <v>2429</v>
      </c>
      <c r="B442" t="s">
        <v>2430</v>
      </c>
      <c r="C442" t="s">
        <v>957</v>
      </c>
      <c r="D442" t="s">
        <v>605</v>
      </c>
      <c r="E442" t="s">
        <v>2431</v>
      </c>
      <c r="F442" t="s">
        <v>2432</v>
      </c>
      <c r="G442">
        <v>31</v>
      </c>
      <c r="H442" t="s">
        <v>21</v>
      </c>
      <c r="I442" t="s">
        <v>33</v>
      </c>
      <c r="J442" t="s">
        <v>34</v>
      </c>
      <c r="K442" t="s">
        <v>35</v>
      </c>
      <c r="L442" t="s">
        <v>2433</v>
      </c>
      <c r="M442" s="1">
        <v>45247</v>
      </c>
      <c r="N442" t="s">
        <v>48</v>
      </c>
      <c r="O442">
        <v>3</v>
      </c>
    </row>
    <row r="443" spans="1:15">
      <c r="A443" t="s">
        <v>2434</v>
      </c>
      <c r="B443" t="s">
        <v>2435</v>
      </c>
      <c r="C443" t="s">
        <v>705</v>
      </c>
      <c r="D443" t="s">
        <v>261</v>
      </c>
      <c r="E443" t="s">
        <v>2436</v>
      </c>
      <c r="F443" t="s">
        <v>2437</v>
      </c>
      <c r="G443">
        <v>35</v>
      </c>
      <c r="H443" t="s">
        <v>43</v>
      </c>
      <c r="I443" t="s">
        <v>475</v>
      </c>
      <c r="J443" t="s">
        <v>197</v>
      </c>
      <c r="K443" t="s">
        <v>24</v>
      </c>
      <c r="L443" t="s">
        <v>2438</v>
      </c>
      <c r="M443" s="1">
        <v>45078</v>
      </c>
      <c r="N443" t="s">
        <v>118</v>
      </c>
      <c r="O443">
        <v>3</v>
      </c>
    </row>
    <row r="444" spans="1:15">
      <c r="A444" t="s">
        <v>2439</v>
      </c>
      <c r="B444" t="s">
        <v>2440</v>
      </c>
      <c r="C444" t="s">
        <v>587</v>
      </c>
      <c r="D444" t="s">
        <v>238</v>
      </c>
      <c r="E444" t="s">
        <v>2441</v>
      </c>
      <c r="F444" t="s">
        <v>2442</v>
      </c>
      <c r="G444">
        <v>52</v>
      </c>
      <c r="H444" t="s">
        <v>43</v>
      </c>
      <c r="I444" t="s">
        <v>151</v>
      </c>
      <c r="J444" t="s">
        <v>75</v>
      </c>
      <c r="K444" t="s">
        <v>76</v>
      </c>
      <c r="L444" t="s">
        <v>2443</v>
      </c>
      <c r="M444" s="1">
        <v>45646</v>
      </c>
      <c r="N444" t="s">
        <v>26</v>
      </c>
      <c r="O444">
        <v>2</v>
      </c>
    </row>
    <row r="445" spans="1:15">
      <c r="A445" t="s">
        <v>2444</v>
      </c>
      <c r="B445" t="s">
        <v>2445</v>
      </c>
      <c r="C445" t="s">
        <v>886</v>
      </c>
      <c r="D445" t="s">
        <v>281</v>
      </c>
      <c r="E445" t="s">
        <v>2446</v>
      </c>
      <c r="F445" t="s">
        <v>2447</v>
      </c>
      <c r="G445">
        <v>38</v>
      </c>
      <c r="H445" t="s">
        <v>43</v>
      </c>
      <c r="I445" t="s">
        <v>212</v>
      </c>
      <c r="J445" t="s">
        <v>57</v>
      </c>
      <c r="K445" t="s">
        <v>46</v>
      </c>
      <c r="L445" t="s">
        <v>2448</v>
      </c>
      <c r="M445" s="1">
        <v>45109</v>
      </c>
      <c r="N445" t="s">
        <v>48</v>
      </c>
      <c r="O445">
        <v>3</v>
      </c>
    </row>
    <row r="446" spans="1:15">
      <c r="A446" t="s">
        <v>2449</v>
      </c>
      <c r="B446" t="s">
        <v>2450</v>
      </c>
      <c r="C446" t="s">
        <v>70</v>
      </c>
      <c r="D446" t="s">
        <v>135</v>
      </c>
      <c r="E446" t="s">
        <v>2451</v>
      </c>
      <c r="F446" t="s">
        <v>2452</v>
      </c>
      <c r="G446">
        <v>27</v>
      </c>
      <c r="H446" t="s">
        <v>43</v>
      </c>
      <c r="I446" t="s">
        <v>84</v>
      </c>
      <c r="J446" t="s">
        <v>85</v>
      </c>
      <c r="K446" t="s">
        <v>24</v>
      </c>
      <c r="L446" t="s">
        <v>2453</v>
      </c>
      <c r="M446" s="1">
        <v>44491</v>
      </c>
      <c r="N446" t="s">
        <v>26</v>
      </c>
      <c r="O446">
        <v>5</v>
      </c>
    </row>
    <row r="447" spans="1:15">
      <c r="A447" t="s">
        <v>2454</v>
      </c>
      <c r="B447" t="s">
        <v>2455</v>
      </c>
      <c r="C447" t="s">
        <v>762</v>
      </c>
      <c r="D447" t="s">
        <v>816</v>
      </c>
      <c r="E447" t="s">
        <v>2456</v>
      </c>
      <c r="F447" t="s">
        <v>2457</v>
      </c>
      <c r="G447">
        <v>47</v>
      </c>
      <c r="H447" t="s">
        <v>21</v>
      </c>
      <c r="I447" t="s">
        <v>368</v>
      </c>
      <c r="J447" t="s">
        <v>57</v>
      </c>
      <c r="K447" t="s">
        <v>46</v>
      </c>
      <c r="L447" t="s">
        <v>2458</v>
      </c>
      <c r="M447" s="1">
        <v>44416</v>
      </c>
      <c r="N447" t="s">
        <v>26</v>
      </c>
      <c r="O447">
        <v>5</v>
      </c>
    </row>
    <row r="448" spans="1:15">
      <c r="A448" t="s">
        <v>2459</v>
      </c>
      <c r="B448" t="s">
        <v>2460</v>
      </c>
      <c r="C448" t="s">
        <v>1246</v>
      </c>
      <c r="D448" t="s">
        <v>352</v>
      </c>
      <c r="E448" t="s">
        <v>2461</v>
      </c>
      <c r="F448" t="s">
        <v>2462</v>
      </c>
      <c r="G448">
        <v>30</v>
      </c>
      <c r="H448" t="s">
        <v>43</v>
      </c>
      <c r="I448" t="s">
        <v>249</v>
      </c>
      <c r="J448" t="s">
        <v>250</v>
      </c>
      <c r="K448" t="s">
        <v>188</v>
      </c>
      <c r="L448" t="s">
        <v>2463</v>
      </c>
      <c r="M448" s="1">
        <v>44377</v>
      </c>
      <c r="N448" t="s">
        <v>48</v>
      </c>
      <c r="O448">
        <v>5</v>
      </c>
    </row>
    <row r="449" spans="1:15">
      <c r="A449" t="s">
        <v>2464</v>
      </c>
      <c r="B449" t="s">
        <v>2465</v>
      </c>
      <c r="C449" t="s">
        <v>1084</v>
      </c>
      <c r="D449" t="s">
        <v>447</v>
      </c>
      <c r="E449" t="s">
        <v>2466</v>
      </c>
      <c r="F449" t="s">
        <v>2467</v>
      </c>
      <c r="G449">
        <v>48</v>
      </c>
      <c r="H449" t="s">
        <v>21</v>
      </c>
      <c r="I449" t="s">
        <v>241</v>
      </c>
      <c r="J449" t="s">
        <v>187</v>
      </c>
      <c r="K449" t="s">
        <v>188</v>
      </c>
      <c r="L449" t="s">
        <v>2468</v>
      </c>
      <c r="M449" s="1">
        <v>44565</v>
      </c>
      <c r="N449" t="s">
        <v>26</v>
      </c>
      <c r="O449">
        <v>4</v>
      </c>
    </row>
    <row r="450" spans="1:15">
      <c r="A450" t="s">
        <v>2469</v>
      </c>
      <c r="B450" t="s">
        <v>2470</v>
      </c>
      <c r="C450" t="s">
        <v>504</v>
      </c>
      <c r="D450" t="s">
        <v>330</v>
      </c>
      <c r="E450" t="s">
        <v>2471</v>
      </c>
      <c r="F450" t="s">
        <v>2472</v>
      </c>
      <c r="G450">
        <v>52</v>
      </c>
      <c r="H450" t="s">
        <v>43</v>
      </c>
      <c r="I450" t="s">
        <v>541</v>
      </c>
      <c r="J450" t="s">
        <v>271</v>
      </c>
      <c r="K450" t="s">
        <v>188</v>
      </c>
      <c r="L450" t="s">
        <v>2473</v>
      </c>
      <c r="M450" s="1">
        <v>44317</v>
      </c>
      <c r="N450" t="s">
        <v>48</v>
      </c>
      <c r="O450">
        <v>5</v>
      </c>
    </row>
    <row r="451" spans="1:15">
      <c r="A451" t="s">
        <v>2474</v>
      </c>
      <c r="B451" t="s">
        <v>2475</v>
      </c>
      <c r="C451" t="s">
        <v>230</v>
      </c>
      <c r="D451" t="s">
        <v>924</v>
      </c>
      <c r="E451" t="s">
        <v>2476</v>
      </c>
      <c r="F451" t="s">
        <v>2477</v>
      </c>
      <c r="G451">
        <v>36</v>
      </c>
      <c r="H451" t="s">
        <v>21</v>
      </c>
      <c r="I451" t="s">
        <v>541</v>
      </c>
      <c r="J451" t="s">
        <v>271</v>
      </c>
      <c r="K451" t="s">
        <v>188</v>
      </c>
      <c r="L451" t="s">
        <v>2478</v>
      </c>
      <c r="M451" s="1">
        <v>43857</v>
      </c>
      <c r="N451" t="s">
        <v>26</v>
      </c>
      <c r="O451">
        <v>6</v>
      </c>
    </row>
    <row r="452" spans="1:15">
      <c r="A452" t="s">
        <v>2479</v>
      </c>
      <c r="B452" t="s">
        <v>2480</v>
      </c>
      <c r="C452" t="s">
        <v>320</v>
      </c>
      <c r="D452" t="s">
        <v>472</v>
      </c>
      <c r="E452" t="s">
        <v>2481</v>
      </c>
      <c r="F452" t="s">
        <v>2482</v>
      </c>
      <c r="G452">
        <v>43</v>
      </c>
      <c r="H452" t="s">
        <v>55</v>
      </c>
      <c r="I452" t="s">
        <v>608</v>
      </c>
      <c r="J452" t="s">
        <v>609</v>
      </c>
      <c r="K452" t="s">
        <v>35</v>
      </c>
      <c r="L452" t="s">
        <v>2483</v>
      </c>
      <c r="M452" s="1">
        <v>45284</v>
      </c>
      <c r="N452" t="s">
        <v>26</v>
      </c>
      <c r="O452">
        <v>3</v>
      </c>
    </row>
    <row r="453" spans="1:15">
      <c r="A453" t="s">
        <v>2484</v>
      </c>
      <c r="B453" t="s">
        <v>2485</v>
      </c>
      <c r="C453" t="s">
        <v>957</v>
      </c>
      <c r="D453" t="s">
        <v>498</v>
      </c>
      <c r="E453" t="s">
        <v>2486</v>
      </c>
      <c r="F453" t="s">
        <v>2487</v>
      </c>
      <c r="G453">
        <v>24</v>
      </c>
      <c r="H453" t="s">
        <v>21</v>
      </c>
      <c r="I453" t="s">
        <v>220</v>
      </c>
      <c r="J453" t="s">
        <v>221</v>
      </c>
      <c r="K453" t="s">
        <v>24</v>
      </c>
      <c r="L453" t="s">
        <v>2488</v>
      </c>
      <c r="M453" s="1">
        <v>45229</v>
      </c>
      <c r="N453" t="s">
        <v>48</v>
      </c>
      <c r="O453">
        <v>3</v>
      </c>
    </row>
    <row r="454" spans="1:15">
      <c r="A454" t="s">
        <v>2489</v>
      </c>
      <c r="B454" t="s">
        <v>2490</v>
      </c>
      <c r="C454" t="s">
        <v>957</v>
      </c>
      <c r="D454" t="s">
        <v>275</v>
      </c>
      <c r="E454" t="s">
        <v>2491</v>
      </c>
      <c r="F454" t="s">
        <v>2492</v>
      </c>
      <c r="G454">
        <v>28</v>
      </c>
      <c r="H454" t="s">
        <v>21</v>
      </c>
      <c r="I454" t="s">
        <v>92</v>
      </c>
      <c r="J454" t="s">
        <v>45</v>
      </c>
      <c r="K454" t="s">
        <v>46</v>
      </c>
      <c r="L454" t="s">
        <v>2493</v>
      </c>
      <c r="M454" s="1">
        <v>44372</v>
      </c>
      <c r="N454" t="s">
        <v>26</v>
      </c>
      <c r="O454">
        <v>5</v>
      </c>
    </row>
    <row r="455" spans="1:15">
      <c r="A455" t="s">
        <v>2494</v>
      </c>
      <c r="B455" t="s">
        <v>2495</v>
      </c>
      <c r="C455" t="s">
        <v>845</v>
      </c>
      <c r="D455" t="s">
        <v>231</v>
      </c>
      <c r="E455" t="s">
        <v>2496</v>
      </c>
      <c r="F455" t="s">
        <v>2497</v>
      </c>
      <c r="G455">
        <v>23</v>
      </c>
      <c r="H455" t="s">
        <v>55</v>
      </c>
      <c r="I455" t="s">
        <v>186</v>
      </c>
      <c r="J455" t="s">
        <v>187</v>
      </c>
      <c r="K455" t="s">
        <v>188</v>
      </c>
      <c r="L455" t="s">
        <v>2498</v>
      </c>
      <c r="M455" s="1">
        <v>44491</v>
      </c>
      <c r="N455" t="s">
        <v>48</v>
      </c>
      <c r="O455">
        <v>5</v>
      </c>
    </row>
    <row r="456" spans="1:15">
      <c r="A456" t="s">
        <v>2499</v>
      </c>
      <c r="B456" t="s">
        <v>2500</v>
      </c>
      <c r="C456" t="s">
        <v>935</v>
      </c>
      <c r="D456" t="s">
        <v>778</v>
      </c>
      <c r="E456" t="s">
        <v>2501</v>
      </c>
      <c r="F456" t="s">
        <v>2502</v>
      </c>
      <c r="G456">
        <v>31</v>
      </c>
      <c r="H456" t="s">
        <v>55</v>
      </c>
      <c r="I456" t="s">
        <v>100</v>
      </c>
      <c r="J456" t="s">
        <v>57</v>
      </c>
      <c r="K456" t="s">
        <v>46</v>
      </c>
      <c r="L456" t="s">
        <v>2503</v>
      </c>
      <c r="M456" s="1">
        <v>44281</v>
      </c>
      <c r="N456" t="s">
        <v>48</v>
      </c>
      <c r="O456">
        <v>5</v>
      </c>
    </row>
    <row r="457" spans="1:15">
      <c r="A457" t="s">
        <v>2504</v>
      </c>
      <c r="B457" t="s">
        <v>2505</v>
      </c>
      <c r="C457" t="s">
        <v>141</v>
      </c>
      <c r="D457" t="s">
        <v>974</v>
      </c>
      <c r="E457" t="s">
        <v>2506</v>
      </c>
      <c r="F457" t="s">
        <v>2507</v>
      </c>
      <c r="G457">
        <v>33</v>
      </c>
      <c r="H457" t="s">
        <v>43</v>
      </c>
      <c r="I457" t="s">
        <v>65</v>
      </c>
      <c r="J457" t="s">
        <v>66</v>
      </c>
      <c r="K457" t="s">
        <v>35</v>
      </c>
      <c r="L457" t="s">
        <v>2508</v>
      </c>
      <c r="M457" s="1">
        <v>44284</v>
      </c>
      <c r="N457" t="s">
        <v>48</v>
      </c>
      <c r="O457">
        <v>5</v>
      </c>
    </row>
    <row r="458" spans="1:15">
      <c r="A458" t="s">
        <v>2509</v>
      </c>
      <c r="B458" t="s">
        <v>2510</v>
      </c>
      <c r="C458" t="s">
        <v>576</v>
      </c>
      <c r="D458" t="s">
        <v>238</v>
      </c>
      <c r="E458" t="s">
        <v>2511</v>
      </c>
      <c r="F458" t="s">
        <v>2512</v>
      </c>
      <c r="G458">
        <v>20</v>
      </c>
      <c r="H458" t="s">
        <v>21</v>
      </c>
      <c r="I458" t="s">
        <v>685</v>
      </c>
      <c r="J458" t="s">
        <v>686</v>
      </c>
      <c r="K458" t="s">
        <v>188</v>
      </c>
      <c r="L458" t="s">
        <v>2513</v>
      </c>
      <c r="M458" s="1">
        <v>45517</v>
      </c>
      <c r="N458" t="s">
        <v>48</v>
      </c>
      <c r="O458">
        <v>2</v>
      </c>
    </row>
    <row r="459" spans="1:15">
      <c r="A459" t="s">
        <v>2514</v>
      </c>
      <c r="B459" t="s">
        <v>2515</v>
      </c>
      <c r="C459" t="s">
        <v>176</v>
      </c>
      <c r="D459" t="s">
        <v>156</v>
      </c>
      <c r="E459" t="s">
        <v>2516</v>
      </c>
      <c r="F459" t="s">
        <v>2517</v>
      </c>
      <c r="G459">
        <v>40</v>
      </c>
      <c r="H459" t="s">
        <v>43</v>
      </c>
      <c r="I459" t="s">
        <v>186</v>
      </c>
      <c r="J459" t="s">
        <v>187</v>
      </c>
      <c r="K459" t="s">
        <v>188</v>
      </c>
      <c r="L459" t="s">
        <v>2518</v>
      </c>
      <c r="M459" s="1">
        <v>45644</v>
      </c>
      <c r="N459" t="s">
        <v>48</v>
      </c>
      <c r="O459">
        <v>2</v>
      </c>
    </row>
    <row r="460" spans="1:15">
      <c r="A460" t="s">
        <v>2519</v>
      </c>
      <c r="B460" t="s">
        <v>2520</v>
      </c>
      <c r="C460" t="s">
        <v>705</v>
      </c>
      <c r="D460" t="s">
        <v>112</v>
      </c>
      <c r="E460" t="s">
        <v>2521</v>
      </c>
      <c r="F460" t="s">
        <v>2522</v>
      </c>
      <c r="G460">
        <v>52</v>
      </c>
      <c r="H460" t="s">
        <v>43</v>
      </c>
      <c r="I460" t="s">
        <v>824</v>
      </c>
      <c r="J460" t="s">
        <v>45</v>
      </c>
      <c r="K460" t="s">
        <v>46</v>
      </c>
      <c r="L460" t="s">
        <v>2523</v>
      </c>
      <c r="M460" s="1">
        <v>45475</v>
      </c>
      <c r="N460" t="s">
        <v>118</v>
      </c>
      <c r="O460">
        <v>2</v>
      </c>
    </row>
    <row r="461" spans="1:15">
      <c r="A461" t="s">
        <v>2524</v>
      </c>
      <c r="B461" t="s">
        <v>2525</v>
      </c>
      <c r="C461" t="s">
        <v>61</v>
      </c>
      <c r="D461" t="s">
        <v>238</v>
      </c>
      <c r="E461" t="s">
        <v>2526</v>
      </c>
      <c r="F461" t="s">
        <v>2527</v>
      </c>
      <c r="G461">
        <v>54</v>
      </c>
      <c r="H461" t="s">
        <v>55</v>
      </c>
      <c r="I461" t="s">
        <v>65</v>
      </c>
      <c r="J461" t="s">
        <v>66</v>
      </c>
      <c r="K461" t="s">
        <v>35</v>
      </c>
      <c r="L461" t="s">
        <v>2528</v>
      </c>
      <c r="M461" s="1">
        <v>44173</v>
      </c>
      <c r="N461" t="s">
        <v>48</v>
      </c>
      <c r="O461">
        <v>6</v>
      </c>
    </row>
    <row r="462" spans="1:15">
      <c r="A462" t="s">
        <v>2529</v>
      </c>
      <c r="B462" t="s">
        <v>2530</v>
      </c>
      <c r="C462" t="s">
        <v>594</v>
      </c>
      <c r="D462" t="s">
        <v>71</v>
      </c>
      <c r="E462" t="s">
        <v>2531</v>
      </c>
      <c r="F462" t="s">
        <v>2532</v>
      </c>
      <c r="G462">
        <v>54</v>
      </c>
      <c r="H462" t="s">
        <v>43</v>
      </c>
      <c r="I462" t="s">
        <v>411</v>
      </c>
      <c r="J462" t="s">
        <v>412</v>
      </c>
      <c r="K462" t="s">
        <v>35</v>
      </c>
      <c r="L462" t="s">
        <v>2533</v>
      </c>
      <c r="M462" s="1">
        <v>44252</v>
      </c>
      <c r="N462" t="s">
        <v>48</v>
      </c>
      <c r="O462">
        <v>5</v>
      </c>
    </row>
    <row r="463" spans="1:15">
      <c r="A463" t="s">
        <v>2534</v>
      </c>
      <c r="B463" t="s">
        <v>2535</v>
      </c>
      <c r="C463" t="s">
        <v>570</v>
      </c>
      <c r="D463" t="s">
        <v>255</v>
      </c>
      <c r="E463" t="s">
        <v>2536</v>
      </c>
      <c r="F463" t="s">
        <v>2537</v>
      </c>
      <c r="G463">
        <v>24</v>
      </c>
      <c r="H463" t="s">
        <v>21</v>
      </c>
      <c r="I463" t="s">
        <v>714</v>
      </c>
      <c r="J463" t="s">
        <v>271</v>
      </c>
      <c r="K463" t="s">
        <v>188</v>
      </c>
      <c r="L463" t="s">
        <v>2538</v>
      </c>
      <c r="M463" s="1">
        <v>44010</v>
      </c>
      <c r="N463" t="s">
        <v>48</v>
      </c>
      <c r="O463">
        <v>6</v>
      </c>
    </row>
    <row r="464" spans="1:15">
      <c r="A464" t="s">
        <v>2539</v>
      </c>
      <c r="B464" t="s">
        <v>2540</v>
      </c>
      <c r="C464" t="s">
        <v>845</v>
      </c>
      <c r="D464" t="s">
        <v>321</v>
      </c>
      <c r="E464" t="s">
        <v>2541</v>
      </c>
      <c r="F464" t="s">
        <v>2542</v>
      </c>
      <c r="G464">
        <v>48</v>
      </c>
      <c r="H464" t="s">
        <v>43</v>
      </c>
      <c r="I464" t="s">
        <v>165</v>
      </c>
      <c r="J464" t="s">
        <v>166</v>
      </c>
      <c r="K464" t="s">
        <v>35</v>
      </c>
      <c r="L464" t="s">
        <v>2543</v>
      </c>
      <c r="M464" s="1">
        <v>44625</v>
      </c>
      <c r="N464" t="s">
        <v>118</v>
      </c>
      <c r="O464">
        <v>4</v>
      </c>
    </row>
    <row r="465" spans="1:15">
      <c r="A465" t="s">
        <v>2544</v>
      </c>
      <c r="B465" t="s">
        <v>2545</v>
      </c>
      <c r="C465" t="s">
        <v>886</v>
      </c>
      <c r="D465" t="s">
        <v>352</v>
      </c>
      <c r="E465" t="s">
        <v>2546</v>
      </c>
      <c r="F465" t="s">
        <v>2547</v>
      </c>
      <c r="G465">
        <v>22</v>
      </c>
      <c r="H465" t="s">
        <v>21</v>
      </c>
      <c r="I465" t="s">
        <v>1019</v>
      </c>
      <c r="J465" t="s">
        <v>197</v>
      </c>
      <c r="K465" t="s">
        <v>24</v>
      </c>
      <c r="L465" t="s">
        <v>2548</v>
      </c>
      <c r="M465" s="1">
        <v>43960</v>
      </c>
      <c r="N465" t="s">
        <v>48</v>
      </c>
      <c r="O465">
        <v>6</v>
      </c>
    </row>
    <row r="466" spans="1:15">
      <c r="A466" t="s">
        <v>2549</v>
      </c>
      <c r="B466" t="s">
        <v>2550</v>
      </c>
      <c r="C466" t="s">
        <v>141</v>
      </c>
      <c r="D466" t="s">
        <v>202</v>
      </c>
      <c r="E466" t="s">
        <v>2551</v>
      </c>
      <c r="F466" t="s">
        <v>2552</v>
      </c>
      <c r="G466">
        <v>48</v>
      </c>
      <c r="H466" t="s">
        <v>43</v>
      </c>
      <c r="I466" t="s">
        <v>65</v>
      </c>
      <c r="J466" t="s">
        <v>66</v>
      </c>
      <c r="K466" t="s">
        <v>35</v>
      </c>
      <c r="L466" t="s">
        <v>2553</v>
      </c>
      <c r="M466" s="1">
        <v>45398</v>
      </c>
      <c r="N466" t="s">
        <v>118</v>
      </c>
      <c r="O466">
        <v>2</v>
      </c>
    </row>
    <row r="467" spans="1:15">
      <c r="A467" t="s">
        <v>2554</v>
      </c>
      <c r="B467" t="s">
        <v>2555</v>
      </c>
      <c r="C467" t="s">
        <v>344</v>
      </c>
      <c r="D467" t="s">
        <v>352</v>
      </c>
      <c r="E467" t="s">
        <v>2556</v>
      </c>
      <c r="F467" t="s">
        <v>2557</v>
      </c>
      <c r="G467">
        <v>54</v>
      </c>
      <c r="H467" t="s">
        <v>43</v>
      </c>
      <c r="I467" t="s">
        <v>22</v>
      </c>
      <c r="J467" t="s">
        <v>23</v>
      </c>
      <c r="K467" t="s">
        <v>24</v>
      </c>
      <c r="L467" t="s">
        <v>2558</v>
      </c>
      <c r="M467" s="1">
        <v>45462</v>
      </c>
      <c r="N467" t="s">
        <v>48</v>
      </c>
      <c r="O467">
        <v>2</v>
      </c>
    </row>
    <row r="468" spans="1:15">
      <c r="A468" t="s">
        <v>2559</v>
      </c>
      <c r="B468" t="s">
        <v>2560</v>
      </c>
      <c r="C468" t="s">
        <v>384</v>
      </c>
      <c r="D468" t="s">
        <v>255</v>
      </c>
      <c r="E468" t="s">
        <v>2561</v>
      </c>
      <c r="F468" t="s">
        <v>2562</v>
      </c>
      <c r="G468">
        <v>55</v>
      </c>
      <c r="H468" t="s">
        <v>21</v>
      </c>
      <c r="I468" t="s">
        <v>824</v>
      </c>
      <c r="J468" t="s">
        <v>45</v>
      </c>
      <c r="K468" t="s">
        <v>46</v>
      </c>
      <c r="L468" t="s">
        <v>2563</v>
      </c>
      <c r="M468" s="1">
        <v>44964</v>
      </c>
      <c r="N468" t="s">
        <v>48</v>
      </c>
      <c r="O468">
        <v>3</v>
      </c>
    </row>
    <row r="469" spans="1:15">
      <c r="A469" t="s">
        <v>2564</v>
      </c>
      <c r="B469" t="s">
        <v>2565</v>
      </c>
      <c r="C469" t="s">
        <v>61</v>
      </c>
      <c r="D469" t="s">
        <v>231</v>
      </c>
      <c r="E469" t="s">
        <v>2566</v>
      </c>
      <c r="F469" t="s">
        <v>2567</v>
      </c>
      <c r="G469">
        <v>33</v>
      </c>
      <c r="H469" t="s">
        <v>43</v>
      </c>
      <c r="I469" t="s">
        <v>541</v>
      </c>
      <c r="J469" t="s">
        <v>271</v>
      </c>
      <c r="K469" t="s">
        <v>188</v>
      </c>
      <c r="L469" t="s">
        <v>2568</v>
      </c>
      <c r="M469" s="1">
        <v>44455</v>
      </c>
      <c r="N469" t="s">
        <v>48</v>
      </c>
      <c r="O469">
        <v>5</v>
      </c>
    </row>
    <row r="470" spans="1:15">
      <c r="A470" t="s">
        <v>2569</v>
      </c>
      <c r="B470" t="s">
        <v>2570</v>
      </c>
      <c r="C470" t="s">
        <v>897</v>
      </c>
      <c r="D470" t="s">
        <v>422</v>
      </c>
      <c r="E470" t="s">
        <v>2571</v>
      </c>
      <c r="F470" t="s">
        <v>2572</v>
      </c>
      <c r="G470">
        <v>36</v>
      </c>
      <c r="H470" t="s">
        <v>21</v>
      </c>
      <c r="I470" t="s">
        <v>1107</v>
      </c>
      <c r="J470" t="s">
        <v>197</v>
      </c>
      <c r="K470" t="s">
        <v>24</v>
      </c>
      <c r="L470" t="s">
        <v>2573</v>
      </c>
      <c r="M470" s="1">
        <v>45094</v>
      </c>
      <c r="N470" t="s">
        <v>48</v>
      </c>
      <c r="O470">
        <v>3</v>
      </c>
    </row>
    <row r="471" spans="1:15">
      <c r="A471" t="s">
        <v>2574</v>
      </c>
      <c r="B471" t="s">
        <v>2575</v>
      </c>
      <c r="C471" t="s">
        <v>216</v>
      </c>
      <c r="D471" t="s">
        <v>261</v>
      </c>
      <c r="E471" t="s">
        <v>2576</v>
      </c>
      <c r="F471" t="s">
        <v>2577</v>
      </c>
      <c r="G471">
        <v>55</v>
      </c>
      <c r="H471" t="s">
        <v>21</v>
      </c>
      <c r="I471" t="s">
        <v>541</v>
      </c>
      <c r="J471" t="s">
        <v>271</v>
      </c>
      <c r="K471" t="s">
        <v>188</v>
      </c>
      <c r="L471" t="s">
        <v>2578</v>
      </c>
      <c r="M471" s="1">
        <v>45151</v>
      </c>
      <c r="N471" t="s">
        <v>48</v>
      </c>
      <c r="O471">
        <v>3</v>
      </c>
    </row>
    <row r="472" spans="1:15">
      <c r="A472" t="s">
        <v>2579</v>
      </c>
      <c r="B472" t="s">
        <v>2580</v>
      </c>
      <c r="C472" t="s">
        <v>192</v>
      </c>
      <c r="D472" t="s">
        <v>71</v>
      </c>
      <c r="E472" t="s">
        <v>2581</v>
      </c>
      <c r="F472" t="s">
        <v>2582</v>
      </c>
      <c r="G472">
        <v>42</v>
      </c>
      <c r="H472" t="s">
        <v>21</v>
      </c>
      <c r="I472" t="s">
        <v>355</v>
      </c>
      <c r="J472" t="s">
        <v>187</v>
      </c>
      <c r="K472" t="s">
        <v>188</v>
      </c>
      <c r="L472" t="s">
        <v>2583</v>
      </c>
      <c r="M472" s="1">
        <v>44508</v>
      </c>
      <c r="N472" t="s">
        <v>48</v>
      </c>
      <c r="O472">
        <v>5</v>
      </c>
    </row>
    <row r="473" spans="1:15">
      <c r="A473" t="s">
        <v>2584</v>
      </c>
      <c r="B473" t="s">
        <v>2585</v>
      </c>
      <c r="C473" t="s">
        <v>2586</v>
      </c>
      <c r="D473" t="s">
        <v>238</v>
      </c>
      <c r="E473" t="s">
        <v>2587</v>
      </c>
      <c r="F473" t="s">
        <v>2588</v>
      </c>
      <c r="G473">
        <v>41</v>
      </c>
      <c r="H473" t="s">
        <v>55</v>
      </c>
      <c r="I473" t="s">
        <v>100</v>
      </c>
      <c r="J473" t="s">
        <v>57</v>
      </c>
      <c r="K473" t="s">
        <v>46</v>
      </c>
      <c r="L473" t="s">
        <v>2589</v>
      </c>
      <c r="M473" s="1">
        <v>44753</v>
      </c>
      <c r="N473" t="s">
        <v>48</v>
      </c>
      <c r="O473">
        <v>4</v>
      </c>
    </row>
    <row r="474" spans="1:15">
      <c r="A474" t="s">
        <v>2590</v>
      </c>
      <c r="B474" t="s">
        <v>2591</v>
      </c>
      <c r="C474" t="s">
        <v>439</v>
      </c>
      <c r="D474" t="s">
        <v>816</v>
      </c>
      <c r="E474" t="s">
        <v>2592</v>
      </c>
      <c r="F474" t="s">
        <v>2593</v>
      </c>
      <c r="G474">
        <v>20</v>
      </c>
      <c r="H474" t="s">
        <v>43</v>
      </c>
      <c r="I474" t="s">
        <v>100</v>
      </c>
      <c r="J474" t="s">
        <v>57</v>
      </c>
      <c r="K474" t="s">
        <v>46</v>
      </c>
      <c r="L474" t="s">
        <v>2594</v>
      </c>
      <c r="M474" s="1">
        <v>44176</v>
      </c>
      <c r="N474" t="s">
        <v>48</v>
      </c>
      <c r="O474">
        <v>6</v>
      </c>
    </row>
    <row r="475" spans="1:15">
      <c r="A475" t="s">
        <v>2595</v>
      </c>
      <c r="B475" t="s">
        <v>2596</v>
      </c>
      <c r="C475" t="s">
        <v>805</v>
      </c>
      <c r="D475" t="s">
        <v>281</v>
      </c>
      <c r="E475" t="s">
        <v>2597</v>
      </c>
      <c r="F475" t="s">
        <v>2598</v>
      </c>
      <c r="G475">
        <v>41</v>
      </c>
      <c r="H475" t="s">
        <v>43</v>
      </c>
      <c r="I475" t="s">
        <v>22</v>
      </c>
      <c r="J475" t="s">
        <v>23</v>
      </c>
      <c r="K475" t="s">
        <v>24</v>
      </c>
      <c r="L475" t="s">
        <v>2599</v>
      </c>
      <c r="M475" s="1">
        <v>45332</v>
      </c>
      <c r="N475" t="s">
        <v>118</v>
      </c>
      <c r="O475">
        <v>2</v>
      </c>
    </row>
    <row r="476" spans="1:15">
      <c r="A476" t="s">
        <v>2600</v>
      </c>
      <c r="B476" t="s">
        <v>2601</v>
      </c>
      <c r="C476" t="s">
        <v>176</v>
      </c>
      <c r="D476" t="s">
        <v>558</v>
      </c>
      <c r="E476" t="s">
        <v>2602</v>
      </c>
      <c r="F476" t="s">
        <v>2603</v>
      </c>
      <c r="G476">
        <v>25</v>
      </c>
      <c r="H476" t="s">
        <v>43</v>
      </c>
      <c r="I476" t="s">
        <v>56</v>
      </c>
      <c r="J476" t="s">
        <v>57</v>
      </c>
      <c r="K476" t="s">
        <v>46</v>
      </c>
      <c r="L476" t="s">
        <v>2604</v>
      </c>
      <c r="M476" s="1">
        <v>45153</v>
      </c>
      <c r="N476" t="s">
        <v>48</v>
      </c>
      <c r="O476">
        <v>3</v>
      </c>
    </row>
    <row r="477" spans="1:15">
      <c r="A477" t="s">
        <v>2605</v>
      </c>
      <c r="B477" t="s">
        <v>2606</v>
      </c>
      <c r="C477" t="s">
        <v>89</v>
      </c>
      <c r="D477" t="s">
        <v>345</v>
      </c>
      <c r="E477" t="s">
        <v>2607</v>
      </c>
      <c r="F477" t="s">
        <v>2608</v>
      </c>
      <c r="G477">
        <v>52</v>
      </c>
      <c r="H477" t="s">
        <v>21</v>
      </c>
      <c r="I477" t="s">
        <v>270</v>
      </c>
      <c r="J477" t="s">
        <v>271</v>
      </c>
      <c r="K477" t="s">
        <v>188</v>
      </c>
      <c r="L477" t="s">
        <v>2609</v>
      </c>
      <c r="M477" s="1">
        <v>45570</v>
      </c>
      <c r="N477" t="s">
        <v>26</v>
      </c>
      <c r="O477">
        <v>2</v>
      </c>
    </row>
    <row r="478" spans="1:15">
      <c r="A478" t="s">
        <v>2610</v>
      </c>
      <c r="B478" t="s">
        <v>2611</v>
      </c>
      <c r="C478" t="s">
        <v>245</v>
      </c>
      <c r="D478" t="s">
        <v>385</v>
      </c>
      <c r="E478" t="s">
        <v>2612</v>
      </c>
      <c r="F478" t="s">
        <v>2613</v>
      </c>
      <c r="G478">
        <v>54</v>
      </c>
      <c r="H478" t="s">
        <v>43</v>
      </c>
      <c r="I478" t="s">
        <v>541</v>
      </c>
      <c r="J478" t="s">
        <v>271</v>
      </c>
      <c r="K478" t="s">
        <v>188</v>
      </c>
      <c r="L478" t="s">
        <v>2614</v>
      </c>
      <c r="M478" s="1">
        <v>44944</v>
      </c>
      <c r="N478" t="s">
        <v>48</v>
      </c>
      <c r="O478">
        <v>3</v>
      </c>
    </row>
    <row r="479" spans="1:15">
      <c r="A479" t="s">
        <v>2615</v>
      </c>
      <c r="B479" t="s">
        <v>2616</v>
      </c>
      <c r="C479" t="s">
        <v>576</v>
      </c>
      <c r="D479" t="s">
        <v>385</v>
      </c>
      <c r="E479" t="s">
        <v>2617</v>
      </c>
      <c r="F479" t="s">
        <v>2618</v>
      </c>
      <c r="G479">
        <v>52</v>
      </c>
      <c r="H479" t="s">
        <v>55</v>
      </c>
      <c r="I479" t="s">
        <v>234</v>
      </c>
      <c r="J479" t="s">
        <v>221</v>
      </c>
      <c r="K479" t="s">
        <v>24</v>
      </c>
      <c r="L479" t="s">
        <v>2619</v>
      </c>
      <c r="M479" s="1">
        <v>44782</v>
      </c>
      <c r="N479" t="s">
        <v>48</v>
      </c>
      <c r="O479">
        <v>4</v>
      </c>
    </row>
    <row r="480" spans="1:15">
      <c r="A480" t="s">
        <v>2620</v>
      </c>
      <c r="B480" t="s">
        <v>2621</v>
      </c>
      <c r="C480" t="s">
        <v>267</v>
      </c>
      <c r="D480" t="s">
        <v>81</v>
      </c>
      <c r="E480" t="s">
        <v>2622</v>
      </c>
      <c r="F480" t="s">
        <v>2623</v>
      </c>
      <c r="G480">
        <v>52</v>
      </c>
      <c r="H480" t="s">
        <v>21</v>
      </c>
      <c r="I480" t="s">
        <v>1722</v>
      </c>
      <c r="J480" t="s">
        <v>221</v>
      </c>
      <c r="K480" t="s">
        <v>24</v>
      </c>
      <c r="L480" t="s">
        <v>2624</v>
      </c>
      <c r="M480" s="1">
        <v>44170</v>
      </c>
      <c r="N480" t="s">
        <v>118</v>
      </c>
      <c r="O480">
        <v>6</v>
      </c>
    </row>
    <row r="481" spans="1:15">
      <c r="A481" t="s">
        <v>2625</v>
      </c>
      <c r="B481" t="s">
        <v>2626</v>
      </c>
      <c r="C481" t="s">
        <v>80</v>
      </c>
      <c r="D481" t="s">
        <v>521</v>
      </c>
      <c r="E481" t="s">
        <v>2627</v>
      </c>
      <c r="F481" t="s">
        <v>2628</v>
      </c>
      <c r="G481">
        <v>34</v>
      </c>
      <c r="H481" t="s">
        <v>43</v>
      </c>
      <c r="I481" t="s">
        <v>685</v>
      </c>
      <c r="J481" t="s">
        <v>686</v>
      </c>
      <c r="K481" t="s">
        <v>188</v>
      </c>
      <c r="L481" t="s">
        <v>2629</v>
      </c>
      <c r="M481" s="1">
        <v>43913</v>
      </c>
      <c r="N481" t="s">
        <v>48</v>
      </c>
      <c r="O481">
        <v>6</v>
      </c>
    </row>
    <row r="482" spans="1:15">
      <c r="A482" t="s">
        <v>2630</v>
      </c>
      <c r="B482" t="s">
        <v>1897</v>
      </c>
      <c r="C482" t="s">
        <v>254</v>
      </c>
      <c r="D482" t="s">
        <v>112</v>
      </c>
      <c r="E482" t="s">
        <v>2631</v>
      </c>
      <c r="F482" t="s">
        <v>2632</v>
      </c>
      <c r="G482">
        <v>43</v>
      </c>
      <c r="H482" t="s">
        <v>43</v>
      </c>
      <c r="I482" t="s">
        <v>388</v>
      </c>
      <c r="J482" t="s">
        <v>75</v>
      </c>
      <c r="K482" t="s">
        <v>76</v>
      </c>
      <c r="L482" t="s">
        <v>2633</v>
      </c>
      <c r="M482" s="1">
        <v>45451</v>
      </c>
      <c r="N482" t="s">
        <v>118</v>
      </c>
      <c r="O482">
        <v>2</v>
      </c>
    </row>
    <row r="483" spans="1:15">
      <c r="A483" t="s">
        <v>2634</v>
      </c>
      <c r="B483" t="s">
        <v>2635</v>
      </c>
      <c r="C483" t="s">
        <v>718</v>
      </c>
      <c r="D483" t="s">
        <v>480</v>
      </c>
      <c r="E483" t="s">
        <v>2636</v>
      </c>
      <c r="F483" t="s">
        <v>2637</v>
      </c>
      <c r="G483">
        <v>53</v>
      </c>
      <c r="H483" t="s">
        <v>43</v>
      </c>
      <c r="I483" t="s">
        <v>100</v>
      </c>
      <c r="J483" t="s">
        <v>57</v>
      </c>
      <c r="K483" t="s">
        <v>46</v>
      </c>
      <c r="L483" t="s">
        <v>2638</v>
      </c>
      <c r="M483" s="1">
        <v>45272</v>
      </c>
      <c r="N483" t="s">
        <v>48</v>
      </c>
      <c r="O483">
        <v>3</v>
      </c>
    </row>
    <row r="484" spans="1:15">
      <c r="A484" t="s">
        <v>2639</v>
      </c>
      <c r="B484" t="s">
        <v>2640</v>
      </c>
      <c r="C484" t="s">
        <v>245</v>
      </c>
      <c r="D484" t="s">
        <v>633</v>
      </c>
      <c r="E484" t="s">
        <v>2641</v>
      </c>
      <c r="F484" t="s">
        <v>2642</v>
      </c>
      <c r="G484">
        <v>24</v>
      </c>
      <c r="H484" t="s">
        <v>55</v>
      </c>
      <c r="I484" t="s">
        <v>475</v>
      </c>
      <c r="J484" t="s">
        <v>197</v>
      </c>
      <c r="K484" t="s">
        <v>24</v>
      </c>
      <c r="L484" t="s">
        <v>2643</v>
      </c>
      <c r="M484" s="1">
        <v>45034</v>
      </c>
      <c r="N484" t="s">
        <v>48</v>
      </c>
      <c r="O484">
        <v>3</v>
      </c>
    </row>
    <row r="485" spans="1:15">
      <c r="A485" t="s">
        <v>2644</v>
      </c>
      <c r="B485" t="s">
        <v>2645</v>
      </c>
      <c r="C485" t="s">
        <v>230</v>
      </c>
      <c r="D485" t="s">
        <v>142</v>
      </c>
      <c r="E485" t="s">
        <v>2646</v>
      </c>
      <c r="F485" t="s">
        <v>2647</v>
      </c>
      <c r="G485">
        <v>50</v>
      </c>
      <c r="H485" t="s">
        <v>55</v>
      </c>
      <c r="I485" t="s">
        <v>316</v>
      </c>
      <c r="J485" t="s">
        <v>197</v>
      </c>
      <c r="K485" t="s">
        <v>24</v>
      </c>
      <c r="L485" t="s">
        <v>2648</v>
      </c>
      <c r="M485" s="1">
        <v>45454</v>
      </c>
      <c r="N485" t="s">
        <v>48</v>
      </c>
      <c r="O485">
        <v>2</v>
      </c>
    </row>
    <row r="486" spans="1:15">
      <c r="A486" t="s">
        <v>2649</v>
      </c>
      <c r="B486" t="s">
        <v>2650</v>
      </c>
      <c r="C486" t="s">
        <v>141</v>
      </c>
      <c r="D486" t="s">
        <v>480</v>
      </c>
      <c r="E486" t="s">
        <v>2651</v>
      </c>
      <c r="F486" t="s">
        <v>2652</v>
      </c>
      <c r="G486">
        <v>37</v>
      </c>
      <c r="H486" t="s">
        <v>21</v>
      </c>
      <c r="I486" t="s">
        <v>270</v>
      </c>
      <c r="J486" t="s">
        <v>271</v>
      </c>
      <c r="K486" t="s">
        <v>188</v>
      </c>
      <c r="L486" t="s">
        <v>2653</v>
      </c>
      <c r="M486" s="1">
        <v>45148</v>
      </c>
      <c r="N486" t="s">
        <v>48</v>
      </c>
      <c r="O486">
        <v>3</v>
      </c>
    </row>
    <row r="487" spans="1:15">
      <c r="A487" t="s">
        <v>2654</v>
      </c>
      <c r="B487" t="s">
        <v>2655</v>
      </c>
      <c r="C487" t="s">
        <v>216</v>
      </c>
      <c r="D487" t="s">
        <v>974</v>
      </c>
      <c r="E487" t="s">
        <v>2656</v>
      </c>
      <c r="F487" t="s">
        <v>2657</v>
      </c>
      <c r="G487">
        <v>41</v>
      </c>
      <c r="H487" t="s">
        <v>21</v>
      </c>
      <c r="I487" t="s">
        <v>74</v>
      </c>
      <c r="J487" t="s">
        <v>75</v>
      </c>
      <c r="K487" t="s">
        <v>76</v>
      </c>
      <c r="L487" t="s">
        <v>2658</v>
      </c>
      <c r="M487" s="1">
        <v>45492</v>
      </c>
      <c r="N487" t="s">
        <v>118</v>
      </c>
      <c r="O487">
        <v>2</v>
      </c>
    </row>
    <row r="488" spans="1:15">
      <c r="A488" t="s">
        <v>2659</v>
      </c>
      <c r="B488" t="s">
        <v>2660</v>
      </c>
      <c r="C488" t="s">
        <v>504</v>
      </c>
      <c r="D488" t="s">
        <v>246</v>
      </c>
      <c r="E488" t="s">
        <v>2661</v>
      </c>
      <c r="F488" t="s">
        <v>2662</v>
      </c>
      <c r="G488">
        <v>35</v>
      </c>
      <c r="H488" t="s">
        <v>21</v>
      </c>
      <c r="I488" t="s">
        <v>1019</v>
      </c>
      <c r="J488" t="s">
        <v>197</v>
      </c>
      <c r="K488" t="s">
        <v>24</v>
      </c>
      <c r="L488" t="s">
        <v>2663</v>
      </c>
      <c r="M488" s="1">
        <v>43876</v>
      </c>
      <c r="N488" t="s">
        <v>48</v>
      </c>
      <c r="O488">
        <v>6</v>
      </c>
    </row>
    <row r="489" spans="1:15">
      <c r="A489" t="s">
        <v>2664</v>
      </c>
      <c r="B489" t="s">
        <v>2665</v>
      </c>
      <c r="C489" t="s">
        <v>903</v>
      </c>
      <c r="D489" t="s">
        <v>816</v>
      </c>
      <c r="E489" t="s">
        <v>2666</v>
      </c>
      <c r="F489" t="s">
        <v>2667</v>
      </c>
      <c r="G489">
        <v>23</v>
      </c>
      <c r="H489" t="s">
        <v>21</v>
      </c>
      <c r="I489" t="s">
        <v>186</v>
      </c>
      <c r="J489" t="s">
        <v>187</v>
      </c>
      <c r="K489" t="s">
        <v>188</v>
      </c>
      <c r="L489" t="s">
        <v>2668</v>
      </c>
      <c r="M489" s="1">
        <v>44131</v>
      </c>
      <c r="N489" t="s">
        <v>48</v>
      </c>
      <c r="O489">
        <v>6</v>
      </c>
    </row>
    <row r="490" spans="1:15">
      <c r="A490" t="s">
        <v>2669</v>
      </c>
      <c r="B490" t="s">
        <v>2670</v>
      </c>
      <c r="C490" t="s">
        <v>216</v>
      </c>
      <c r="D490" t="s">
        <v>874</v>
      </c>
      <c r="E490" t="s">
        <v>2671</v>
      </c>
      <c r="F490" t="s">
        <v>2672</v>
      </c>
      <c r="G490">
        <v>38</v>
      </c>
      <c r="H490" t="s">
        <v>21</v>
      </c>
      <c r="I490" t="s">
        <v>608</v>
      </c>
      <c r="J490" t="s">
        <v>609</v>
      </c>
      <c r="K490" t="s">
        <v>35</v>
      </c>
      <c r="L490" t="s">
        <v>2673</v>
      </c>
      <c r="M490" s="1">
        <v>45630</v>
      </c>
      <c r="N490" t="s">
        <v>48</v>
      </c>
      <c r="O490">
        <v>2</v>
      </c>
    </row>
    <row r="491" spans="1:15">
      <c r="A491" t="s">
        <v>2674</v>
      </c>
      <c r="B491" t="s">
        <v>2675</v>
      </c>
      <c r="C491" t="s">
        <v>176</v>
      </c>
      <c r="D491" t="s">
        <v>498</v>
      </c>
      <c r="E491" t="s">
        <v>2676</v>
      </c>
      <c r="F491" t="s">
        <v>2677</v>
      </c>
      <c r="G491">
        <v>31</v>
      </c>
      <c r="H491" t="s">
        <v>55</v>
      </c>
      <c r="I491" t="s">
        <v>205</v>
      </c>
      <c r="J491" t="s">
        <v>57</v>
      </c>
      <c r="K491" t="s">
        <v>46</v>
      </c>
      <c r="L491" t="s">
        <v>2678</v>
      </c>
      <c r="M491" s="1">
        <v>44123</v>
      </c>
      <c r="N491" t="s">
        <v>26</v>
      </c>
      <c r="O491">
        <v>6</v>
      </c>
    </row>
    <row r="492" spans="1:15">
      <c r="A492" t="s">
        <v>2679</v>
      </c>
      <c r="B492" t="s">
        <v>2680</v>
      </c>
      <c r="C492" t="s">
        <v>428</v>
      </c>
      <c r="D492" t="s">
        <v>974</v>
      </c>
      <c r="E492" t="s">
        <v>2681</v>
      </c>
      <c r="F492" t="s">
        <v>2682</v>
      </c>
      <c r="G492">
        <v>44</v>
      </c>
      <c r="H492" t="s">
        <v>43</v>
      </c>
      <c r="I492" t="s">
        <v>355</v>
      </c>
      <c r="J492" t="s">
        <v>187</v>
      </c>
      <c r="K492" t="s">
        <v>188</v>
      </c>
      <c r="L492" t="s">
        <v>2683</v>
      </c>
      <c r="M492" s="1">
        <v>44301</v>
      </c>
      <c r="N492" t="s">
        <v>48</v>
      </c>
      <c r="O492">
        <v>5</v>
      </c>
    </row>
    <row r="493" spans="1:15">
      <c r="A493" t="s">
        <v>2684</v>
      </c>
      <c r="B493" t="s">
        <v>2460</v>
      </c>
      <c r="C493" t="s">
        <v>1246</v>
      </c>
      <c r="D493" t="s">
        <v>352</v>
      </c>
      <c r="E493" t="s">
        <v>2685</v>
      </c>
      <c r="F493" t="s">
        <v>2686</v>
      </c>
      <c r="G493">
        <v>29</v>
      </c>
      <c r="H493" t="s">
        <v>55</v>
      </c>
      <c r="I493" t="s">
        <v>368</v>
      </c>
      <c r="J493" t="s">
        <v>57</v>
      </c>
      <c r="K493" t="s">
        <v>46</v>
      </c>
      <c r="L493" t="s">
        <v>2687</v>
      </c>
      <c r="M493" s="1">
        <v>45523</v>
      </c>
      <c r="N493" t="s">
        <v>48</v>
      </c>
      <c r="O493">
        <v>2</v>
      </c>
    </row>
    <row r="494" spans="1:15">
      <c r="A494" t="s">
        <v>2688</v>
      </c>
      <c r="B494" t="s">
        <v>2689</v>
      </c>
      <c r="C494" t="s">
        <v>329</v>
      </c>
      <c r="D494" t="s">
        <v>246</v>
      </c>
      <c r="E494" t="s">
        <v>2690</v>
      </c>
      <c r="F494" t="s">
        <v>2691</v>
      </c>
      <c r="G494">
        <v>50</v>
      </c>
      <c r="H494" t="s">
        <v>21</v>
      </c>
      <c r="I494" t="s">
        <v>33</v>
      </c>
      <c r="J494" t="s">
        <v>34</v>
      </c>
      <c r="K494" t="s">
        <v>35</v>
      </c>
      <c r="L494" t="s">
        <v>2692</v>
      </c>
      <c r="M494" s="1">
        <v>44021</v>
      </c>
      <c r="N494" t="s">
        <v>26</v>
      </c>
      <c r="O494">
        <v>6</v>
      </c>
    </row>
    <row r="495" spans="1:15">
      <c r="A495" t="s">
        <v>2693</v>
      </c>
      <c r="B495" t="s">
        <v>2694</v>
      </c>
      <c r="C495" t="s">
        <v>148</v>
      </c>
      <c r="D495" t="s">
        <v>527</v>
      </c>
      <c r="E495" t="s">
        <v>2695</v>
      </c>
      <c r="F495" t="s">
        <v>2696</v>
      </c>
      <c r="G495">
        <v>43</v>
      </c>
      <c r="H495" t="s">
        <v>21</v>
      </c>
      <c r="I495" t="s">
        <v>411</v>
      </c>
      <c r="J495" t="s">
        <v>412</v>
      </c>
      <c r="K495" t="s">
        <v>35</v>
      </c>
      <c r="L495" t="s">
        <v>2697</v>
      </c>
      <c r="M495" s="1">
        <v>44692</v>
      </c>
      <c r="N495" t="s">
        <v>26</v>
      </c>
      <c r="O495">
        <v>4</v>
      </c>
    </row>
    <row r="496" spans="1:15">
      <c r="A496" t="s">
        <v>2698</v>
      </c>
      <c r="B496" t="s">
        <v>2699</v>
      </c>
      <c r="C496" t="s">
        <v>29</v>
      </c>
      <c r="D496" t="s">
        <v>40</v>
      </c>
      <c r="E496" t="s">
        <v>2700</v>
      </c>
      <c r="F496" t="s">
        <v>2701</v>
      </c>
      <c r="G496">
        <v>26</v>
      </c>
      <c r="H496" t="s">
        <v>43</v>
      </c>
      <c r="I496" t="s">
        <v>355</v>
      </c>
      <c r="J496" t="s">
        <v>187</v>
      </c>
      <c r="K496" t="s">
        <v>188</v>
      </c>
      <c r="L496" t="s">
        <v>2702</v>
      </c>
      <c r="M496" s="1">
        <v>45010</v>
      </c>
      <c r="N496" t="s">
        <v>48</v>
      </c>
      <c r="O496">
        <v>3</v>
      </c>
    </row>
    <row r="497" spans="1:15">
      <c r="A497" t="s">
        <v>2703</v>
      </c>
      <c r="B497" t="s">
        <v>2704</v>
      </c>
      <c r="C497" t="s">
        <v>845</v>
      </c>
      <c r="D497" t="s">
        <v>246</v>
      </c>
      <c r="E497" t="s">
        <v>2705</v>
      </c>
      <c r="F497" t="s">
        <v>2706</v>
      </c>
      <c r="G497">
        <v>54</v>
      </c>
      <c r="H497" t="s">
        <v>43</v>
      </c>
      <c r="I497" t="s">
        <v>234</v>
      </c>
      <c r="J497" t="s">
        <v>221</v>
      </c>
      <c r="K497" t="s">
        <v>24</v>
      </c>
      <c r="L497" t="s">
        <v>2707</v>
      </c>
      <c r="M497" s="1">
        <v>45626</v>
      </c>
      <c r="N497" t="s">
        <v>48</v>
      </c>
      <c r="O497">
        <v>2</v>
      </c>
    </row>
    <row r="498" spans="1:15">
      <c r="A498" t="s">
        <v>2708</v>
      </c>
      <c r="B498" t="s">
        <v>2709</v>
      </c>
      <c r="C498" t="s">
        <v>201</v>
      </c>
      <c r="D498" t="s">
        <v>231</v>
      </c>
      <c r="E498" t="s">
        <v>2710</v>
      </c>
      <c r="F498" t="s">
        <v>2711</v>
      </c>
      <c r="G498">
        <v>20</v>
      </c>
      <c r="H498" t="s">
        <v>43</v>
      </c>
      <c r="I498" t="s">
        <v>742</v>
      </c>
      <c r="J498" t="s">
        <v>57</v>
      </c>
      <c r="K498" t="s">
        <v>46</v>
      </c>
      <c r="L498" t="s">
        <v>2712</v>
      </c>
      <c r="M498" s="1">
        <v>44895</v>
      </c>
      <c r="N498" t="s">
        <v>48</v>
      </c>
      <c r="O498">
        <v>4</v>
      </c>
    </row>
    <row r="499" spans="1:15">
      <c r="A499" t="s">
        <v>2713</v>
      </c>
      <c r="B499" t="s">
        <v>2714</v>
      </c>
      <c r="C499" t="s">
        <v>439</v>
      </c>
      <c r="D499" t="s">
        <v>846</v>
      </c>
      <c r="E499" t="s">
        <v>2715</v>
      </c>
      <c r="F499" t="s">
        <v>2716</v>
      </c>
      <c r="G499">
        <v>36</v>
      </c>
      <c r="H499" t="s">
        <v>43</v>
      </c>
      <c r="I499" t="s">
        <v>290</v>
      </c>
      <c r="J499" t="s">
        <v>197</v>
      </c>
      <c r="K499" t="s">
        <v>24</v>
      </c>
      <c r="L499" t="s">
        <v>2717</v>
      </c>
      <c r="M499" s="1">
        <v>45165</v>
      </c>
      <c r="N499" t="s">
        <v>26</v>
      </c>
      <c r="O499">
        <v>3</v>
      </c>
    </row>
    <row r="500" spans="1:15">
      <c r="A500" t="s">
        <v>2718</v>
      </c>
      <c r="B500" t="s">
        <v>2719</v>
      </c>
      <c r="C500" t="s">
        <v>29</v>
      </c>
      <c r="D500" t="s">
        <v>1368</v>
      </c>
      <c r="E500" t="s">
        <v>2720</v>
      </c>
      <c r="F500" t="s">
        <v>2721</v>
      </c>
      <c r="G500">
        <v>55</v>
      </c>
      <c r="H500" t="s">
        <v>43</v>
      </c>
      <c r="I500" t="s">
        <v>388</v>
      </c>
      <c r="J500" t="s">
        <v>75</v>
      </c>
      <c r="K500" t="s">
        <v>76</v>
      </c>
      <c r="L500" t="s">
        <v>2722</v>
      </c>
      <c r="M500" s="1">
        <v>44961</v>
      </c>
      <c r="N500" t="s">
        <v>48</v>
      </c>
      <c r="O500">
        <v>3</v>
      </c>
    </row>
    <row r="501" spans="1:15">
      <c r="A501" t="s">
        <v>2723</v>
      </c>
      <c r="B501" t="s">
        <v>1067</v>
      </c>
      <c r="C501" t="s">
        <v>1068</v>
      </c>
      <c r="D501" t="s">
        <v>321</v>
      </c>
      <c r="E501" t="s">
        <v>2724</v>
      </c>
      <c r="F501" t="s">
        <v>2725</v>
      </c>
      <c r="G501">
        <v>45</v>
      </c>
      <c r="H501" t="s">
        <v>21</v>
      </c>
      <c r="I501" t="s">
        <v>196</v>
      </c>
      <c r="J501" t="s">
        <v>197</v>
      </c>
      <c r="K501" t="s">
        <v>24</v>
      </c>
      <c r="L501" t="s">
        <v>2726</v>
      </c>
      <c r="M501" s="1">
        <v>45416</v>
      </c>
      <c r="N501" t="s">
        <v>48</v>
      </c>
      <c r="O50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2605B-396F-4AAD-B0AF-00FADBD5B1F2}">
  <sheetPr>
    <tabColor rgb="FF7030A0"/>
  </sheetPr>
  <dimension ref="A1:P501"/>
  <sheetViews>
    <sheetView workbookViewId="0">
      <selection activeCell="D17" sqref="D17"/>
    </sheetView>
  </sheetViews>
  <sheetFormatPr defaultRowHeight="14.5"/>
  <cols>
    <col min="1" max="1" width="11.453125" bestFit="1" customWidth="1"/>
    <col min="2" max="2" width="22.08984375" bestFit="1" customWidth="1"/>
    <col min="3" max="3" width="9.81640625" bestFit="1" customWidth="1"/>
    <col min="4" max="4" width="10.7265625" bestFit="1" customWidth="1"/>
    <col min="5" max="5" width="13.7265625" bestFit="1" customWidth="1"/>
    <col min="6" max="6" width="10.90625" bestFit="1" customWidth="1"/>
    <col min="7" max="7" width="11.1796875" bestFit="1" customWidth="1"/>
    <col min="8" max="8" width="13.453125" bestFit="1" customWidth="1"/>
    <col min="9" max="9" width="10.6328125" bestFit="1" customWidth="1"/>
    <col min="10" max="10" width="8.453125" bestFit="1" customWidth="1"/>
    <col min="11" max="11" width="14.08984375" bestFit="1" customWidth="1"/>
    <col min="12" max="12" width="10.6328125" bestFit="1" customWidth="1"/>
    <col min="13" max="13" width="9.7265625" bestFit="1" customWidth="1"/>
    <col min="14" max="14" width="13.1796875" bestFit="1" customWidth="1"/>
    <col min="15" max="15" width="13.90625" bestFit="1" customWidth="1"/>
    <col min="16" max="16" width="10.453125" bestFit="1" customWidth="1"/>
  </cols>
  <sheetData>
    <row r="1" spans="1:16">
      <c r="A1" t="s">
        <v>2728</v>
      </c>
      <c r="B1" t="s">
        <v>3285</v>
      </c>
      <c r="C1" t="s">
        <v>3286</v>
      </c>
      <c r="D1" t="s">
        <v>3287</v>
      </c>
      <c r="E1" t="s">
        <v>3288</v>
      </c>
      <c r="F1" t="s">
        <v>2734</v>
      </c>
      <c r="G1" t="s">
        <v>3289</v>
      </c>
      <c r="H1" t="s">
        <v>3290</v>
      </c>
      <c r="I1" t="s">
        <v>3291</v>
      </c>
      <c r="J1" t="s">
        <v>2742</v>
      </c>
      <c r="K1" t="s">
        <v>3292</v>
      </c>
      <c r="L1" t="s">
        <v>3293</v>
      </c>
      <c r="M1" t="s">
        <v>3294</v>
      </c>
      <c r="N1" t="s">
        <v>3295</v>
      </c>
      <c r="O1" t="s">
        <v>3296</v>
      </c>
      <c r="P1" t="s">
        <v>3297</v>
      </c>
    </row>
    <row r="2" spans="1:16">
      <c r="A2" t="s">
        <v>3298</v>
      </c>
      <c r="B2" t="s">
        <v>3299</v>
      </c>
      <c r="C2" t="s">
        <v>3300</v>
      </c>
      <c r="D2" t="s">
        <v>3301</v>
      </c>
      <c r="E2" t="s">
        <v>3302</v>
      </c>
      <c r="F2">
        <v>44050</v>
      </c>
      <c r="G2">
        <v>13020</v>
      </c>
      <c r="H2" t="s">
        <v>3303</v>
      </c>
      <c r="I2">
        <v>228</v>
      </c>
      <c r="J2">
        <v>3.1</v>
      </c>
      <c r="K2">
        <v>839</v>
      </c>
      <c r="L2" t="s">
        <v>3304</v>
      </c>
      <c r="M2" t="s">
        <v>3305</v>
      </c>
      <c r="N2" s="1">
        <v>43596</v>
      </c>
      <c r="O2">
        <v>31030</v>
      </c>
      <c r="P2" t="s">
        <v>3306</v>
      </c>
    </row>
    <row r="3" spans="1:16">
      <c r="A3" t="s">
        <v>3307</v>
      </c>
      <c r="B3" t="s">
        <v>3308</v>
      </c>
      <c r="C3" t="s">
        <v>3309</v>
      </c>
      <c r="D3" t="s">
        <v>3301</v>
      </c>
      <c r="E3" t="s">
        <v>3310</v>
      </c>
      <c r="F3">
        <v>91240</v>
      </c>
      <c r="G3">
        <v>57450</v>
      </c>
      <c r="H3" t="s">
        <v>3311</v>
      </c>
      <c r="I3">
        <v>27</v>
      </c>
      <c r="J3">
        <v>4</v>
      </c>
      <c r="K3">
        <v>4464</v>
      </c>
      <c r="L3" t="s">
        <v>3312</v>
      </c>
      <c r="M3" t="s">
        <v>3305</v>
      </c>
      <c r="N3" s="1">
        <v>44605</v>
      </c>
      <c r="O3">
        <v>33790</v>
      </c>
      <c r="P3" t="s">
        <v>3313</v>
      </c>
    </row>
    <row r="4" spans="1:16">
      <c r="A4" t="s">
        <v>3314</v>
      </c>
      <c r="B4" t="s">
        <v>3315</v>
      </c>
      <c r="C4" t="s">
        <v>3316</v>
      </c>
      <c r="D4" t="s">
        <v>3301</v>
      </c>
      <c r="E4" t="s">
        <v>3317</v>
      </c>
      <c r="F4">
        <v>48420</v>
      </c>
      <c r="G4">
        <v>18190</v>
      </c>
      <c r="H4" t="s">
        <v>3318</v>
      </c>
      <c r="I4">
        <v>220</v>
      </c>
      <c r="J4">
        <v>4.9000000000000004</v>
      </c>
      <c r="K4">
        <v>2757</v>
      </c>
      <c r="L4" t="s">
        <v>3304</v>
      </c>
      <c r="M4" t="s">
        <v>3305</v>
      </c>
      <c r="N4" s="1">
        <v>43862</v>
      </c>
      <c r="O4">
        <v>30230</v>
      </c>
      <c r="P4" t="s">
        <v>3306</v>
      </c>
    </row>
    <row r="5" spans="1:16">
      <c r="A5" t="s">
        <v>3319</v>
      </c>
      <c r="B5" t="s">
        <v>3320</v>
      </c>
      <c r="C5" t="s">
        <v>3321</v>
      </c>
      <c r="D5" t="s">
        <v>3301</v>
      </c>
      <c r="E5" t="s">
        <v>3322</v>
      </c>
      <c r="F5">
        <v>3350</v>
      </c>
      <c r="G5">
        <v>2180</v>
      </c>
      <c r="H5" t="s">
        <v>3323</v>
      </c>
      <c r="I5">
        <v>549</v>
      </c>
      <c r="J5">
        <v>3.1</v>
      </c>
      <c r="K5">
        <v>3100</v>
      </c>
      <c r="L5" t="s">
        <v>3304</v>
      </c>
      <c r="M5" t="s">
        <v>3305</v>
      </c>
      <c r="N5" s="1">
        <v>44947</v>
      </c>
      <c r="O5">
        <v>1170</v>
      </c>
      <c r="P5" t="s">
        <v>3324</v>
      </c>
    </row>
    <row r="6" spans="1:16">
      <c r="A6" t="s">
        <v>3325</v>
      </c>
      <c r="B6" t="s">
        <v>3326</v>
      </c>
      <c r="C6" t="s">
        <v>3327</v>
      </c>
      <c r="D6" t="s">
        <v>3301</v>
      </c>
      <c r="E6" t="s">
        <v>3328</v>
      </c>
      <c r="F6">
        <v>7770</v>
      </c>
      <c r="G6">
        <v>6510</v>
      </c>
      <c r="H6" t="s">
        <v>3329</v>
      </c>
      <c r="I6">
        <v>296</v>
      </c>
      <c r="J6">
        <v>5</v>
      </c>
      <c r="K6">
        <v>1907</v>
      </c>
      <c r="L6" t="s">
        <v>3304</v>
      </c>
      <c r="M6" t="s">
        <v>3305</v>
      </c>
      <c r="N6" s="1">
        <v>45323</v>
      </c>
      <c r="O6">
        <v>1260</v>
      </c>
      <c r="P6" t="s">
        <v>3330</v>
      </c>
    </row>
    <row r="7" spans="1:16">
      <c r="A7" t="s">
        <v>3331</v>
      </c>
      <c r="B7" t="s">
        <v>3332</v>
      </c>
      <c r="C7" t="s">
        <v>3300</v>
      </c>
      <c r="D7" t="s">
        <v>3301</v>
      </c>
      <c r="E7" t="s">
        <v>3333</v>
      </c>
      <c r="F7">
        <v>12340</v>
      </c>
      <c r="G7">
        <v>3830</v>
      </c>
      <c r="H7" t="s">
        <v>3334</v>
      </c>
      <c r="I7">
        <v>686</v>
      </c>
      <c r="J7">
        <v>3.4</v>
      </c>
      <c r="K7">
        <v>584</v>
      </c>
      <c r="L7" t="s">
        <v>3335</v>
      </c>
      <c r="M7" t="s">
        <v>3305</v>
      </c>
      <c r="N7" s="1">
        <v>44468</v>
      </c>
      <c r="O7">
        <v>8510</v>
      </c>
      <c r="P7" t="s">
        <v>3330</v>
      </c>
    </row>
    <row r="8" spans="1:16">
      <c r="A8" t="s">
        <v>3336</v>
      </c>
      <c r="B8" t="s">
        <v>3337</v>
      </c>
      <c r="C8" t="s">
        <v>217</v>
      </c>
      <c r="D8" t="s">
        <v>3301</v>
      </c>
      <c r="E8" t="s">
        <v>3338</v>
      </c>
      <c r="F8">
        <v>42940</v>
      </c>
      <c r="G8">
        <v>14990</v>
      </c>
      <c r="H8" t="s">
        <v>3339</v>
      </c>
      <c r="I8">
        <v>701</v>
      </c>
      <c r="J8">
        <v>3.5</v>
      </c>
      <c r="K8">
        <v>458</v>
      </c>
      <c r="L8" t="s">
        <v>3335</v>
      </c>
      <c r="M8" t="s">
        <v>3305</v>
      </c>
      <c r="N8" s="1">
        <v>44758</v>
      </c>
      <c r="O8">
        <v>27950</v>
      </c>
      <c r="P8" t="s">
        <v>3306</v>
      </c>
    </row>
    <row r="9" spans="1:16">
      <c r="A9" t="s">
        <v>3340</v>
      </c>
      <c r="B9" t="s">
        <v>3341</v>
      </c>
      <c r="C9" t="s">
        <v>3342</v>
      </c>
      <c r="D9" t="s">
        <v>3301</v>
      </c>
      <c r="E9" t="s">
        <v>3343</v>
      </c>
      <c r="F9">
        <v>5640</v>
      </c>
      <c r="G9">
        <v>3180</v>
      </c>
      <c r="H9" t="s">
        <v>3344</v>
      </c>
      <c r="I9">
        <v>217</v>
      </c>
      <c r="J9">
        <v>4.2</v>
      </c>
      <c r="K9">
        <v>3241</v>
      </c>
      <c r="L9" t="s">
        <v>3312</v>
      </c>
      <c r="M9" t="s">
        <v>3305</v>
      </c>
      <c r="N9" s="1">
        <v>44037</v>
      </c>
      <c r="O9">
        <v>2460</v>
      </c>
      <c r="P9" t="s">
        <v>3330</v>
      </c>
    </row>
    <row r="10" spans="1:16">
      <c r="A10" t="s">
        <v>3345</v>
      </c>
      <c r="B10" t="s">
        <v>3346</v>
      </c>
      <c r="C10" t="s">
        <v>3347</v>
      </c>
      <c r="D10" t="s">
        <v>3301</v>
      </c>
      <c r="E10" t="s">
        <v>3348</v>
      </c>
      <c r="F10">
        <v>55960</v>
      </c>
      <c r="G10">
        <v>33080</v>
      </c>
      <c r="H10" t="s">
        <v>3349</v>
      </c>
      <c r="I10">
        <v>597</v>
      </c>
      <c r="J10">
        <v>3.7</v>
      </c>
      <c r="K10">
        <v>1796</v>
      </c>
      <c r="L10" t="s">
        <v>3335</v>
      </c>
      <c r="M10" t="s">
        <v>3305</v>
      </c>
      <c r="N10" s="1">
        <v>43838</v>
      </c>
      <c r="O10">
        <v>22880</v>
      </c>
      <c r="P10" t="s">
        <v>3313</v>
      </c>
    </row>
    <row r="11" spans="1:16">
      <c r="A11" t="s">
        <v>3350</v>
      </c>
      <c r="B11" t="s">
        <v>3351</v>
      </c>
      <c r="C11" t="s">
        <v>3352</v>
      </c>
      <c r="D11" t="s">
        <v>3353</v>
      </c>
      <c r="E11" t="s">
        <v>3354</v>
      </c>
      <c r="F11">
        <v>10580</v>
      </c>
      <c r="G11">
        <v>1490</v>
      </c>
      <c r="H11" t="s">
        <v>3355</v>
      </c>
      <c r="I11">
        <v>696</v>
      </c>
      <c r="J11">
        <v>3.7</v>
      </c>
      <c r="K11">
        <v>520</v>
      </c>
      <c r="L11" t="s">
        <v>3312</v>
      </c>
      <c r="M11" t="s">
        <v>3305</v>
      </c>
      <c r="N11" s="1">
        <v>45383</v>
      </c>
      <c r="O11">
        <v>9090</v>
      </c>
      <c r="P11" t="s">
        <v>3330</v>
      </c>
    </row>
    <row r="12" spans="1:16">
      <c r="A12" t="s">
        <v>3356</v>
      </c>
      <c r="B12" t="s">
        <v>3357</v>
      </c>
      <c r="C12" t="s">
        <v>3358</v>
      </c>
      <c r="D12" t="s">
        <v>3353</v>
      </c>
      <c r="E12" t="s">
        <v>3359</v>
      </c>
      <c r="F12">
        <v>5870</v>
      </c>
      <c r="G12">
        <v>1120</v>
      </c>
      <c r="H12" t="s">
        <v>3360</v>
      </c>
      <c r="I12">
        <v>698</v>
      </c>
      <c r="J12">
        <v>4.7</v>
      </c>
      <c r="K12">
        <v>2185</v>
      </c>
      <c r="L12" t="s">
        <v>3361</v>
      </c>
      <c r="M12" t="s">
        <v>3305</v>
      </c>
      <c r="N12" s="1">
        <v>45246</v>
      </c>
      <c r="O12">
        <v>4750</v>
      </c>
      <c r="P12" t="s">
        <v>3330</v>
      </c>
    </row>
    <row r="13" spans="1:16">
      <c r="A13" t="s">
        <v>3362</v>
      </c>
      <c r="B13" t="s">
        <v>3363</v>
      </c>
      <c r="C13" t="s">
        <v>217</v>
      </c>
      <c r="D13" t="s">
        <v>3353</v>
      </c>
      <c r="E13" t="s">
        <v>3364</v>
      </c>
      <c r="F13">
        <v>6890</v>
      </c>
      <c r="G13">
        <v>2760</v>
      </c>
      <c r="H13" t="s">
        <v>3365</v>
      </c>
      <c r="I13">
        <v>512</v>
      </c>
      <c r="J13">
        <v>4.5</v>
      </c>
      <c r="K13">
        <v>4158</v>
      </c>
      <c r="L13" t="s">
        <v>3304</v>
      </c>
      <c r="M13" t="s">
        <v>3305</v>
      </c>
      <c r="N13" s="1">
        <v>44688</v>
      </c>
      <c r="O13">
        <v>4130</v>
      </c>
      <c r="P13" t="s">
        <v>3330</v>
      </c>
    </row>
    <row r="14" spans="1:16">
      <c r="A14" t="s">
        <v>3366</v>
      </c>
      <c r="B14" t="s">
        <v>3367</v>
      </c>
      <c r="C14" t="s">
        <v>3300</v>
      </c>
      <c r="D14" t="s">
        <v>3353</v>
      </c>
      <c r="E14" t="s">
        <v>3368</v>
      </c>
      <c r="F14">
        <v>1950</v>
      </c>
      <c r="G14">
        <v>1160</v>
      </c>
      <c r="H14" t="s">
        <v>3369</v>
      </c>
      <c r="I14">
        <v>780</v>
      </c>
      <c r="J14">
        <v>3.2</v>
      </c>
      <c r="K14">
        <v>4344</v>
      </c>
      <c r="L14" t="s">
        <v>3304</v>
      </c>
      <c r="M14" t="s">
        <v>3305</v>
      </c>
      <c r="N14" s="1">
        <v>45467</v>
      </c>
      <c r="O14">
        <v>790</v>
      </c>
      <c r="P14" t="s">
        <v>3324</v>
      </c>
    </row>
    <row r="15" spans="1:16">
      <c r="A15" t="s">
        <v>3370</v>
      </c>
      <c r="B15" t="s">
        <v>3371</v>
      </c>
      <c r="C15" t="s">
        <v>3309</v>
      </c>
      <c r="D15" t="s">
        <v>3353</v>
      </c>
      <c r="E15" t="s">
        <v>3372</v>
      </c>
      <c r="F15">
        <v>1480</v>
      </c>
      <c r="G15">
        <v>360</v>
      </c>
      <c r="H15" t="s">
        <v>3373</v>
      </c>
      <c r="I15">
        <v>246</v>
      </c>
      <c r="J15">
        <v>4.7</v>
      </c>
      <c r="K15">
        <v>645</v>
      </c>
      <c r="L15" t="s">
        <v>3304</v>
      </c>
      <c r="M15" t="s">
        <v>3305</v>
      </c>
      <c r="N15" s="1">
        <v>43749</v>
      </c>
      <c r="O15">
        <v>1120</v>
      </c>
      <c r="P15" t="s">
        <v>3324</v>
      </c>
    </row>
    <row r="16" spans="1:16">
      <c r="A16" t="s">
        <v>3374</v>
      </c>
      <c r="B16" t="s">
        <v>3375</v>
      </c>
      <c r="C16" t="s">
        <v>3352</v>
      </c>
      <c r="D16" t="s">
        <v>3353</v>
      </c>
      <c r="E16" t="s">
        <v>3376</v>
      </c>
      <c r="F16">
        <v>1450</v>
      </c>
      <c r="G16">
        <v>550</v>
      </c>
      <c r="H16" t="s">
        <v>3377</v>
      </c>
      <c r="I16">
        <v>562</v>
      </c>
      <c r="J16">
        <v>3.2</v>
      </c>
      <c r="K16">
        <v>4322</v>
      </c>
      <c r="L16" t="s">
        <v>3312</v>
      </c>
      <c r="M16" t="s">
        <v>3378</v>
      </c>
      <c r="N16" s="1">
        <v>44289</v>
      </c>
      <c r="O16">
        <v>900</v>
      </c>
      <c r="P16" t="s">
        <v>3324</v>
      </c>
    </row>
    <row r="17" spans="1:16">
      <c r="A17" t="s">
        <v>3379</v>
      </c>
      <c r="B17" t="s">
        <v>3380</v>
      </c>
      <c r="C17" t="s">
        <v>3381</v>
      </c>
      <c r="D17" t="s">
        <v>3353</v>
      </c>
      <c r="E17" t="s">
        <v>3382</v>
      </c>
      <c r="F17">
        <v>2960</v>
      </c>
      <c r="G17">
        <v>940</v>
      </c>
      <c r="H17" t="s">
        <v>3383</v>
      </c>
      <c r="I17">
        <v>448</v>
      </c>
      <c r="J17">
        <v>4.8</v>
      </c>
      <c r="K17">
        <v>3698</v>
      </c>
      <c r="L17" t="s">
        <v>3304</v>
      </c>
      <c r="M17" t="s">
        <v>3305</v>
      </c>
      <c r="N17" s="1">
        <v>43728</v>
      </c>
      <c r="O17">
        <v>2020</v>
      </c>
      <c r="P17" t="s">
        <v>3324</v>
      </c>
    </row>
    <row r="18" spans="1:16">
      <c r="A18" t="s">
        <v>3384</v>
      </c>
      <c r="B18" t="s">
        <v>3385</v>
      </c>
      <c r="C18" t="s">
        <v>3386</v>
      </c>
      <c r="D18" t="s">
        <v>3387</v>
      </c>
      <c r="E18" t="s">
        <v>3388</v>
      </c>
      <c r="F18">
        <v>5270</v>
      </c>
      <c r="G18">
        <v>3310</v>
      </c>
      <c r="H18" t="s">
        <v>3389</v>
      </c>
      <c r="I18">
        <v>225</v>
      </c>
      <c r="J18">
        <v>2.8</v>
      </c>
      <c r="K18">
        <v>482</v>
      </c>
      <c r="L18" t="s">
        <v>3335</v>
      </c>
      <c r="M18" t="s">
        <v>3305</v>
      </c>
      <c r="N18" s="1">
        <v>43594</v>
      </c>
      <c r="O18">
        <v>1960</v>
      </c>
      <c r="P18" t="s">
        <v>3330</v>
      </c>
    </row>
    <row r="19" spans="1:16">
      <c r="A19" t="s">
        <v>3390</v>
      </c>
      <c r="B19" t="s">
        <v>3391</v>
      </c>
      <c r="C19" t="s">
        <v>3386</v>
      </c>
      <c r="D19" t="s">
        <v>3387</v>
      </c>
      <c r="E19" t="s">
        <v>3392</v>
      </c>
      <c r="F19">
        <v>4780</v>
      </c>
      <c r="G19">
        <v>3490</v>
      </c>
      <c r="H19" t="s">
        <v>3393</v>
      </c>
      <c r="I19">
        <v>219</v>
      </c>
      <c r="J19">
        <v>4</v>
      </c>
      <c r="K19">
        <v>4677</v>
      </c>
      <c r="L19" t="s">
        <v>3312</v>
      </c>
      <c r="M19" t="s">
        <v>3305</v>
      </c>
      <c r="N19" s="1">
        <v>45403</v>
      </c>
      <c r="O19">
        <v>1290</v>
      </c>
      <c r="P19" t="s">
        <v>3324</v>
      </c>
    </row>
    <row r="20" spans="1:16">
      <c r="A20" t="s">
        <v>3394</v>
      </c>
      <c r="B20" t="s">
        <v>3395</v>
      </c>
      <c r="C20" t="s">
        <v>3396</v>
      </c>
      <c r="D20" t="s">
        <v>3387</v>
      </c>
      <c r="E20" t="s">
        <v>3397</v>
      </c>
      <c r="F20">
        <v>3000</v>
      </c>
      <c r="G20">
        <v>1060</v>
      </c>
      <c r="H20" t="s">
        <v>3398</v>
      </c>
      <c r="I20">
        <v>362</v>
      </c>
      <c r="J20">
        <v>3.7</v>
      </c>
      <c r="K20">
        <v>3825</v>
      </c>
      <c r="L20" t="s">
        <v>3304</v>
      </c>
      <c r="M20" t="s">
        <v>3305</v>
      </c>
      <c r="N20" s="1">
        <v>43869</v>
      </c>
      <c r="O20">
        <v>1940</v>
      </c>
      <c r="P20" t="s">
        <v>3324</v>
      </c>
    </row>
    <row r="21" spans="1:16">
      <c r="A21" t="s">
        <v>3399</v>
      </c>
      <c r="B21" t="s">
        <v>3400</v>
      </c>
      <c r="C21" t="s">
        <v>3401</v>
      </c>
      <c r="D21" t="s">
        <v>3402</v>
      </c>
      <c r="E21" t="s">
        <v>3403</v>
      </c>
      <c r="F21">
        <v>5070</v>
      </c>
      <c r="G21">
        <v>1380</v>
      </c>
      <c r="H21" t="s">
        <v>3404</v>
      </c>
      <c r="I21">
        <v>194</v>
      </c>
      <c r="J21">
        <v>4</v>
      </c>
      <c r="K21">
        <v>1148</v>
      </c>
      <c r="L21" t="s">
        <v>3312</v>
      </c>
      <c r="M21" t="s">
        <v>3305</v>
      </c>
      <c r="N21" s="1">
        <v>45360</v>
      </c>
      <c r="O21">
        <v>3690</v>
      </c>
      <c r="P21" t="s">
        <v>3330</v>
      </c>
    </row>
    <row r="22" spans="1:16">
      <c r="A22" t="s">
        <v>3405</v>
      </c>
      <c r="B22" t="s">
        <v>3406</v>
      </c>
      <c r="C22" t="s">
        <v>3347</v>
      </c>
      <c r="D22" t="s">
        <v>3301</v>
      </c>
      <c r="E22" t="s">
        <v>3407</v>
      </c>
      <c r="F22">
        <v>8210</v>
      </c>
      <c r="G22">
        <v>3710</v>
      </c>
      <c r="H22" t="s">
        <v>3408</v>
      </c>
      <c r="I22">
        <v>667</v>
      </c>
      <c r="J22">
        <v>5</v>
      </c>
      <c r="K22">
        <v>120</v>
      </c>
      <c r="L22" t="s">
        <v>3304</v>
      </c>
      <c r="M22" t="s">
        <v>3378</v>
      </c>
      <c r="N22" s="1">
        <v>44434</v>
      </c>
      <c r="O22">
        <v>4500</v>
      </c>
      <c r="P22" t="s">
        <v>3330</v>
      </c>
    </row>
    <row r="23" spans="1:16">
      <c r="A23" t="s">
        <v>3409</v>
      </c>
      <c r="B23" t="s">
        <v>3410</v>
      </c>
      <c r="C23" t="s">
        <v>217</v>
      </c>
      <c r="D23" t="s">
        <v>3301</v>
      </c>
      <c r="E23" t="s">
        <v>3411</v>
      </c>
      <c r="F23">
        <v>36020</v>
      </c>
      <c r="G23">
        <v>18640</v>
      </c>
      <c r="H23" t="s">
        <v>3412</v>
      </c>
      <c r="I23">
        <v>60</v>
      </c>
      <c r="J23">
        <v>3.2</v>
      </c>
      <c r="K23">
        <v>17</v>
      </c>
      <c r="L23" t="s">
        <v>3312</v>
      </c>
      <c r="M23" t="s">
        <v>3305</v>
      </c>
      <c r="N23" s="1">
        <v>45329</v>
      </c>
      <c r="O23">
        <v>17380</v>
      </c>
      <c r="P23" t="s">
        <v>3306</v>
      </c>
    </row>
    <row r="24" spans="1:16">
      <c r="A24" t="s">
        <v>3413</v>
      </c>
      <c r="B24" t="s">
        <v>3414</v>
      </c>
      <c r="C24" t="s">
        <v>3415</v>
      </c>
      <c r="D24" t="s">
        <v>3301</v>
      </c>
      <c r="E24" t="s">
        <v>3416</v>
      </c>
      <c r="F24">
        <v>106160</v>
      </c>
      <c r="G24">
        <v>71790</v>
      </c>
      <c r="H24" t="s">
        <v>3417</v>
      </c>
      <c r="I24">
        <v>158</v>
      </c>
      <c r="J24">
        <v>3.2</v>
      </c>
      <c r="K24">
        <v>1783</v>
      </c>
      <c r="L24" t="s">
        <v>3304</v>
      </c>
      <c r="M24" t="s">
        <v>3305</v>
      </c>
      <c r="N24" s="1">
        <v>43715</v>
      </c>
      <c r="O24">
        <v>34370</v>
      </c>
      <c r="P24" t="s">
        <v>3313</v>
      </c>
    </row>
    <row r="25" spans="1:16">
      <c r="A25" t="s">
        <v>3418</v>
      </c>
      <c r="B25" t="s">
        <v>3419</v>
      </c>
      <c r="C25" t="s">
        <v>3420</v>
      </c>
      <c r="D25" t="s">
        <v>3353</v>
      </c>
      <c r="E25" t="s">
        <v>3421</v>
      </c>
      <c r="F25">
        <v>10070</v>
      </c>
      <c r="G25">
        <v>8110</v>
      </c>
      <c r="H25" t="s">
        <v>3422</v>
      </c>
      <c r="I25">
        <v>514</v>
      </c>
      <c r="J25">
        <v>4.8</v>
      </c>
      <c r="K25">
        <v>4350</v>
      </c>
      <c r="L25" t="s">
        <v>3335</v>
      </c>
      <c r="M25" t="s">
        <v>3305</v>
      </c>
      <c r="N25" s="1">
        <v>45546</v>
      </c>
      <c r="O25">
        <v>1960</v>
      </c>
      <c r="P25" t="s">
        <v>3330</v>
      </c>
    </row>
    <row r="26" spans="1:16">
      <c r="A26" t="s">
        <v>3423</v>
      </c>
      <c r="B26" t="s">
        <v>3424</v>
      </c>
      <c r="C26" t="s">
        <v>3425</v>
      </c>
      <c r="D26" t="s">
        <v>3353</v>
      </c>
      <c r="E26" t="s">
        <v>3426</v>
      </c>
      <c r="F26">
        <v>2110</v>
      </c>
      <c r="G26">
        <v>1080</v>
      </c>
      <c r="H26" t="s">
        <v>3427</v>
      </c>
      <c r="I26">
        <v>413</v>
      </c>
      <c r="J26">
        <v>3.1</v>
      </c>
      <c r="K26">
        <v>4666</v>
      </c>
      <c r="L26" t="s">
        <v>3335</v>
      </c>
      <c r="M26" t="s">
        <v>3305</v>
      </c>
      <c r="N26" s="1">
        <v>43628</v>
      </c>
      <c r="O26">
        <v>1030</v>
      </c>
      <c r="P26" t="s">
        <v>3324</v>
      </c>
    </row>
    <row r="27" spans="1:16">
      <c r="A27" t="s">
        <v>3428</v>
      </c>
      <c r="B27" t="s">
        <v>3429</v>
      </c>
      <c r="C27" t="s">
        <v>3430</v>
      </c>
      <c r="D27" t="s">
        <v>3301</v>
      </c>
      <c r="E27" t="s">
        <v>3302</v>
      </c>
      <c r="F27">
        <v>84500</v>
      </c>
      <c r="G27">
        <v>42040</v>
      </c>
      <c r="H27" t="s">
        <v>3431</v>
      </c>
      <c r="I27">
        <v>535</v>
      </c>
      <c r="J27">
        <v>3.5</v>
      </c>
      <c r="K27">
        <v>2136</v>
      </c>
      <c r="L27" t="s">
        <v>3335</v>
      </c>
      <c r="M27" t="s">
        <v>3305</v>
      </c>
      <c r="N27" s="1">
        <v>44752</v>
      </c>
      <c r="O27">
        <v>42460</v>
      </c>
      <c r="P27" t="s">
        <v>3313</v>
      </c>
    </row>
    <row r="28" spans="1:16">
      <c r="A28" t="s">
        <v>3432</v>
      </c>
      <c r="B28" t="s">
        <v>3433</v>
      </c>
      <c r="C28" t="s">
        <v>3347</v>
      </c>
      <c r="D28" t="s">
        <v>3301</v>
      </c>
      <c r="E28" t="s">
        <v>3310</v>
      </c>
      <c r="F28">
        <v>113040</v>
      </c>
      <c r="G28">
        <v>57320</v>
      </c>
      <c r="H28" t="s">
        <v>3434</v>
      </c>
      <c r="I28">
        <v>468</v>
      </c>
      <c r="J28">
        <v>3.5</v>
      </c>
      <c r="K28">
        <v>594</v>
      </c>
      <c r="L28" t="s">
        <v>3304</v>
      </c>
      <c r="M28" t="s">
        <v>3305</v>
      </c>
      <c r="N28" s="1">
        <v>43875</v>
      </c>
      <c r="O28">
        <v>55720</v>
      </c>
      <c r="P28" t="s">
        <v>3313</v>
      </c>
    </row>
    <row r="29" spans="1:16">
      <c r="A29" t="s">
        <v>3435</v>
      </c>
      <c r="B29" t="s">
        <v>3436</v>
      </c>
      <c r="C29" t="s">
        <v>3437</v>
      </c>
      <c r="D29" t="s">
        <v>3301</v>
      </c>
      <c r="E29" t="s">
        <v>3317</v>
      </c>
      <c r="F29">
        <v>46760</v>
      </c>
      <c r="G29">
        <v>12340</v>
      </c>
      <c r="H29" t="s">
        <v>3438</v>
      </c>
      <c r="I29">
        <v>357</v>
      </c>
      <c r="J29">
        <v>4.7</v>
      </c>
      <c r="K29">
        <v>2001</v>
      </c>
      <c r="L29" t="s">
        <v>3361</v>
      </c>
      <c r="M29" t="s">
        <v>3305</v>
      </c>
      <c r="N29" s="1">
        <v>45260</v>
      </c>
      <c r="O29">
        <v>34420</v>
      </c>
      <c r="P29" t="s">
        <v>3306</v>
      </c>
    </row>
    <row r="30" spans="1:16">
      <c r="A30" t="s">
        <v>3439</v>
      </c>
      <c r="B30" t="s">
        <v>3440</v>
      </c>
      <c r="C30" t="s">
        <v>3441</v>
      </c>
      <c r="D30" t="s">
        <v>3301</v>
      </c>
      <c r="E30" t="s">
        <v>3322</v>
      </c>
      <c r="F30">
        <v>1010</v>
      </c>
      <c r="G30">
        <v>610</v>
      </c>
      <c r="H30" t="s">
        <v>3442</v>
      </c>
      <c r="I30">
        <v>679</v>
      </c>
      <c r="J30">
        <v>3</v>
      </c>
      <c r="K30">
        <v>1100</v>
      </c>
      <c r="L30" t="s">
        <v>3361</v>
      </c>
      <c r="M30" t="s">
        <v>3305</v>
      </c>
      <c r="N30" s="1">
        <v>43904</v>
      </c>
      <c r="O30">
        <v>400</v>
      </c>
      <c r="P30" t="s">
        <v>3324</v>
      </c>
    </row>
    <row r="31" spans="1:16">
      <c r="A31" t="s">
        <v>3443</v>
      </c>
      <c r="B31" t="s">
        <v>3444</v>
      </c>
      <c r="C31" t="s">
        <v>3420</v>
      </c>
      <c r="D31" t="s">
        <v>3301</v>
      </c>
      <c r="E31" t="s">
        <v>3328</v>
      </c>
      <c r="F31">
        <v>9530</v>
      </c>
      <c r="G31">
        <v>5130</v>
      </c>
      <c r="H31" t="s">
        <v>3445</v>
      </c>
      <c r="I31">
        <v>215</v>
      </c>
      <c r="J31">
        <v>4.4000000000000004</v>
      </c>
      <c r="K31">
        <v>1667</v>
      </c>
      <c r="L31" t="s">
        <v>3361</v>
      </c>
      <c r="M31" t="s">
        <v>3305</v>
      </c>
      <c r="N31" s="1">
        <v>44494</v>
      </c>
      <c r="O31">
        <v>4400</v>
      </c>
      <c r="P31" t="s">
        <v>3330</v>
      </c>
    </row>
    <row r="32" spans="1:16">
      <c r="A32" t="s">
        <v>3446</v>
      </c>
      <c r="B32" t="s">
        <v>3447</v>
      </c>
      <c r="C32" t="s">
        <v>3401</v>
      </c>
      <c r="D32" t="s">
        <v>3301</v>
      </c>
      <c r="E32" t="s">
        <v>3333</v>
      </c>
      <c r="F32">
        <v>2140</v>
      </c>
      <c r="G32">
        <v>410</v>
      </c>
      <c r="H32" t="s">
        <v>3448</v>
      </c>
      <c r="I32">
        <v>341</v>
      </c>
      <c r="J32">
        <v>4.5</v>
      </c>
      <c r="K32">
        <v>2145</v>
      </c>
      <c r="L32" t="s">
        <v>3335</v>
      </c>
      <c r="M32" t="s">
        <v>3305</v>
      </c>
      <c r="N32" s="1">
        <v>45217</v>
      </c>
      <c r="O32">
        <v>1730</v>
      </c>
      <c r="P32" t="s">
        <v>3324</v>
      </c>
    </row>
    <row r="33" spans="1:16">
      <c r="A33" t="s">
        <v>3449</v>
      </c>
      <c r="B33" t="s">
        <v>3450</v>
      </c>
      <c r="C33" t="s">
        <v>3451</v>
      </c>
      <c r="D33" t="s">
        <v>3301</v>
      </c>
      <c r="E33" t="s">
        <v>3338</v>
      </c>
      <c r="F33">
        <v>46280</v>
      </c>
      <c r="G33">
        <v>10370</v>
      </c>
      <c r="H33" t="s">
        <v>3452</v>
      </c>
      <c r="I33">
        <v>558</v>
      </c>
      <c r="J33">
        <v>2.9</v>
      </c>
      <c r="K33">
        <v>3024</v>
      </c>
      <c r="L33" t="s">
        <v>3335</v>
      </c>
      <c r="M33" t="s">
        <v>3305</v>
      </c>
      <c r="N33" s="1">
        <v>43637</v>
      </c>
      <c r="O33">
        <v>35910</v>
      </c>
      <c r="P33" t="s">
        <v>3306</v>
      </c>
    </row>
    <row r="34" spans="1:16">
      <c r="A34" t="s">
        <v>3453</v>
      </c>
      <c r="B34" t="s">
        <v>3454</v>
      </c>
      <c r="C34" t="s">
        <v>3455</v>
      </c>
      <c r="D34" t="s">
        <v>3301</v>
      </c>
      <c r="E34" t="s">
        <v>3343</v>
      </c>
      <c r="F34">
        <v>2720</v>
      </c>
      <c r="G34">
        <v>2000</v>
      </c>
      <c r="H34" t="s">
        <v>3456</v>
      </c>
      <c r="I34">
        <v>255</v>
      </c>
      <c r="J34">
        <v>4.3</v>
      </c>
      <c r="K34">
        <v>2897</v>
      </c>
      <c r="L34" t="s">
        <v>3312</v>
      </c>
      <c r="M34" t="s">
        <v>3378</v>
      </c>
      <c r="N34" s="1">
        <v>44099</v>
      </c>
      <c r="O34">
        <v>720</v>
      </c>
      <c r="P34" t="s">
        <v>3324</v>
      </c>
    </row>
    <row r="35" spans="1:16">
      <c r="A35" t="s">
        <v>3457</v>
      </c>
      <c r="B35" t="s">
        <v>3458</v>
      </c>
      <c r="C35" t="s">
        <v>3347</v>
      </c>
      <c r="D35" t="s">
        <v>3301</v>
      </c>
      <c r="E35" t="s">
        <v>3348</v>
      </c>
      <c r="F35">
        <v>8620</v>
      </c>
      <c r="G35">
        <v>5730</v>
      </c>
      <c r="H35" t="s">
        <v>3459</v>
      </c>
      <c r="I35">
        <v>754</v>
      </c>
      <c r="J35">
        <v>4.8</v>
      </c>
      <c r="K35">
        <v>3372</v>
      </c>
      <c r="L35" t="s">
        <v>3335</v>
      </c>
      <c r="M35" t="s">
        <v>3305</v>
      </c>
      <c r="N35" s="1">
        <v>43908</v>
      </c>
      <c r="O35">
        <v>2890</v>
      </c>
      <c r="P35" t="s">
        <v>3330</v>
      </c>
    </row>
    <row r="36" spans="1:16">
      <c r="A36" t="s">
        <v>3460</v>
      </c>
      <c r="B36" t="s">
        <v>3461</v>
      </c>
      <c r="C36" t="s">
        <v>3462</v>
      </c>
      <c r="D36" t="s">
        <v>3353</v>
      </c>
      <c r="E36" t="s">
        <v>3354</v>
      </c>
      <c r="F36">
        <v>3570</v>
      </c>
      <c r="G36">
        <v>2060</v>
      </c>
      <c r="H36" t="s">
        <v>3463</v>
      </c>
      <c r="I36">
        <v>358</v>
      </c>
      <c r="J36">
        <v>3.5</v>
      </c>
      <c r="K36">
        <v>1864</v>
      </c>
      <c r="L36" t="s">
        <v>3335</v>
      </c>
      <c r="M36" t="s">
        <v>3305</v>
      </c>
      <c r="N36" s="1">
        <v>44257</v>
      </c>
      <c r="O36">
        <v>1510</v>
      </c>
      <c r="P36" t="s">
        <v>3324</v>
      </c>
    </row>
    <row r="37" spans="1:16">
      <c r="A37" t="s">
        <v>3464</v>
      </c>
      <c r="B37" t="s">
        <v>3465</v>
      </c>
      <c r="C37" t="s">
        <v>3342</v>
      </c>
      <c r="D37" t="s">
        <v>3353</v>
      </c>
      <c r="E37" t="s">
        <v>3359</v>
      </c>
      <c r="F37">
        <v>6630</v>
      </c>
      <c r="G37">
        <v>2470</v>
      </c>
      <c r="H37" t="s">
        <v>3466</v>
      </c>
      <c r="I37">
        <v>359</v>
      </c>
      <c r="J37">
        <v>4.2</v>
      </c>
      <c r="K37">
        <v>3274</v>
      </c>
      <c r="L37" t="s">
        <v>3361</v>
      </c>
      <c r="M37" t="s">
        <v>3378</v>
      </c>
      <c r="N37" s="1">
        <v>43938</v>
      </c>
      <c r="O37">
        <v>4160</v>
      </c>
      <c r="P37" t="s">
        <v>3330</v>
      </c>
    </row>
    <row r="38" spans="1:16">
      <c r="A38" t="s">
        <v>3467</v>
      </c>
      <c r="B38" t="s">
        <v>3468</v>
      </c>
      <c r="C38" t="s">
        <v>3469</v>
      </c>
      <c r="D38" t="s">
        <v>3353</v>
      </c>
      <c r="E38" t="s">
        <v>3364</v>
      </c>
      <c r="F38">
        <v>1310</v>
      </c>
      <c r="G38">
        <v>710</v>
      </c>
      <c r="H38" t="s">
        <v>3470</v>
      </c>
      <c r="I38">
        <v>610</v>
      </c>
      <c r="J38">
        <v>3.8</v>
      </c>
      <c r="K38">
        <v>2569</v>
      </c>
      <c r="L38" t="s">
        <v>3312</v>
      </c>
      <c r="M38" t="s">
        <v>3305</v>
      </c>
      <c r="N38" s="1">
        <v>45560</v>
      </c>
      <c r="O38">
        <v>600</v>
      </c>
      <c r="P38" t="s">
        <v>3324</v>
      </c>
    </row>
    <row r="39" spans="1:16">
      <c r="A39" t="s">
        <v>3471</v>
      </c>
      <c r="B39" t="s">
        <v>3472</v>
      </c>
      <c r="C39" t="s">
        <v>3473</v>
      </c>
      <c r="D39" t="s">
        <v>3353</v>
      </c>
      <c r="E39" t="s">
        <v>3368</v>
      </c>
      <c r="F39">
        <v>2780</v>
      </c>
      <c r="G39">
        <v>490</v>
      </c>
      <c r="H39" t="s">
        <v>3474</v>
      </c>
      <c r="I39">
        <v>725</v>
      </c>
      <c r="J39">
        <v>3.8</v>
      </c>
      <c r="K39">
        <v>4259</v>
      </c>
      <c r="L39" t="s">
        <v>3335</v>
      </c>
      <c r="M39" t="s">
        <v>3305</v>
      </c>
      <c r="N39" s="1">
        <v>43752</v>
      </c>
      <c r="O39">
        <v>2290</v>
      </c>
      <c r="P39" t="s">
        <v>3324</v>
      </c>
    </row>
    <row r="40" spans="1:16">
      <c r="A40" t="s">
        <v>3475</v>
      </c>
      <c r="B40" t="s">
        <v>3476</v>
      </c>
      <c r="C40" t="s">
        <v>3477</v>
      </c>
      <c r="D40" t="s">
        <v>3353</v>
      </c>
      <c r="E40" t="s">
        <v>3372</v>
      </c>
      <c r="F40">
        <v>3220</v>
      </c>
      <c r="G40">
        <v>810</v>
      </c>
      <c r="H40" t="s">
        <v>3478</v>
      </c>
      <c r="I40">
        <v>737</v>
      </c>
      <c r="J40">
        <v>4.8</v>
      </c>
      <c r="K40">
        <v>4154</v>
      </c>
      <c r="L40" t="s">
        <v>3361</v>
      </c>
      <c r="M40" t="s">
        <v>3305</v>
      </c>
      <c r="N40" s="1">
        <v>44802</v>
      </c>
      <c r="O40">
        <v>2410</v>
      </c>
      <c r="P40" t="s">
        <v>3324</v>
      </c>
    </row>
    <row r="41" spans="1:16">
      <c r="A41" t="s">
        <v>3479</v>
      </c>
      <c r="B41" t="s">
        <v>3480</v>
      </c>
      <c r="C41" t="s">
        <v>3342</v>
      </c>
      <c r="D41" t="s">
        <v>3353</v>
      </c>
      <c r="E41" t="s">
        <v>3376</v>
      </c>
      <c r="F41">
        <v>490</v>
      </c>
      <c r="G41">
        <v>280</v>
      </c>
      <c r="H41" t="s">
        <v>3481</v>
      </c>
      <c r="I41">
        <v>680</v>
      </c>
      <c r="J41">
        <v>4.9000000000000004</v>
      </c>
      <c r="K41">
        <v>1425</v>
      </c>
      <c r="L41" t="s">
        <v>3361</v>
      </c>
      <c r="M41" t="s">
        <v>3305</v>
      </c>
      <c r="N41" s="1">
        <v>43467</v>
      </c>
      <c r="O41">
        <v>210</v>
      </c>
      <c r="P41" t="s">
        <v>3324</v>
      </c>
    </row>
    <row r="42" spans="1:16">
      <c r="A42" t="s">
        <v>3482</v>
      </c>
      <c r="B42" t="s">
        <v>3483</v>
      </c>
      <c r="C42" t="s">
        <v>3455</v>
      </c>
      <c r="D42" t="s">
        <v>3353</v>
      </c>
      <c r="E42" t="s">
        <v>3382</v>
      </c>
      <c r="F42">
        <v>2670</v>
      </c>
      <c r="G42">
        <v>1420</v>
      </c>
      <c r="H42" t="s">
        <v>3484</v>
      </c>
      <c r="I42">
        <v>670</v>
      </c>
      <c r="J42">
        <v>3.5</v>
      </c>
      <c r="K42">
        <v>3619</v>
      </c>
      <c r="L42" t="s">
        <v>3312</v>
      </c>
      <c r="M42" t="s">
        <v>3305</v>
      </c>
      <c r="N42" s="1">
        <v>45559</v>
      </c>
      <c r="O42">
        <v>1250</v>
      </c>
      <c r="P42" t="s">
        <v>3324</v>
      </c>
    </row>
    <row r="43" spans="1:16">
      <c r="A43" t="s">
        <v>3485</v>
      </c>
      <c r="B43" t="s">
        <v>3486</v>
      </c>
      <c r="C43" t="s">
        <v>3487</v>
      </c>
      <c r="D43" t="s">
        <v>3387</v>
      </c>
      <c r="E43" t="s">
        <v>3388</v>
      </c>
      <c r="F43">
        <v>9940</v>
      </c>
      <c r="G43">
        <v>6340</v>
      </c>
      <c r="H43" t="s">
        <v>3488</v>
      </c>
      <c r="I43">
        <v>648</v>
      </c>
      <c r="J43">
        <v>4.2</v>
      </c>
      <c r="K43">
        <v>765</v>
      </c>
      <c r="L43" t="s">
        <v>3335</v>
      </c>
      <c r="M43" t="s">
        <v>3305</v>
      </c>
      <c r="N43" s="1">
        <v>44386</v>
      </c>
      <c r="O43">
        <v>3600</v>
      </c>
      <c r="P43" t="s">
        <v>3330</v>
      </c>
    </row>
    <row r="44" spans="1:16">
      <c r="A44" t="s">
        <v>3489</v>
      </c>
      <c r="B44" t="s">
        <v>3490</v>
      </c>
      <c r="C44" t="s">
        <v>3491</v>
      </c>
      <c r="D44" t="s">
        <v>3387</v>
      </c>
      <c r="E44" t="s">
        <v>3392</v>
      </c>
      <c r="F44">
        <v>4500</v>
      </c>
      <c r="G44">
        <v>3450</v>
      </c>
      <c r="H44" t="s">
        <v>3492</v>
      </c>
      <c r="I44">
        <v>625</v>
      </c>
      <c r="J44">
        <v>4.7</v>
      </c>
      <c r="K44">
        <v>596</v>
      </c>
      <c r="L44" t="s">
        <v>3312</v>
      </c>
      <c r="M44" t="s">
        <v>3305</v>
      </c>
      <c r="N44" s="1">
        <v>44262</v>
      </c>
      <c r="O44">
        <v>1050</v>
      </c>
      <c r="P44" t="s">
        <v>3324</v>
      </c>
    </row>
    <row r="45" spans="1:16">
      <c r="A45" t="s">
        <v>3493</v>
      </c>
      <c r="B45" t="s">
        <v>3494</v>
      </c>
      <c r="C45" t="s">
        <v>3381</v>
      </c>
      <c r="D45" t="s">
        <v>3387</v>
      </c>
      <c r="E45" t="s">
        <v>3397</v>
      </c>
      <c r="F45">
        <v>1300</v>
      </c>
      <c r="G45">
        <v>330</v>
      </c>
      <c r="H45" t="s">
        <v>3495</v>
      </c>
      <c r="I45">
        <v>671</v>
      </c>
      <c r="J45">
        <v>4.3</v>
      </c>
      <c r="K45">
        <v>873</v>
      </c>
      <c r="L45" t="s">
        <v>3312</v>
      </c>
      <c r="M45" t="s">
        <v>3305</v>
      </c>
      <c r="N45" s="1">
        <v>45587</v>
      </c>
      <c r="O45">
        <v>970</v>
      </c>
      <c r="P45" t="s">
        <v>3324</v>
      </c>
    </row>
    <row r="46" spans="1:16">
      <c r="A46" t="s">
        <v>3496</v>
      </c>
      <c r="B46" t="s">
        <v>3497</v>
      </c>
      <c r="C46" t="s">
        <v>3498</v>
      </c>
      <c r="D46" t="s">
        <v>3402</v>
      </c>
      <c r="E46" t="s">
        <v>3403</v>
      </c>
      <c r="F46">
        <v>2990</v>
      </c>
      <c r="G46">
        <v>1530</v>
      </c>
      <c r="H46" t="s">
        <v>3427</v>
      </c>
      <c r="I46">
        <v>136</v>
      </c>
      <c r="J46">
        <v>4.5999999999999996</v>
      </c>
      <c r="K46">
        <v>4351</v>
      </c>
      <c r="L46" t="s">
        <v>3361</v>
      </c>
      <c r="M46" t="s">
        <v>3378</v>
      </c>
      <c r="N46" s="1">
        <v>45278</v>
      </c>
      <c r="O46">
        <v>1460</v>
      </c>
      <c r="P46" t="s">
        <v>3324</v>
      </c>
    </row>
    <row r="47" spans="1:16">
      <c r="A47" t="s">
        <v>3499</v>
      </c>
      <c r="B47" t="s">
        <v>3500</v>
      </c>
      <c r="C47" t="s">
        <v>3430</v>
      </c>
      <c r="D47" t="s">
        <v>3301</v>
      </c>
      <c r="E47" t="s">
        <v>3407</v>
      </c>
      <c r="F47">
        <v>19610</v>
      </c>
      <c r="G47">
        <v>6110</v>
      </c>
      <c r="H47" t="s">
        <v>3501</v>
      </c>
      <c r="I47">
        <v>761</v>
      </c>
      <c r="J47">
        <v>4.7</v>
      </c>
      <c r="K47">
        <v>3686</v>
      </c>
      <c r="L47" t="s">
        <v>3361</v>
      </c>
      <c r="M47" t="s">
        <v>3305</v>
      </c>
      <c r="N47" s="1">
        <v>44601</v>
      </c>
      <c r="O47">
        <v>13500</v>
      </c>
      <c r="P47" t="s">
        <v>3330</v>
      </c>
    </row>
    <row r="48" spans="1:16">
      <c r="A48" t="s">
        <v>3502</v>
      </c>
      <c r="B48" t="s">
        <v>3503</v>
      </c>
      <c r="C48" t="s">
        <v>3504</v>
      </c>
      <c r="D48" t="s">
        <v>3301</v>
      </c>
      <c r="E48" t="s">
        <v>3411</v>
      </c>
      <c r="F48">
        <v>39360</v>
      </c>
      <c r="G48">
        <v>14500</v>
      </c>
      <c r="H48" t="s">
        <v>3505</v>
      </c>
      <c r="I48">
        <v>450</v>
      </c>
      <c r="J48">
        <v>3</v>
      </c>
      <c r="K48">
        <v>2340</v>
      </c>
      <c r="L48" t="s">
        <v>3335</v>
      </c>
      <c r="M48" t="s">
        <v>3305</v>
      </c>
      <c r="N48" s="1">
        <v>44775</v>
      </c>
      <c r="O48">
        <v>24860</v>
      </c>
      <c r="P48" t="s">
        <v>3306</v>
      </c>
    </row>
    <row r="49" spans="1:16">
      <c r="A49" t="s">
        <v>3506</v>
      </c>
      <c r="B49" t="s">
        <v>3507</v>
      </c>
      <c r="C49" t="s">
        <v>3441</v>
      </c>
      <c r="D49" t="s">
        <v>3301</v>
      </c>
      <c r="E49" t="s">
        <v>3416</v>
      </c>
      <c r="F49">
        <v>42310</v>
      </c>
      <c r="G49">
        <v>20550</v>
      </c>
      <c r="H49" t="s">
        <v>3508</v>
      </c>
      <c r="I49">
        <v>710</v>
      </c>
      <c r="J49">
        <v>3.1</v>
      </c>
      <c r="K49">
        <v>1752</v>
      </c>
      <c r="L49" t="s">
        <v>3304</v>
      </c>
      <c r="M49" t="s">
        <v>3305</v>
      </c>
      <c r="N49" s="1">
        <v>44821</v>
      </c>
      <c r="O49">
        <v>21760</v>
      </c>
      <c r="P49" t="s">
        <v>3306</v>
      </c>
    </row>
    <row r="50" spans="1:16">
      <c r="A50" t="s">
        <v>3509</v>
      </c>
      <c r="B50" t="s">
        <v>3510</v>
      </c>
      <c r="C50" t="s">
        <v>3441</v>
      </c>
      <c r="D50" t="s">
        <v>3353</v>
      </c>
      <c r="E50" t="s">
        <v>3421</v>
      </c>
      <c r="F50">
        <v>3890</v>
      </c>
      <c r="G50">
        <v>2020</v>
      </c>
      <c r="H50" t="s">
        <v>3511</v>
      </c>
      <c r="I50">
        <v>398</v>
      </c>
      <c r="J50">
        <v>4.8</v>
      </c>
      <c r="K50">
        <v>4784</v>
      </c>
      <c r="L50" t="s">
        <v>3304</v>
      </c>
      <c r="M50" t="s">
        <v>3305</v>
      </c>
      <c r="N50" s="1">
        <v>45024</v>
      </c>
      <c r="O50">
        <v>1870</v>
      </c>
      <c r="P50" t="s">
        <v>3324</v>
      </c>
    </row>
    <row r="51" spans="1:16">
      <c r="A51" t="s">
        <v>3512</v>
      </c>
      <c r="B51" t="s">
        <v>3513</v>
      </c>
      <c r="C51" t="s">
        <v>3487</v>
      </c>
      <c r="D51" t="s">
        <v>3353</v>
      </c>
      <c r="E51" t="s">
        <v>3426</v>
      </c>
      <c r="F51">
        <v>7390</v>
      </c>
      <c r="G51">
        <v>4030</v>
      </c>
      <c r="H51" t="s">
        <v>3514</v>
      </c>
      <c r="I51">
        <v>551</v>
      </c>
      <c r="J51">
        <v>4.4000000000000004</v>
      </c>
      <c r="K51">
        <v>4473</v>
      </c>
      <c r="L51" t="s">
        <v>3335</v>
      </c>
      <c r="M51" t="s">
        <v>3305</v>
      </c>
      <c r="N51" s="1">
        <v>44583</v>
      </c>
      <c r="O51">
        <v>3360</v>
      </c>
      <c r="P51" t="s">
        <v>3330</v>
      </c>
    </row>
    <row r="52" spans="1:16">
      <c r="A52" t="s">
        <v>3515</v>
      </c>
      <c r="B52" t="s">
        <v>3516</v>
      </c>
      <c r="C52" t="s">
        <v>3517</v>
      </c>
      <c r="D52" t="s">
        <v>3301</v>
      </c>
      <c r="E52" t="s">
        <v>3302</v>
      </c>
      <c r="F52">
        <v>52060</v>
      </c>
      <c r="G52">
        <v>31500</v>
      </c>
      <c r="H52" t="s">
        <v>3518</v>
      </c>
      <c r="I52">
        <v>741</v>
      </c>
      <c r="J52">
        <v>3.2</v>
      </c>
      <c r="K52">
        <v>3828</v>
      </c>
      <c r="L52" t="s">
        <v>3335</v>
      </c>
      <c r="M52" t="s">
        <v>3378</v>
      </c>
      <c r="N52" s="1">
        <v>45653</v>
      </c>
      <c r="O52">
        <v>20560</v>
      </c>
      <c r="P52" t="s">
        <v>3313</v>
      </c>
    </row>
    <row r="53" spans="1:16">
      <c r="A53" t="s">
        <v>3519</v>
      </c>
      <c r="B53" t="s">
        <v>3520</v>
      </c>
      <c r="C53" t="s">
        <v>3309</v>
      </c>
      <c r="D53" t="s">
        <v>3301</v>
      </c>
      <c r="E53" t="s">
        <v>3310</v>
      </c>
      <c r="F53">
        <v>111900</v>
      </c>
      <c r="G53">
        <v>21550</v>
      </c>
      <c r="H53" t="s">
        <v>3521</v>
      </c>
      <c r="I53">
        <v>85</v>
      </c>
      <c r="J53">
        <v>4.2</v>
      </c>
      <c r="K53">
        <v>1111</v>
      </c>
      <c r="L53" t="s">
        <v>3312</v>
      </c>
      <c r="M53" t="s">
        <v>3305</v>
      </c>
      <c r="N53" s="1">
        <v>44531</v>
      </c>
      <c r="O53">
        <v>90350</v>
      </c>
      <c r="P53" t="s">
        <v>3313</v>
      </c>
    </row>
    <row r="54" spans="1:16">
      <c r="A54" t="s">
        <v>3522</v>
      </c>
      <c r="B54" t="s">
        <v>3523</v>
      </c>
      <c r="C54" t="s">
        <v>3462</v>
      </c>
      <c r="D54" t="s">
        <v>3301</v>
      </c>
      <c r="E54" t="s">
        <v>3317</v>
      </c>
      <c r="F54">
        <v>54840</v>
      </c>
      <c r="G54">
        <v>30120</v>
      </c>
      <c r="H54" t="s">
        <v>3524</v>
      </c>
      <c r="I54">
        <v>779</v>
      </c>
      <c r="J54">
        <v>4.7</v>
      </c>
      <c r="K54">
        <v>2279</v>
      </c>
      <c r="L54" t="s">
        <v>3312</v>
      </c>
      <c r="M54" t="s">
        <v>3305</v>
      </c>
      <c r="N54" s="1">
        <v>43801</v>
      </c>
      <c r="O54">
        <v>24720</v>
      </c>
      <c r="P54" t="s">
        <v>3313</v>
      </c>
    </row>
    <row r="55" spans="1:16">
      <c r="A55" t="s">
        <v>3525</v>
      </c>
      <c r="B55" t="s">
        <v>3526</v>
      </c>
      <c r="C55" t="s">
        <v>3487</v>
      </c>
      <c r="D55" t="s">
        <v>3301</v>
      </c>
      <c r="E55" t="s">
        <v>3322</v>
      </c>
      <c r="F55">
        <v>23430</v>
      </c>
      <c r="G55">
        <v>7650</v>
      </c>
      <c r="H55" t="s">
        <v>3527</v>
      </c>
      <c r="I55">
        <v>665</v>
      </c>
      <c r="J55">
        <v>3</v>
      </c>
      <c r="K55">
        <v>329</v>
      </c>
      <c r="L55" t="s">
        <v>3304</v>
      </c>
      <c r="M55" t="s">
        <v>3378</v>
      </c>
      <c r="N55" s="1">
        <v>44282</v>
      </c>
      <c r="O55">
        <v>15780</v>
      </c>
      <c r="P55" t="s">
        <v>3306</v>
      </c>
    </row>
    <row r="56" spans="1:16">
      <c r="A56" t="s">
        <v>3528</v>
      </c>
      <c r="B56" t="s">
        <v>3529</v>
      </c>
      <c r="C56" t="s">
        <v>3309</v>
      </c>
      <c r="D56" t="s">
        <v>3301</v>
      </c>
      <c r="E56" t="s">
        <v>3328</v>
      </c>
      <c r="F56">
        <v>4440</v>
      </c>
      <c r="G56">
        <v>2120</v>
      </c>
      <c r="H56" t="s">
        <v>3530</v>
      </c>
      <c r="I56">
        <v>685</v>
      </c>
      <c r="J56">
        <v>3.1</v>
      </c>
      <c r="K56">
        <v>1785</v>
      </c>
      <c r="L56" t="s">
        <v>3312</v>
      </c>
      <c r="M56" t="s">
        <v>3305</v>
      </c>
      <c r="N56" s="1">
        <v>44976</v>
      </c>
      <c r="O56">
        <v>2320</v>
      </c>
      <c r="P56" t="s">
        <v>3324</v>
      </c>
    </row>
    <row r="57" spans="1:16">
      <c r="A57" t="s">
        <v>3531</v>
      </c>
      <c r="B57" t="s">
        <v>3532</v>
      </c>
      <c r="C57" t="s">
        <v>217</v>
      </c>
      <c r="D57" t="s">
        <v>3301</v>
      </c>
      <c r="E57" t="s">
        <v>3333</v>
      </c>
      <c r="F57">
        <v>24240</v>
      </c>
      <c r="G57">
        <v>2280</v>
      </c>
      <c r="H57" t="s">
        <v>3533</v>
      </c>
      <c r="I57">
        <v>796</v>
      </c>
      <c r="J57">
        <v>4.5999999999999996</v>
      </c>
      <c r="K57">
        <v>2548</v>
      </c>
      <c r="L57" t="s">
        <v>3304</v>
      </c>
      <c r="M57" t="s">
        <v>3305</v>
      </c>
      <c r="N57" s="1">
        <v>44743</v>
      </c>
      <c r="O57">
        <v>21960</v>
      </c>
      <c r="P57" t="s">
        <v>3306</v>
      </c>
    </row>
    <row r="58" spans="1:16">
      <c r="A58" t="s">
        <v>3534</v>
      </c>
      <c r="B58" t="s">
        <v>3535</v>
      </c>
      <c r="C58" t="s">
        <v>3327</v>
      </c>
      <c r="D58" t="s">
        <v>3301</v>
      </c>
      <c r="E58" t="s">
        <v>3338</v>
      </c>
      <c r="F58">
        <v>47860</v>
      </c>
      <c r="G58">
        <v>13600</v>
      </c>
      <c r="H58" t="s">
        <v>3536</v>
      </c>
      <c r="I58">
        <v>77</v>
      </c>
      <c r="J58">
        <v>4.0999999999999996</v>
      </c>
      <c r="K58">
        <v>1989</v>
      </c>
      <c r="L58" t="s">
        <v>3304</v>
      </c>
      <c r="M58" t="s">
        <v>3305</v>
      </c>
      <c r="N58" s="1">
        <v>44701</v>
      </c>
      <c r="O58">
        <v>34260</v>
      </c>
      <c r="P58" t="s">
        <v>3306</v>
      </c>
    </row>
    <row r="59" spans="1:16">
      <c r="A59" t="s">
        <v>3537</v>
      </c>
      <c r="B59" t="s">
        <v>3538</v>
      </c>
      <c r="C59" t="s">
        <v>3539</v>
      </c>
      <c r="D59" t="s">
        <v>3301</v>
      </c>
      <c r="E59" t="s">
        <v>3343</v>
      </c>
      <c r="F59">
        <v>7410</v>
      </c>
      <c r="G59">
        <v>940</v>
      </c>
      <c r="H59" t="s">
        <v>3540</v>
      </c>
      <c r="I59">
        <v>355</v>
      </c>
      <c r="J59">
        <v>4</v>
      </c>
      <c r="K59">
        <v>3035</v>
      </c>
      <c r="L59" t="s">
        <v>3304</v>
      </c>
      <c r="M59" t="s">
        <v>3305</v>
      </c>
      <c r="N59" s="1">
        <v>44863</v>
      </c>
      <c r="O59">
        <v>6470</v>
      </c>
      <c r="P59" t="s">
        <v>3330</v>
      </c>
    </row>
    <row r="60" spans="1:16">
      <c r="A60" t="s">
        <v>3541</v>
      </c>
      <c r="B60" t="s">
        <v>3542</v>
      </c>
      <c r="C60" t="s">
        <v>3316</v>
      </c>
      <c r="D60" t="s">
        <v>3301</v>
      </c>
      <c r="E60" t="s">
        <v>3348</v>
      </c>
      <c r="F60">
        <v>35410</v>
      </c>
      <c r="G60">
        <v>16870</v>
      </c>
      <c r="H60" t="s">
        <v>3543</v>
      </c>
      <c r="I60">
        <v>650</v>
      </c>
      <c r="J60">
        <v>4.8</v>
      </c>
      <c r="K60">
        <v>3766</v>
      </c>
      <c r="L60" t="s">
        <v>3335</v>
      </c>
      <c r="M60" t="s">
        <v>3305</v>
      </c>
      <c r="N60" s="1">
        <v>45603</v>
      </c>
      <c r="O60">
        <v>18540</v>
      </c>
      <c r="P60" t="s">
        <v>3306</v>
      </c>
    </row>
    <row r="61" spans="1:16">
      <c r="A61" t="s">
        <v>3544</v>
      </c>
      <c r="B61" t="s">
        <v>3545</v>
      </c>
      <c r="C61" t="s">
        <v>3546</v>
      </c>
      <c r="D61" t="s">
        <v>3353</v>
      </c>
      <c r="E61" t="s">
        <v>3354</v>
      </c>
      <c r="F61">
        <v>8220</v>
      </c>
      <c r="G61">
        <v>3990</v>
      </c>
      <c r="H61" t="s">
        <v>3547</v>
      </c>
      <c r="I61">
        <v>446</v>
      </c>
      <c r="J61">
        <v>4.5999999999999996</v>
      </c>
      <c r="K61">
        <v>4853</v>
      </c>
      <c r="L61" t="s">
        <v>3361</v>
      </c>
      <c r="M61" t="s">
        <v>3305</v>
      </c>
      <c r="N61" s="1">
        <v>44471</v>
      </c>
      <c r="O61">
        <v>4230</v>
      </c>
      <c r="P61" t="s">
        <v>3330</v>
      </c>
    </row>
    <row r="62" spans="1:16">
      <c r="A62" t="s">
        <v>3548</v>
      </c>
      <c r="B62" t="s">
        <v>3549</v>
      </c>
      <c r="C62" t="s">
        <v>3425</v>
      </c>
      <c r="D62" t="s">
        <v>3353</v>
      </c>
      <c r="E62" t="s">
        <v>3359</v>
      </c>
      <c r="F62">
        <v>6450</v>
      </c>
      <c r="G62">
        <v>3990</v>
      </c>
      <c r="H62" t="s">
        <v>3550</v>
      </c>
      <c r="I62">
        <v>583</v>
      </c>
      <c r="J62">
        <v>4.0999999999999996</v>
      </c>
      <c r="K62">
        <v>3104</v>
      </c>
      <c r="L62" t="s">
        <v>3361</v>
      </c>
      <c r="M62" t="s">
        <v>3305</v>
      </c>
      <c r="N62" s="1">
        <v>44797</v>
      </c>
      <c r="O62">
        <v>2460</v>
      </c>
      <c r="P62" t="s">
        <v>3330</v>
      </c>
    </row>
    <row r="63" spans="1:16">
      <c r="A63" t="s">
        <v>3551</v>
      </c>
      <c r="B63" t="s">
        <v>3552</v>
      </c>
      <c r="C63" t="s">
        <v>3553</v>
      </c>
      <c r="D63" t="s">
        <v>3353</v>
      </c>
      <c r="E63" t="s">
        <v>3364</v>
      </c>
      <c r="F63">
        <v>7530</v>
      </c>
      <c r="G63">
        <v>2720</v>
      </c>
      <c r="H63" t="s">
        <v>3554</v>
      </c>
      <c r="I63">
        <v>348</v>
      </c>
      <c r="J63">
        <v>3.4</v>
      </c>
      <c r="K63">
        <v>4883</v>
      </c>
      <c r="L63" t="s">
        <v>3361</v>
      </c>
      <c r="M63" t="s">
        <v>3305</v>
      </c>
      <c r="N63" s="1">
        <v>45582</v>
      </c>
      <c r="O63">
        <v>4810</v>
      </c>
      <c r="P63" t="s">
        <v>3330</v>
      </c>
    </row>
    <row r="64" spans="1:16">
      <c r="A64" t="s">
        <v>3555</v>
      </c>
      <c r="B64" t="s">
        <v>3556</v>
      </c>
      <c r="C64" t="s">
        <v>3491</v>
      </c>
      <c r="D64" t="s">
        <v>3353</v>
      </c>
      <c r="E64" t="s">
        <v>3368</v>
      </c>
      <c r="F64">
        <v>4030</v>
      </c>
      <c r="G64">
        <v>2400</v>
      </c>
      <c r="H64" t="s">
        <v>3557</v>
      </c>
      <c r="I64">
        <v>568</v>
      </c>
      <c r="J64">
        <v>4.5</v>
      </c>
      <c r="K64">
        <v>3900</v>
      </c>
      <c r="L64" t="s">
        <v>3312</v>
      </c>
      <c r="M64" t="s">
        <v>3305</v>
      </c>
      <c r="N64" s="1">
        <v>43536</v>
      </c>
      <c r="O64">
        <v>1630</v>
      </c>
      <c r="P64" t="s">
        <v>3324</v>
      </c>
    </row>
    <row r="65" spans="1:16">
      <c r="A65" t="s">
        <v>3558</v>
      </c>
      <c r="B65" t="s">
        <v>3559</v>
      </c>
      <c r="C65" t="s">
        <v>3425</v>
      </c>
      <c r="D65" t="s">
        <v>3353</v>
      </c>
      <c r="E65" t="s">
        <v>3372</v>
      </c>
      <c r="F65">
        <v>3330</v>
      </c>
      <c r="G65">
        <v>1300</v>
      </c>
      <c r="H65" t="s">
        <v>3560</v>
      </c>
      <c r="I65">
        <v>313</v>
      </c>
      <c r="J65">
        <v>4.3</v>
      </c>
      <c r="K65">
        <v>3023</v>
      </c>
      <c r="L65" t="s">
        <v>3312</v>
      </c>
      <c r="M65" t="s">
        <v>3305</v>
      </c>
      <c r="N65" s="1">
        <v>44874</v>
      </c>
      <c r="O65">
        <v>2030</v>
      </c>
      <c r="P65" t="s">
        <v>3324</v>
      </c>
    </row>
    <row r="66" spans="1:16">
      <c r="A66" t="s">
        <v>3561</v>
      </c>
      <c r="B66" t="s">
        <v>3562</v>
      </c>
      <c r="C66" t="s">
        <v>3517</v>
      </c>
      <c r="D66" t="s">
        <v>3353</v>
      </c>
      <c r="E66" t="s">
        <v>3376</v>
      </c>
      <c r="F66">
        <v>1030</v>
      </c>
      <c r="G66">
        <v>340</v>
      </c>
      <c r="H66" t="s">
        <v>3563</v>
      </c>
      <c r="I66">
        <v>313</v>
      </c>
      <c r="J66">
        <v>3.4</v>
      </c>
      <c r="K66">
        <v>988</v>
      </c>
      <c r="L66" t="s">
        <v>3335</v>
      </c>
      <c r="M66" t="s">
        <v>3305</v>
      </c>
      <c r="N66" s="1">
        <v>44224</v>
      </c>
      <c r="O66">
        <v>690</v>
      </c>
      <c r="P66" t="s">
        <v>3324</v>
      </c>
    </row>
    <row r="67" spans="1:16">
      <c r="A67" t="s">
        <v>3564</v>
      </c>
      <c r="B67" t="s">
        <v>3565</v>
      </c>
      <c r="C67" t="s">
        <v>3491</v>
      </c>
      <c r="D67" t="s">
        <v>3353</v>
      </c>
      <c r="E67" t="s">
        <v>3382</v>
      </c>
      <c r="F67">
        <v>2710</v>
      </c>
      <c r="G67">
        <v>1740</v>
      </c>
      <c r="H67" t="s">
        <v>3566</v>
      </c>
      <c r="I67">
        <v>537</v>
      </c>
      <c r="J67">
        <v>4.0999999999999996</v>
      </c>
      <c r="K67">
        <v>823</v>
      </c>
      <c r="L67" t="s">
        <v>3335</v>
      </c>
      <c r="M67" t="s">
        <v>3305</v>
      </c>
      <c r="N67" s="1">
        <v>44944</v>
      </c>
      <c r="O67">
        <v>970</v>
      </c>
      <c r="P67" t="s">
        <v>3324</v>
      </c>
    </row>
    <row r="68" spans="1:16">
      <c r="A68" t="s">
        <v>3567</v>
      </c>
      <c r="B68" t="s">
        <v>3568</v>
      </c>
      <c r="C68" t="s">
        <v>3553</v>
      </c>
      <c r="D68" t="s">
        <v>3387</v>
      </c>
      <c r="E68" t="s">
        <v>3388</v>
      </c>
      <c r="F68">
        <v>10250</v>
      </c>
      <c r="G68">
        <v>1940</v>
      </c>
      <c r="H68" t="s">
        <v>3569</v>
      </c>
      <c r="I68">
        <v>280</v>
      </c>
      <c r="J68">
        <v>2.9</v>
      </c>
      <c r="K68">
        <v>446</v>
      </c>
      <c r="L68" t="s">
        <v>3361</v>
      </c>
      <c r="M68" t="s">
        <v>3305</v>
      </c>
      <c r="N68" s="1">
        <v>43983</v>
      </c>
      <c r="O68">
        <v>8310</v>
      </c>
      <c r="P68" t="s">
        <v>3330</v>
      </c>
    </row>
    <row r="69" spans="1:16">
      <c r="A69" t="s">
        <v>3570</v>
      </c>
      <c r="B69" t="s">
        <v>3571</v>
      </c>
      <c r="C69" t="s">
        <v>3300</v>
      </c>
      <c r="D69" t="s">
        <v>3387</v>
      </c>
      <c r="E69" t="s">
        <v>3392</v>
      </c>
      <c r="F69">
        <v>7200</v>
      </c>
      <c r="G69">
        <v>2660</v>
      </c>
      <c r="H69" t="s">
        <v>3572</v>
      </c>
      <c r="I69">
        <v>480</v>
      </c>
      <c r="J69">
        <v>3.9</v>
      </c>
      <c r="K69">
        <v>2791</v>
      </c>
      <c r="L69" t="s">
        <v>3335</v>
      </c>
      <c r="M69" t="s">
        <v>3378</v>
      </c>
      <c r="N69" s="1">
        <v>44500</v>
      </c>
      <c r="O69">
        <v>4540</v>
      </c>
      <c r="P69" t="s">
        <v>3330</v>
      </c>
    </row>
    <row r="70" spans="1:16">
      <c r="A70" t="s">
        <v>3573</v>
      </c>
      <c r="B70" t="s">
        <v>3574</v>
      </c>
      <c r="C70" t="s">
        <v>3487</v>
      </c>
      <c r="D70" t="s">
        <v>3387</v>
      </c>
      <c r="E70" t="s">
        <v>3397</v>
      </c>
      <c r="F70">
        <v>2310</v>
      </c>
      <c r="G70">
        <v>330</v>
      </c>
      <c r="H70" t="s">
        <v>3575</v>
      </c>
      <c r="I70">
        <v>590</v>
      </c>
      <c r="J70">
        <v>4.2</v>
      </c>
      <c r="K70">
        <v>439</v>
      </c>
      <c r="L70" t="s">
        <v>3335</v>
      </c>
      <c r="M70" t="s">
        <v>3305</v>
      </c>
      <c r="N70" s="1">
        <v>44710</v>
      </c>
      <c r="O70">
        <v>1980</v>
      </c>
      <c r="P70" t="s">
        <v>3324</v>
      </c>
    </row>
    <row r="71" spans="1:16">
      <c r="A71" t="s">
        <v>3576</v>
      </c>
      <c r="B71" t="s">
        <v>3577</v>
      </c>
      <c r="C71" t="s">
        <v>3425</v>
      </c>
      <c r="D71" t="s">
        <v>3402</v>
      </c>
      <c r="E71" t="s">
        <v>3403</v>
      </c>
      <c r="F71">
        <v>7820</v>
      </c>
      <c r="G71">
        <v>5570</v>
      </c>
      <c r="H71" t="s">
        <v>3578</v>
      </c>
      <c r="I71">
        <v>610</v>
      </c>
      <c r="J71">
        <v>4.5</v>
      </c>
      <c r="K71">
        <v>1848</v>
      </c>
      <c r="L71" t="s">
        <v>3312</v>
      </c>
      <c r="M71" t="s">
        <v>3305</v>
      </c>
      <c r="N71" s="1">
        <v>45279</v>
      </c>
      <c r="O71">
        <v>2250</v>
      </c>
      <c r="P71" t="s">
        <v>3330</v>
      </c>
    </row>
    <row r="72" spans="1:16">
      <c r="A72" t="s">
        <v>3579</v>
      </c>
      <c r="B72" t="s">
        <v>3580</v>
      </c>
      <c r="C72" t="s">
        <v>3455</v>
      </c>
      <c r="D72" t="s">
        <v>3301</v>
      </c>
      <c r="E72" t="s">
        <v>3407</v>
      </c>
      <c r="F72">
        <v>23630</v>
      </c>
      <c r="G72">
        <v>5470</v>
      </c>
      <c r="H72" t="s">
        <v>3581</v>
      </c>
      <c r="I72">
        <v>624</v>
      </c>
      <c r="J72">
        <v>4.9000000000000004</v>
      </c>
      <c r="K72">
        <v>812</v>
      </c>
      <c r="L72" t="s">
        <v>3335</v>
      </c>
      <c r="M72" t="s">
        <v>3305</v>
      </c>
      <c r="N72" s="1">
        <v>44549</v>
      </c>
      <c r="O72">
        <v>18160</v>
      </c>
      <c r="P72" t="s">
        <v>3306</v>
      </c>
    </row>
    <row r="73" spans="1:16">
      <c r="A73" t="s">
        <v>3582</v>
      </c>
      <c r="B73" t="s">
        <v>3583</v>
      </c>
      <c r="C73" t="s">
        <v>3477</v>
      </c>
      <c r="D73" t="s">
        <v>3301</v>
      </c>
      <c r="E73" t="s">
        <v>3411</v>
      </c>
      <c r="F73">
        <v>30780</v>
      </c>
      <c r="G73">
        <v>23590</v>
      </c>
      <c r="H73" t="s">
        <v>3584</v>
      </c>
      <c r="I73">
        <v>76</v>
      </c>
      <c r="J73">
        <v>3.1</v>
      </c>
      <c r="K73">
        <v>3346</v>
      </c>
      <c r="L73" t="s">
        <v>3312</v>
      </c>
      <c r="M73" t="s">
        <v>3305</v>
      </c>
      <c r="N73" s="1">
        <v>45390</v>
      </c>
      <c r="O73">
        <v>7190</v>
      </c>
      <c r="P73" t="s">
        <v>3306</v>
      </c>
    </row>
    <row r="74" spans="1:16">
      <c r="A74" t="s">
        <v>3585</v>
      </c>
      <c r="B74" t="s">
        <v>3586</v>
      </c>
      <c r="C74" t="s">
        <v>3415</v>
      </c>
      <c r="D74" t="s">
        <v>3301</v>
      </c>
      <c r="E74" t="s">
        <v>3416</v>
      </c>
      <c r="F74">
        <v>104660</v>
      </c>
      <c r="G74">
        <v>45060</v>
      </c>
      <c r="H74" t="s">
        <v>3587</v>
      </c>
      <c r="I74">
        <v>719</v>
      </c>
      <c r="J74">
        <v>4.7</v>
      </c>
      <c r="K74">
        <v>583</v>
      </c>
      <c r="L74" t="s">
        <v>3335</v>
      </c>
      <c r="M74" t="s">
        <v>3378</v>
      </c>
      <c r="N74" s="1">
        <v>44276</v>
      </c>
      <c r="O74">
        <v>59600</v>
      </c>
      <c r="P74" t="s">
        <v>3313</v>
      </c>
    </row>
    <row r="75" spans="1:16">
      <c r="A75" t="s">
        <v>3588</v>
      </c>
      <c r="B75" t="s">
        <v>3589</v>
      </c>
      <c r="C75" t="s">
        <v>3517</v>
      </c>
      <c r="D75" t="s">
        <v>3353</v>
      </c>
      <c r="E75" t="s">
        <v>3421</v>
      </c>
      <c r="F75">
        <v>11110</v>
      </c>
      <c r="G75">
        <v>2740</v>
      </c>
      <c r="H75" t="s">
        <v>3590</v>
      </c>
      <c r="I75">
        <v>272</v>
      </c>
      <c r="J75">
        <v>4.5999999999999996</v>
      </c>
      <c r="K75">
        <v>584</v>
      </c>
      <c r="L75" t="s">
        <v>3304</v>
      </c>
      <c r="M75" t="s">
        <v>3305</v>
      </c>
      <c r="N75" s="1">
        <v>44725</v>
      </c>
      <c r="O75">
        <v>8370</v>
      </c>
      <c r="P75" t="s">
        <v>3330</v>
      </c>
    </row>
    <row r="76" spans="1:16">
      <c r="A76" t="s">
        <v>3591</v>
      </c>
      <c r="B76" t="s">
        <v>3592</v>
      </c>
      <c r="C76" t="s">
        <v>3593</v>
      </c>
      <c r="D76" t="s">
        <v>3353</v>
      </c>
      <c r="E76" t="s">
        <v>3426</v>
      </c>
      <c r="F76">
        <v>3040</v>
      </c>
      <c r="G76">
        <v>1560</v>
      </c>
      <c r="H76" t="s">
        <v>3594</v>
      </c>
      <c r="I76">
        <v>705</v>
      </c>
      <c r="J76">
        <v>3.5</v>
      </c>
      <c r="K76">
        <v>3297</v>
      </c>
      <c r="L76" t="s">
        <v>3361</v>
      </c>
      <c r="M76" t="s">
        <v>3305</v>
      </c>
      <c r="N76" s="1">
        <v>45488</v>
      </c>
      <c r="O76">
        <v>1480</v>
      </c>
      <c r="P76" t="s">
        <v>3324</v>
      </c>
    </row>
    <row r="77" spans="1:16">
      <c r="A77" t="s">
        <v>3595</v>
      </c>
      <c r="B77" t="s">
        <v>3596</v>
      </c>
      <c r="C77" t="s">
        <v>3597</v>
      </c>
      <c r="D77" t="s">
        <v>3301</v>
      </c>
      <c r="E77" t="s">
        <v>3302</v>
      </c>
      <c r="F77">
        <v>64630</v>
      </c>
      <c r="G77">
        <v>53140</v>
      </c>
      <c r="H77" t="s">
        <v>3598</v>
      </c>
      <c r="I77">
        <v>330</v>
      </c>
      <c r="J77">
        <v>4.0999999999999996</v>
      </c>
      <c r="K77">
        <v>211</v>
      </c>
      <c r="L77" t="s">
        <v>3304</v>
      </c>
      <c r="M77" t="s">
        <v>3305</v>
      </c>
      <c r="N77" s="1">
        <v>43550</v>
      </c>
      <c r="O77">
        <v>11490</v>
      </c>
      <c r="P77" t="s">
        <v>3313</v>
      </c>
    </row>
    <row r="78" spans="1:16">
      <c r="A78" t="s">
        <v>3599</v>
      </c>
      <c r="B78" t="s">
        <v>3600</v>
      </c>
      <c r="C78" t="s">
        <v>3352</v>
      </c>
      <c r="D78" t="s">
        <v>3301</v>
      </c>
      <c r="E78" t="s">
        <v>3310</v>
      </c>
      <c r="F78">
        <v>30270</v>
      </c>
      <c r="G78">
        <v>24250</v>
      </c>
      <c r="H78" t="s">
        <v>3601</v>
      </c>
      <c r="I78">
        <v>774</v>
      </c>
      <c r="J78">
        <v>3.2</v>
      </c>
      <c r="K78">
        <v>4251</v>
      </c>
      <c r="L78" t="s">
        <v>3312</v>
      </c>
      <c r="M78" t="s">
        <v>3378</v>
      </c>
      <c r="N78" s="1">
        <v>44209</v>
      </c>
      <c r="O78">
        <v>6020</v>
      </c>
      <c r="P78" t="s">
        <v>3306</v>
      </c>
    </row>
    <row r="79" spans="1:16">
      <c r="A79" t="s">
        <v>3602</v>
      </c>
      <c r="B79" t="s">
        <v>3603</v>
      </c>
      <c r="C79" t="s">
        <v>3604</v>
      </c>
      <c r="D79" t="s">
        <v>3301</v>
      </c>
      <c r="E79" t="s">
        <v>3317</v>
      </c>
      <c r="F79">
        <v>73600</v>
      </c>
      <c r="G79">
        <v>30800</v>
      </c>
      <c r="H79" t="s">
        <v>3605</v>
      </c>
      <c r="I79">
        <v>418</v>
      </c>
      <c r="J79">
        <v>3.5</v>
      </c>
      <c r="K79">
        <v>856</v>
      </c>
      <c r="L79" t="s">
        <v>3335</v>
      </c>
      <c r="M79" t="s">
        <v>3305</v>
      </c>
      <c r="N79" s="1">
        <v>45495</v>
      </c>
      <c r="O79">
        <v>42800</v>
      </c>
      <c r="P79" t="s">
        <v>3313</v>
      </c>
    </row>
    <row r="80" spans="1:16">
      <c r="A80" t="s">
        <v>3606</v>
      </c>
      <c r="B80" t="s">
        <v>3607</v>
      </c>
      <c r="C80" t="s">
        <v>3415</v>
      </c>
      <c r="D80" t="s">
        <v>3301</v>
      </c>
      <c r="E80" t="s">
        <v>3322</v>
      </c>
      <c r="F80">
        <v>2900</v>
      </c>
      <c r="G80">
        <v>2160</v>
      </c>
      <c r="H80" t="s">
        <v>3608</v>
      </c>
      <c r="I80">
        <v>90</v>
      </c>
      <c r="J80">
        <v>3.5</v>
      </c>
      <c r="K80">
        <v>2648</v>
      </c>
      <c r="L80" t="s">
        <v>3304</v>
      </c>
      <c r="M80" t="s">
        <v>3378</v>
      </c>
      <c r="N80" s="1">
        <v>45121</v>
      </c>
      <c r="O80">
        <v>740</v>
      </c>
      <c r="P80" t="s">
        <v>3324</v>
      </c>
    </row>
    <row r="81" spans="1:16">
      <c r="A81" t="s">
        <v>3609</v>
      </c>
      <c r="B81" t="s">
        <v>3610</v>
      </c>
      <c r="C81" t="s">
        <v>3611</v>
      </c>
      <c r="D81" t="s">
        <v>3301</v>
      </c>
      <c r="E81" t="s">
        <v>3328</v>
      </c>
      <c r="F81">
        <v>13840</v>
      </c>
      <c r="G81">
        <v>1070</v>
      </c>
      <c r="H81" t="s">
        <v>3612</v>
      </c>
      <c r="I81">
        <v>192</v>
      </c>
      <c r="J81">
        <v>3.9</v>
      </c>
      <c r="K81">
        <v>4083</v>
      </c>
      <c r="L81" t="s">
        <v>3312</v>
      </c>
      <c r="M81" t="s">
        <v>3305</v>
      </c>
      <c r="N81" s="1">
        <v>44299</v>
      </c>
      <c r="O81">
        <v>12770</v>
      </c>
      <c r="P81" t="s">
        <v>3330</v>
      </c>
    </row>
    <row r="82" spans="1:16">
      <c r="A82" t="s">
        <v>3613</v>
      </c>
      <c r="B82" t="s">
        <v>3614</v>
      </c>
      <c r="C82" t="s">
        <v>3615</v>
      </c>
      <c r="D82" t="s">
        <v>3301</v>
      </c>
      <c r="E82" t="s">
        <v>3333</v>
      </c>
      <c r="F82">
        <v>15060</v>
      </c>
      <c r="G82">
        <v>11840</v>
      </c>
      <c r="H82" t="s">
        <v>3616</v>
      </c>
      <c r="I82">
        <v>496</v>
      </c>
      <c r="J82">
        <v>3.1</v>
      </c>
      <c r="K82">
        <v>4987</v>
      </c>
      <c r="L82" t="s">
        <v>3335</v>
      </c>
      <c r="M82" t="s">
        <v>3305</v>
      </c>
      <c r="N82" s="1">
        <v>44738</v>
      </c>
      <c r="O82">
        <v>3220</v>
      </c>
      <c r="P82" t="s">
        <v>3330</v>
      </c>
    </row>
    <row r="83" spans="1:16">
      <c r="A83" t="s">
        <v>3617</v>
      </c>
      <c r="B83" t="s">
        <v>3618</v>
      </c>
      <c r="C83" t="s">
        <v>3451</v>
      </c>
      <c r="D83" t="s">
        <v>3301</v>
      </c>
      <c r="E83" t="s">
        <v>3338</v>
      </c>
      <c r="F83">
        <v>7110</v>
      </c>
      <c r="G83">
        <v>2440</v>
      </c>
      <c r="H83" t="s">
        <v>3619</v>
      </c>
      <c r="I83">
        <v>116</v>
      </c>
      <c r="J83">
        <v>3.8</v>
      </c>
      <c r="K83">
        <v>962</v>
      </c>
      <c r="L83" t="s">
        <v>3335</v>
      </c>
      <c r="M83" t="s">
        <v>3305</v>
      </c>
      <c r="N83" s="1">
        <v>44661</v>
      </c>
      <c r="O83">
        <v>4670</v>
      </c>
      <c r="P83" t="s">
        <v>3330</v>
      </c>
    </row>
    <row r="84" spans="1:16">
      <c r="A84" t="s">
        <v>3620</v>
      </c>
      <c r="B84" t="s">
        <v>3621</v>
      </c>
      <c r="C84" t="s">
        <v>3611</v>
      </c>
      <c r="D84" t="s">
        <v>3301</v>
      </c>
      <c r="E84" t="s">
        <v>3343</v>
      </c>
      <c r="F84">
        <v>4870</v>
      </c>
      <c r="G84">
        <v>1600</v>
      </c>
      <c r="H84" t="s">
        <v>3622</v>
      </c>
      <c r="I84">
        <v>467</v>
      </c>
      <c r="J84">
        <v>4</v>
      </c>
      <c r="K84">
        <v>3142</v>
      </c>
      <c r="L84" t="s">
        <v>3335</v>
      </c>
      <c r="M84" t="s">
        <v>3378</v>
      </c>
      <c r="N84" s="1">
        <v>45547</v>
      </c>
      <c r="O84">
        <v>3270</v>
      </c>
      <c r="P84" t="s">
        <v>3324</v>
      </c>
    </row>
    <row r="85" spans="1:16">
      <c r="A85" t="s">
        <v>3623</v>
      </c>
      <c r="B85" t="s">
        <v>3624</v>
      </c>
      <c r="C85" t="s">
        <v>3420</v>
      </c>
      <c r="D85" t="s">
        <v>3301</v>
      </c>
      <c r="E85" t="s">
        <v>3348</v>
      </c>
      <c r="F85">
        <v>57640</v>
      </c>
      <c r="G85">
        <v>32190</v>
      </c>
      <c r="H85" t="s">
        <v>3625</v>
      </c>
      <c r="I85">
        <v>348</v>
      </c>
      <c r="J85">
        <v>4.9000000000000004</v>
      </c>
      <c r="K85">
        <v>4159</v>
      </c>
      <c r="L85" t="s">
        <v>3361</v>
      </c>
      <c r="M85" t="s">
        <v>3305</v>
      </c>
      <c r="N85" s="1">
        <v>44624</v>
      </c>
      <c r="O85">
        <v>25450</v>
      </c>
      <c r="P85" t="s">
        <v>3313</v>
      </c>
    </row>
    <row r="86" spans="1:16">
      <c r="A86" t="s">
        <v>3626</v>
      </c>
      <c r="B86" t="s">
        <v>3627</v>
      </c>
      <c r="C86" t="s">
        <v>3628</v>
      </c>
      <c r="D86" t="s">
        <v>3353</v>
      </c>
      <c r="E86" t="s">
        <v>3354</v>
      </c>
      <c r="F86">
        <v>11110</v>
      </c>
      <c r="G86">
        <v>4190</v>
      </c>
      <c r="H86" t="s">
        <v>3629</v>
      </c>
      <c r="I86">
        <v>152</v>
      </c>
      <c r="J86">
        <v>3.8</v>
      </c>
      <c r="K86">
        <v>3967</v>
      </c>
      <c r="L86" t="s">
        <v>3361</v>
      </c>
      <c r="M86" t="s">
        <v>3305</v>
      </c>
      <c r="N86" s="1">
        <v>45011</v>
      </c>
      <c r="O86">
        <v>6920</v>
      </c>
      <c r="P86" t="s">
        <v>3330</v>
      </c>
    </row>
    <row r="87" spans="1:16">
      <c r="A87" t="s">
        <v>3630</v>
      </c>
      <c r="B87" t="s">
        <v>3631</v>
      </c>
      <c r="C87" t="s">
        <v>3498</v>
      </c>
      <c r="D87" t="s">
        <v>3353</v>
      </c>
      <c r="E87" t="s">
        <v>3359</v>
      </c>
      <c r="F87">
        <v>2260</v>
      </c>
      <c r="G87">
        <v>1350</v>
      </c>
      <c r="H87" t="s">
        <v>3632</v>
      </c>
      <c r="I87">
        <v>392</v>
      </c>
      <c r="J87">
        <v>3.3</v>
      </c>
      <c r="K87">
        <v>3365</v>
      </c>
      <c r="L87" t="s">
        <v>3304</v>
      </c>
      <c r="M87" t="s">
        <v>3305</v>
      </c>
      <c r="N87" s="1">
        <v>45403</v>
      </c>
      <c r="O87">
        <v>910</v>
      </c>
      <c r="P87" t="s">
        <v>3324</v>
      </c>
    </row>
    <row r="88" spans="1:16">
      <c r="A88" t="s">
        <v>3633</v>
      </c>
      <c r="B88" t="s">
        <v>3634</v>
      </c>
      <c r="C88" t="s">
        <v>3381</v>
      </c>
      <c r="D88" t="s">
        <v>3353</v>
      </c>
      <c r="E88" t="s">
        <v>3364</v>
      </c>
      <c r="F88">
        <v>7490</v>
      </c>
      <c r="G88">
        <v>1850</v>
      </c>
      <c r="H88" t="s">
        <v>3590</v>
      </c>
      <c r="I88">
        <v>507</v>
      </c>
      <c r="J88">
        <v>4.9000000000000004</v>
      </c>
      <c r="K88">
        <v>1034</v>
      </c>
      <c r="L88" t="s">
        <v>3361</v>
      </c>
      <c r="M88" t="s">
        <v>3305</v>
      </c>
      <c r="N88" s="1">
        <v>45269</v>
      </c>
      <c r="O88">
        <v>5640</v>
      </c>
      <c r="P88" t="s">
        <v>3330</v>
      </c>
    </row>
    <row r="89" spans="1:16">
      <c r="A89" t="s">
        <v>3635</v>
      </c>
      <c r="B89" t="s">
        <v>3636</v>
      </c>
      <c r="C89" t="s">
        <v>3637</v>
      </c>
      <c r="D89" t="s">
        <v>3353</v>
      </c>
      <c r="E89" t="s">
        <v>3368</v>
      </c>
      <c r="F89">
        <v>1880</v>
      </c>
      <c r="G89">
        <v>1240</v>
      </c>
      <c r="H89" t="s">
        <v>3638</v>
      </c>
      <c r="I89">
        <v>670</v>
      </c>
      <c r="J89">
        <v>4.9000000000000004</v>
      </c>
      <c r="K89">
        <v>612</v>
      </c>
      <c r="L89" t="s">
        <v>3312</v>
      </c>
      <c r="M89" t="s">
        <v>3305</v>
      </c>
      <c r="N89" s="1">
        <v>44551</v>
      </c>
      <c r="O89">
        <v>640</v>
      </c>
      <c r="P89" t="s">
        <v>3324</v>
      </c>
    </row>
    <row r="90" spans="1:16">
      <c r="A90" t="s">
        <v>3639</v>
      </c>
      <c r="B90" t="s">
        <v>3640</v>
      </c>
      <c r="C90" t="s">
        <v>3386</v>
      </c>
      <c r="D90" t="s">
        <v>3353</v>
      </c>
      <c r="E90" t="s">
        <v>3372</v>
      </c>
      <c r="F90">
        <v>830</v>
      </c>
      <c r="G90">
        <v>470</v>
      </c>
      <c r="H90" t="s">
        <v>3641</v>
      </c>
      <c r="I90">
        <v>690</v>
      </c>
      <c r="J90">
        <v>4.7</v>
      </c>
      <c r="K90">
        <v>3113</v>
      </c>
      <c r="L90" t="s">
        <v>3361</v>
      </c>
      <c r="M90" t="s">
        <v>3305</v>
      </c>
      <c r="N90" s="1">
        <v>45464</v>
      </c>
      <c r="O90">
        <v>360</v>
      </c>
      <c r="P90" t="s">
        <v>3324</v>
      </c>
    </row>
    <row r="91" spans="1:16">
      <c r="A91" t="s">
        <v>3642</v>
      </c>
      <c r="B91" t="s">
        <v>3643</v>
      </c>
      <c r="C91" t="s">
        <v>3441</v>
      </c>
      <c r="D91" t="s">
        <v>3353</v>
      </c>
      <c r="E91" t="s">
        <v>3376</v>
      </c>
      <c r="F91">
        <v>580</v>
      </c>
      <c r="G91">
        <v>380</v>
      </c>
      <c r="H91" t="s">
        <v>3644</v>
      </c>
      <c r="I91">
        <v>700</v>
      </c>
      <c r="J91">
        <v>4.8</v>
      </c>
      <c r="K91">
        <v>1863</v>
      </c>
      <c r="L91" t="s">
        <v>3304</v>
      </c>
      <c r="M91" t="s">
        <v>3305</v>
      </c>
      <c r="N91" s="1">
        <v>43869</v>
      </c>
      <c r="O91">
        <v>200</v>
      </c>
      <c r="P91" t="s">
        <v>3324</v>
      </c>
    </row>
    <row r="92" spans="1:16">
      <c r="A92" t="s">
        <v>3645</v>
      </c>
      <c r="B92" t="s">
        <v>3646</v>
      </c>
      <c r="C92" t="s">
        <v>3352</v>
      </c>
      <c r="D92" t="s">
        <v>3353</v>
      </c>
      <c r="E92" t="s">
        <v>3382</v>
      </c>
      <c r="F92">
        <v>980</v>
      </c>
      <c r="G92">
        <v>490</v>
      </c>
      <c r="H92" t="s">
        <v>3647</v>
      </c>
      <c r="I92">
        <v>29</v>
      </c>
      <c r="J92">
        <v>2.9</v>
      </c>
      <c r="K92">
        <v>459</v>
      </c>
      <c r="L92" t="s">
        <v>3361</v>
      </c>
      <c r="M92" t="s">
        <v>3305</v>
      </c>
      <c r="N92" s="1">
        <v>45230</v>
      </c>
      <c r="O92">
        <v>490</v>
      </c>
      <c r="P92" t="s">
        <v>3324</v>
      </c>
    </row>
    <row r="93" spans="1:16">
      <c r="A93" t="s">
        <v>3648</v>
      </c>
      <c r="B93" t="s">
        <v>3649</v>
      </c>
      <c r="C93" t="s">
        <v>3650</v>
      </c>
      <c r="D93" t="s">
        <v>3387</v>
      </c>
      <c r="E93" t="s">
        <v>3388</v>
      </c>
      <c r="F93">
        <v>10770</v>
      </c>
      <c r="G93">
        <v>3850</v>
      </c>
      <c r="H93" t="s">
        <v>3651</v>
      </c>
      <c r="I93">
        <v>174</v>
      </c>
      <c r="J93">
        <v>3.2</v>
      </c>
      <c r="K93">
        <v>4992</v>
      </c>
      <c r="L93" t="s">
        <v>3312</v>
      </c>
      <c r="M93" t="s">
        <v>3305</v>
      </c>
      <c r="N93" s="1">
        <v>44452</v>
      </c>
      <c r="O93">
        <v>6920</v>
      </c>
      <c r="P93" t="s">
        <v>3330</v>
      </c>
    </row>
    <row r="94" spans="1:16">
      <c r="A94" t="s">
        <v>3652</v>
      </c>
      <c r="B94" t="s">
        <v>3653</v>
      </c>
      <c r="C94" t="s">
        <v>3654</v>
      </c>
      <c r="D94" t="s">
        <v>3387</v>
      </c>
      <c r="E94" t="s">
        <v>3392</v>
      </c>
      <c r="F94">
        <v>6280</v>
      </c>
      <c r="G94">
        <v>4110</v>
      </c>
      <c r="H94" t="s">
        <v>3655</v>
      </c>
      <c r="I94">
        <v>260</v>
      </c>
      <c r="J94">
        <v>3.8</v>
      </c>
      <c r="K94">
        <v>76</v>
      </c>
      <c r="L94" t="s">
        <v>3312</v>
      </c>
      <c r="M94" t="s">
        <v>3378</v>
      </c>
      <c r="N94" s="1">
        <v>44113</v>
      </c>
      <c r="O94">
        <v>2170</v>
      </c>
      <c r="P94" t="s">
        <v>3330</v>
      </c>
    </row>
    <row r="95" spans="1:16">
      <c r="A95" t="s">
        <v>3656</v>
      </c>
      <c r="B95" t="s">
        <v>3657</v>
      </c>
      <c r="C95" t="s">
        <v>3437</v>
      </c>
      <c r="D95" t="s">
        <v>3387</v>
      </c>
      <c r="E95" t="s">
        <v>3397</v>
      </c>
      <c r="F95">
        <v>1520</v>
      </c>
      <c r="G95">
        <v>1050</v>
      </c>
      <c r="H95" t="s">
        <v>3658</v>
      </c>
      <c r="I95">
        <v>706</v>
      </c>
      <c r="J95">
        <v>3.4</v>
      </c>
      <c r="K95">
        <v>2474</v>
      </c>
      <c r="L95" t="s">
        <v>3335</v>
      </c>
      <c r="M95" t="s">
        <v>3378</v>
      </c>
      <c r="N95" s="1">
        <v>45445</v>
      </c>
      <c r="O95">
        <v>470</v>
      </c>
      <c r="P95" t="s">
        <v>3324</v>
      </c>
    </row>
    <row r="96" spans="1:16">
      <c r="A96" t="s">
        <v>3659</v>
      </c>
      <c r="B96" t="s">
        <v>3660</v>
      </c>
      <c r="C96" t="s">
        <v>3637</v>
      </c>
      <c r="D96" t="s">
        <v>3402</v>
      </c>
      <c r="E96" t="s">
        <v>3403</v>
      </c>
      <c r="F96">
        <v>6880</v>
      </c>
      <c r="G96">
        <v>5310</v>
      </c>
      <c r="H96" t="s">
        <v>3661</v>
      </c>
      <c r="I96">
        <v>302</v>
      </c>
      <c r="J96">
        <v>5</v>
      </c>
      <c r="K96">
        <v>2418</v>
      </c>
      <c r="L96" t="s">
        <v>3304</v>
      </c>
      <c r="M96" t="s">
        <v>3378</v>
      </c>
      <c r="N96" s="1">
        <v>45087</v>
      </c>
      <c r="O96">
        <v>1570</v>
      </c>
      <c r="P96" t="s">
        <v>3330</v>
      </c>
    </row>
    <row r="97" spans="1:16">
      <c r="A97" t="s">
        <v>3662</v>
      </c>
      <c r="B97" t="s">
        <v>3663</v>
      </c>
      <c r="C97" t="s">
        <v>3615</v>
      </c>
      <c r="D97" t="s">
        <v>3301</v>
      </c>
      <c r="E97" t="s">
        <v>3407</v>
      </c>
      <c r="F97">
        <v>30500</v>
      </c>
      <c r="G97">
        <v>5110</v>
      </c>
      <c r="H97" t="s">
        <v>3664</v>
      </c>
      <c r="I97">
        <v>620</v>
      </c>
      <c r="J97">
        <v>4.4000000000000004</v>
      </c>
      <c r="K97">
        <v>2344</v>
      </c>
      <c r="L97" t="s">
        <v>3335</v>
      </c>
      <c r="M97" t="s">
        <v>3305</v>
      </c>
      <c r="N97" s="1">
        <v>44909</v>
      </c>
      <c r="O97">
        <v>25390</v>
      </c>
      <c r="P97" t="s">
        <v>3306</v>
      </c>
    </row>
    <row r="98" spans="1:16">
      <c r="A98" t="s">
        <v>3665</v>
      </c>
      <c r="B98" t="s">
        <v>3666</v>
      </c>
      <c r="C98" t="s">
        <v>3667</v>
      </c>
      <c r="D98" t="s">
        <v>3301</v>
      </c>
      <c r="E98" t="s">
        <v>3411</v>
      </c>
      <c r="F98">
        <v>40850</v>
      </c>
      <c r="G98">
        <v>27710</v>
      </c>
      <c r="H98" t="s">
        <v>3668</v>
      </c>
      <c r="I98">
        <v>773</v>
      </c>
      <c r="J98">
        <v>4.4000000000000004</v>
      </c>
      <c r="K98">
        <v>1120</v>
      </c>
      <c r="L98" t="s">
        <v>3304</v>
      </c>
      <c r="M98" t="s">
        <v>3378</v>
      </c>
      <c r="N98" s="1">
        <v>43627</v>
      </c>
      <c r="O98">
        <v>13140</v>
      </c>
      <c r="P98" t="s">
        <v>3306</v>
      </c>
    </row>
    <row r="99" spans="1:16">
      <c r="A99" t="s">
        <v>3669</v>
      </c>
      <c r="B99" t="s">
        <v>3670</v>
      </c>
      <c r="C99" t="s">
        <v>3455</v>
      </c>
      <c r="D99" t="s">
        <v>3301</v>
      </c>
      <c r="E99" t="s">
        <v>3416</v>
      </c>
      <c r="F99">
        <v>59820</v>
      </c>
      <c r="G99">
        <v>16610</v>
      </c>
      <c r="H99" t="s">
        <v>3671</v>
      </c>
      <c r="I99">
        <v>92</v>
      </c>
      <c r="J99">
        <v>4.8</v>
      </c>
      <c r="K99">
        <v>2676</v>
      </c>
      <c r="L99" t="s">
        <v>3312</v>
      </c>
      <c r="M99" t="s">
        <v>3305</v>
      </c>
      <c r="N99" s="1">
        <v>44007</v>
      </c>
      <c r="O99">
        <v>43210</v>
      </c>
      <c r="P99" t="s">
        <v>3313</v>
      </c>
    </row>
    <row r="100" spans="1:16">
      <c r="A100" t="s">
        <v>3672</v>
      </c>
      <c r="B100" t="s">
        <v>3673</v>
      </c>
      <c r="C100" t="s">
        <v>3441</v>
      </c>
      <c r="D100" t="s">
        <v>3353</v>
      </c>
      <c r="E100" t="s">
        <v>3421</v>
      </c>
      <c r="F100">
        <v>4960</v>
      </c>
      <c r="G100">
        <v>3700</v>
      </c>
      <c r="H100" t="s">
        <v>3674</v>
      </c>
      <c r="I100">
        <v>168</v>
      </c>
      <c r="J100">
        <v>3.4</v>
      </c>
      <c r="K100">
        <v>3947</v>
      </c>
      <c r="L100" t="s">
        <v>3361</v>
      </c>
      <c r="M100" t="s">
        <v>3305</v>
      </c>
      <c r="N100" s="1">
        <v>44853</v>
      </c>
      <c r="O100">
        <v>1260</v>
      </c>
      <c r="P100" t="s">
        <v>3324</v>
      </c>
    </row>
    <row r="101" spans="1:16">
      <c r="A101" t="s">
        <v>3675</v>
      </c>
      <c r="B101" t="s">
        <v>3676</v>
      </c>
      <c r="C101" t="s">
        <v>3473</v>
      </c>
      <c r="D101" t="s">
        <v>3353</v>
      </c>
      <c r="E101" t="s">
        <v>3426</v>
      </c>
      <c r="F101">
        <v>4700</v>
      </c>
      <c r="G101">
        <v>3370</v>
      </c>
      <c r="H101" t="s">
        <v>3677</v>
      </c>
      <c r="I101">
        <v>741</v>
      </c>
      <c r="J101">
        <v>4.3</v>
      </c>
      <c r="K101">
        <v>3255</v>
      </c>
      <c r="L101" t="s">
        <v>3361</v>
      </c>
      <c r="M101" t="s">
        <v>3305</v>
      </c>
      <c r="N101" s="1">
        <v>45082</v>
      </c>
      <c r="O101">
        <v>1330</v>
      </c>
      <c r="P101" t="s">
        <v>3324</v>
      </c>
    </row>
    <row r="102" spans="1:16">
      <c r="A102" t="s">
        <v>3678</v>
      </c>
      <c r="B102" t="s">
        <v>3679</v>
      </c>
      <c r="C102" t="s">
        <v>3316</v>
      </c>
      <c r="D102" t="s">
        <v>3301</v>
      </c>
      <c r="E102" t="s">
        <v>3302</v>
      </c>
      <c r="F102">
        <v>67610</v>
      </c>
      <c r="G102">
        <v>29160</v>
      </c>
      <c r="H102" t="s">
        <v>3587</v>
      </c>
      <c r="I102">
        <v>688</v>
      </c>
      <c r="J102">
        <v>4.4000000000000004</v>
      </c>
      <c r="K102">
        <v>2147</v>
      </c>
      <c r="L102" t="s">
        <v>3312</v>
      </c>
      <c r="M102" t="s">
        <v>3305</v>
      </c>
      <c r="N102" s="1">
        <v>44987</v>
      </c>
      <c r="O102">
        <v>38450</v>
      </c>
      <c r="P102" t="s">
        <v>3313</v>
      </c>
    </row>
    <row r="103" spans="1:16">
      <c r="A103" t="s">
        <v>3680</v>
      </c>
      <c r="B103" t="s">
        <v>3681</v>
      </c>
      <c r="C103" t="s">
        <v>3637</v>
      </c>
      <c r="D103" t="s">
        <v>3301</v>
      </c>
      <c r="E103" t="s">
        <v>3310</v>
      </c>
      <c r="F103">
        <v>28280</v>
      </c>
      <c r="G103">
        <v>23080</v>
      </c>
      <c r="H103" t="s">
        <v>3682</v>
      </c>
      <c r="I103">
        <v>574</v>
      </c>
      <c r="J103">
        <v>3.5</v>
      </c>
      <c r="K103">
        <v>4997</v>
      </c>
      <c r="L103" t="s">
        <v>3335</v>
      </c>
      <c r="M103" t="s">
        <v>3305</v>
      </c>
      <c r="N103" s="1">
        <v>45367</v>
      </c>
      <c r="O103">
        <v>5200</v>
      </c>
      <c r="P103" t="s">
        <v>3306</v>
      </c>
    </row>
    <row r="104" spans="1:16">
      <c r="A104" t="s">
        <v>3683</v>
      </c>
      <c r="B104" t="s">
        <v>3684</v>
      </c>
      <c r="C104" t="s">
        <v>3685</v>
      </c>
      <c r="D104" t="s">
        <v>3301</v>
      </c>
      <c r="E104" t="s">
        <v>3317</v>
      </c>
      <c r="F104">
        <v>30320</v>
      </c>
      <c r="G104">
        <v>9480</v>
      </c>
      <c r="H104" t="s">
        <v>3686</v>
      </c>
      <c r="I104">
        <v>38</v>
      </c>
      <c r="J104">
        <v>3.5</v>
      </c>
      <c r="K104">
        <v>4035</v>
      </c>
      <c r="L104" t="s">
        <v>3304</v>
      </c>
      <c r="M104" t="s">
        <v>3305</v>
      </c>
      <c r="N104" s="1">
        <v>44021</v>
      </c>
      <c r="O104">
        <v>20840</v>
      </c>
      <c r="P104" t="s">
        <v>3306</v>
      </c>
    </row>
    <row r="105" spans="1:16">
      <c r="A105" t="s">
        <v>3687</v>
      </c>
      <c r="B105" t="s">
        <v>3688</v>
      </c>
      <c r="C105" t="s">
        <v>3462</v>
      </c>
      <c r="D105" t="s">
        <v>3301</v>
      </c>
      <c r="E105" t="s">
        <v>3322</v>
      </c>
      <c r="F105">
        <v>27970</v>
      </c>
      <c r="G105">
        <v>19540</v>
      </c>
      <c r="H105" t="s">
        <v>3689</v>
      </c>
      <c r="I105">
        <v>760</v>
      </c>
      <c r="J105">
        <v>4.4000000000000004</v>
      </c>
      <c r="K105">
        <v>3398</v>
      </c>
      <c r="L105" t="s">
        <v>3304</v>
      </c>
      <c r="M105" t="s">
        <v>3305</v>
      </c>
      <c r="N105" s="1">
        <v>45137</v>
      </c>
      <c r="O105">
        <v>8430</v>
      </c>
      <c r="P105" t="s">
        <v>3306</v>
      </c>
    </row>
    <row r="106" spans="1:16">
      <c r="A106" t="s">
        <v>3690</v>
      </c>
      <c r="B106" t="s">
        <v>3691</v>
      </c>
      <c r="C106" t="s">
        <v>3615</v>
      </c>
      <c r="D106" t="s">
        <v>3301</v>
      </c>
      <c r="E106" t="s">
        <v>3328</v>
      </c>
      <c r="F106">
        <v>14830</v>
      </c>
      <c r="G106">
        <v>7460</v>
      </c>
      <c r="H106" t="s">
        <v>3692</v>
      </c>
      <c r="I106">
        <v>241</v>
      </c>
      <c r="J106">
        <v>4.7</v>
      </c>
      <c r="K106">
        <v>813</v>
      </c>
      <c r="L106" t="s">
        <v>3361</v>
      </c>
      <c r="M106" t="s">
        <v>3305</v>
      </c>
      <c r="N106" s="1">
        <v>44935</v>
      </c>
      <c r="O106">
        <v>7370</v>
      </c>
      <c r="P106" t="s">
        <v>3330</v>
      </c>
    </row>
    <row r="107" spans="1:16">
      <c r="A107" t="s">
        <v>3693</v>
      </c>
      <c r="B107" t="s">
        <v>3694</v>
      </c>
      <c r="C107" t="s">
        <v>3401</v>
      </c>
      <c r="D107" t="s">
        <v>3301</v>
      </c>
      <c r="E107" t="s">
        <v>3333</v>
      </c>
      <c r="F107">
        <v>4700</v>
      </c>
      <c r="G107">
        <v>3870</v>
      </c>
      <c r="H107" t="s">
        <v>3695</v>
      </c>
      <c r="I107">
        <v>465</v>
      </c>
      <c r="J107">
        <v>3</v>
      </c>
      <c r="K107">
        <v>1737</v>
      </c>
      <c r="L107" t="s">
        <v>3304</v>
      </c>
      <c r="M107" t="s">
        <v>3305</v>
      </c>
      <c r="N107" s="1">
        <v>44832</v>
      </c>
      <c r="O107">
        <v>830</v>
      </c>
      <c r="P107" t="s">
        <v>3324</v>
      </c>
    </row>
    <row r="108" spans="1:16">
      <c r="A108" t="s">
        <v>3696</v>
      </c>
      <c r="B108" t="s">
        <v>3697</v>
      </c>
      <c r="C108" t="s">
        <v>3347</v>
      </c>
      <c r="D108" t="s">
        <v>3301</v>
      </c>
      <c r="E108" t="s">
        <v>3338</v>
      </c>
      <c r="F108">
        <v>5500</v>
      </c>
      <c r="G108">
        <v>4000</v>
      </c>
      <c r="H108" t="s">
        <v>3698</v>
      </c>
      <c r="I108">
        <v>783</v>
      </c>
      <c r="J108">
        <v>4</v>
      </c>
      <c r="K108">
        <v>4803</v>
      </c>
      <c r="L108" t="s">
        <v>3335</v>
      </c>
      <c r="M108" t="s">
        <v>3305</v>
      </c>
      <c r="N108" s="1">
        <v>44420</v>
      </c>
      <c r="O108">
        <v>1500</v>
      </c>
      <c r="P108" t="s">
        <v>3330</v>
      </c>
    </row>
    <row r="109" spans="1:16">
      <c r="A109" t="s">
        <v>3699</v>
      </c>
      <c r="B109" t="s">
        <v>3700</v>
      </c>
      <c r="C109" t="s">
        <v>3386</v>
      </c>
      <c r="D109" t="s">
        <v>3301</v>
      </c>
      <c r="E109" t="s">
        <v>3343</v>
      </c>
      <c r="F109">
        <v>3270</v>
      </c>
      <c r="G109">
        <v>1190</v>
      </c>
      <c r="H109" t="s">
        <v>3701</v>
      </c>
      <c r="I109">
        <v>133</v>
      </c>
      <c r="J109">
        <v>4</v>
      </c>
      <c r="K109">
        <v>1429</v>
      </c>
      <c r="L109" t="s">
        <v>3304</v>
      </c>
      <c r="M109" t="s">
        <v>3305</v>
      </c>
      <c r="N109" s="1">
        <v>43571</v>
      </c>
      <c r="O109">
        <v>2080</v>
      </c>
      <c r="P109" t="s">
        <v>3324</v>
      </c>
    </row>
    <row r="110" spans="1:16">
      <c r="A110" t="s">
        <v>3702</v>
      </c>
      <c r="B110" t="s">
        <v>3703</v>
      </c>
      <c r="C110" t="s">
        <v>3704</v>
      </c>
      <c r="D110" t="s">
        <v>3301</v>
      </c>
      <c r="E110" t="s">
        <v>3348</v>
      </c>
      <c r="F110">
        <v>45590</v>
      </c>
      <c r="G110">
        <v>26220</v>
      </c>
      <c r="H110" t="s">
        <v>3705</v>
      </c>
      <c r="I110">
        <v>16</v>
      </c>
      <c r="J110">
        <v>3.2</v>
      </c>
      <c r="K110">
        <v>429</v>
      </c>
      <c r="L110" t="s">
        <v>3335</v>
      </c>
      <c r="M110" t="s">
        <v>3305</v>
      </c>
      <c r="N110" s="1">
        <v>45620</v>
      </c>
      <c r="O110">
        <v>19370</v>
      </c>
      <c r="P110" t="s">
        <v>3306</v>
      </c>
    </row>
    <row r="111" spans="1:16">
      <c r="A111" t="s">
        <v>3706</v>
      </c>
      <c r="B111" t="s">
        <v>3707</v>
      </c>
      <c r="C111" t="s">
        <v>3473</v>
      </c>
      <c r="D111" t="s">
        <v>3353</v>
      </c>
      <c r="E111" t="s">
        <v>3354</v>
      </c>
      <c r="F111">
        <v>6230</v>
      </c>
      <c r="G111">
        <v>4380</v>
      </c>
      <c r="H111" t="s">
        <v>3708</v>
      </c>
      <c r="I111">
        <v>607</v>
      </c>
      <c r="J111">
        <v>3</v>
      </c>
      <c r="K111">
        <v>4127</v>
      </c>
      <c r="L111" t="s">
        <v>3335</v>
      </c>
      <c r="M111" t="s">
        <v>3378</v>
      </c>
      <c r="N111" s="1">
        <v>43643</v>
      </c>
      <c r="O111">
        <v>1850</v>
      </c>
      <c r="P111" t="s">
        <v>3330</v>
      </c>
    </row>
    <row r="112" spans="1:16">
      <c r="A112" t="s">
        <v>3709</v>
      </c>
      <c r="B112" t="s">
        <v>3710</v>
      </c>
      <c r="C112" t="s">
        <v>3628</v>
      </c>
      <c r="D112" t="s">
        <v>3353</v>
      </c>
      <c r="E112" t="s">
        <v>3359</v>
      </c>
      <c r="F112">
        <v>4050</v>
      </c>
      <c r="G112">
        <v>2820</v>
      </c>
      <c r="H112" t="s">
        <v>3711</v>
      </c>
      <c r="I112">
        <v>31</v>
      </c>
      <c r="J112">
        <v>2.9</v>
      </c>
      <c r="K112">
        <v>3923</v>
      </c>
      <c r="L112" t="s">
        <v>3312</v>
      </c>
      <c r="M112" t="s">
        <v>3305</v>
      </c>
      <c r="N112" s="1">
        <v>43908</v>
      </c>
      <c r="O112">
        <v>1230</v>
      </c>
      <c r="P112" t="s">
        <v>3324</v>
      </c>
    </row>
    <row r="113" spans="1:16">
      <c r="A113" t="s">
        <v>3712</v>
      </c>
      <c r="B113" t="s">
        <v>3713</v>
      </c>
      <c r="C113" t="s">
        <v>3654</v>
      </c>
      <c r="D113" t="s">
        <v>3353</v>
      </c>
      <c r="E113" t="s">
        <v>3364</v>
      </c>
      <c r="F113">
        <v>3640</v>
      </c>
      <c r="G113">
        <v>3090</v>
      </c>
      <c r="H113" t="s">
        <v>3714</v>
      </c>
      <c r="I113">
        <v>151</v>
      </c>
      <c r="J113">
        <v>2.9</v>
      </c>
      <c r="K113">
        <v>2252</v>
      </c>
      <c r="L113" t="s">
        <v>3361</v>
      </c>
      <c r="M113" t="s">
        <v>3305</v>
      </c>
      <c r="N113" s="1">
        <v>45639</v>
      </c>
      <c r="O113">
        <v>550</v>
      </c>
      <c r="P113" t="s">
        <v>3324</v>
      </c>
    </row>
    <row r="114" spans="1:16">
      <c r="A114" t="s">
        <v>3715</v>
      </c>
      <c r="B114" t="s">
        <v>3716</v>
      </c>
      <c r="C114" t="s">
        <v>3415</v>
      </c>
      <c r="D114" t="s">
        <v>3353</v>
      </c>
      <c r="E114" t="s">
        <v>3368</v>
      </c>
      <c r="F114">
        <v>4220</v>
      </c>
      <c r="G114">
        <v>810</v>
      </c>
      <c r="H114" t="s">
        <v>3448</v>
      </c>
      <c r="I114">
        <v>718</v>
      </c>
      <c r="J114">
        <v>3.1</v>
      </c>
      <c r="K114">
        <v>4516</v>
      </c>
      <c r="L114" t="s">
        <v>3335</v>
      </c>
      <c r="M114" t="s">
        <v>3305</v>
      </c>
      <c r="N114" s="1">
        <v>44401</v>
      </c>
      <c r="O114">
        <v>3410</v>
      </c>
      <c r="P114" t="s">
        <v>3324</v>
      </c>
    </row>
    <row r="115" spans="1:16">
      <c r="A115" t="s">
        <v>3717</v>
      </c>
      <c r="B115" t="s">
        <v>3718</v>
      </c>
      <c r="C115" t="s">
        <v>3396</v>
      </c>
      <c r="D115" t="s">
        <v>3353</v>
      </c>
      <c r="E115" t="s">
        <v>3372</v>
      </c>
      <c r="F115">
        <v>2200</v>
      </c>
      <c r="G115">
        <v>1790</v>
      </c>
      <c r="H115" t="s">
        <v>3719</v>
      </c>
      <c r="I115">
        <v>97</v>
      </c>
      <c r="J115">
        <v>3.5</v>
      </c>
      <c r="K115">
        <v>2560</v>
      </c>
      <c r="L115" t="s">
        <v>3361</v>
      </c>
      <c r="M115" t="s">
        <v>3305</v>
      </c>
      <c r="N115" s="1">
        <v>44091</v>
      </c>
      <c r="O115">
        <v>410</v>
      </c>
      <c r="P115" t="s">
        <v>3324</v>
      </c>
    </row>
    <row r="116" spans="1:16">
      <c r="A116" t="s">
        <v>3720</v>
      </c>
      <c r="B116" t="s">
        <v>3721</v>
      </c>
      <c r="C116" t="s">
        <v>3539</v>
      </c>
      <c r="D116" t="s">
        <v>3353</v>
      </c>
      <c r="E116" t="s">
        <v>3376</v>
      </c>
      <c r="F116">
        <v>270</v>
      </c>
      <c r="G116">
        <v>80</v>
      </c>
      <c r="H116" t="s">
        <v>3303</v>
      </c>
      <c r="I116">
        <v>442</v>
      </c>
      <c r="J116">
        <v>3</v>
      </c>
      <c r="K116">
        <v>3052</v>
      </c>
      <c r="L116" t="s">
        <v>3335</v>
      </c>
      <c r="M116" t="s">
        <v>3305</v>
      </c>
      <c r="N116" s="1">
        <v>44816</v>
      </c>
      <c r="O116">
        <v>190</v>
      </c>
      <c r="P116" t="s">
        <v>3324</v>
      </c>
    </row>
    <row r="117" spans="1:16">
      <c r="A117" t="s">
        <v>3722</v>
      </c>
      <c r="B117" t="s">
        <v>3723</v>
      </c>
      <c r="C117" t="s">
        <v>3477</v>
      </c>
      <c r="D117" t="s">
        <v>3353</v>
      </c>
      <c r="E117" t="s">
        <v>3382</v>
      </c>
      <c r="F117">
        <v>2030</v>
      </c>
      <c r="G117">
        <v>1660</v>
      </c>
      <c r="H117" t="s">
        <v>3724</v>
      </c>
      <c r="I117">
        <v>52</v>
      </c>
      <c r="J117">
        <v>4.9000000000000004</v>
      </c>
      <c r="K117">
        <v>4918</v>
      </c>
      <c r="L117" t="s">
        <v>3361</v>
      </c>
      <c r="M117" t="s">
        <v>3305</v>
      </c>
      <c r="N117" s="1">
        <v>45544</v>
      </c>
      <c r="O117">
        <v>370</v>
      </c>
      <c r="P117" t="s">
        <v>3324</v>
      </c>
    </row>
    <row r="118" spans="1:16">
      <c r="A118" t="s">
        <v>3725</v>
      </c>
      <c r="B118" t="s">
        <v>3726</v>
      </c>
      <c r="C118" t="s">
        <v>3727</v>
      </c>
      <c r="D118" t="s">
        <v>3387</v>
      </c>
      <c r="E118" t="s">
        <v>3388</v>
      </c>
      <c r="F118">
        <v>3270</v>
      </c>
      <c r="G118">
        <v>1620</v>
      </c>
      <c r="H118" t="s">
        <v>3728</v>
      </c>
      <c r="I118">
        <v>569</v>
      </c>
      <c r="J118">
        <v>3.6</v>
      </c>
      <c r="K118">
        <v>2282</v>
      </c>
      <c r="L118" t="s">
        <v>3335</v>
      </c>
      <c r="M118" t="s">
        <v>3305</v>
      </c>
      <c r="N118" s="1">
        <v>43573</v>
      </c>
      <c r="O118">
        <v>1650</v>
      </c>
      <c r="P118" t="s">
        <v>3324</v>
      </c>
    </row>
    <row r="119" spans="1:16">
      <c r="A119" t="s">
        <v>3729</v>
      </c>
      <c r="B119" t="s">
        <v>3730</v>
      </c>
      <c r="C119" t="s">
        <v>3593</v>
      </c>
      <c r="D119" t="s">
        <v>3387</v>
      </c>
      <c r="E119" t="s">
        <v>3392</v>
      </c>
      <c r="F119">
        <v>3980</v>
      </c>
      <c r="G119">
        <v>2060</v>
      </c>
      <c r="H119" t="s">
        <v>3731</v>
      </c>
      <c r="I119">
        <v>719</v>
      </c>
      <c r="J119">
        <v>4.5</v>
      </c>
      <c r="K119">
        <v>2783</v>
      </c>
      <c r="L119" t="s">
        <v>3361</v>
      </c>
      <c r="M119" t="s">
        <v>3305</v>
      </c>
      <c r="N119" s="1">
        <v>44052</v>
      </c>
      <c r="O119">
        <v>1920</v>
      </c>
      <c r="P119" t="s">
        <v>3324</v>
      </c>
    </row>
    <row r="120" spans="1:16">
      <c r="A120" t="s">
        <v>3732</v>
      </c>
      <c r="B120" t="s">
        <v>3733</v>
      </c>
      <c r="C120" t="s">
        <v>3327</v>
      </c>
      <c r="D120" t="s">
        <v>3387</v>
      </c>
      <c r="E120" t="s">
        <v>3397</v>
      </c>
      <c r="F120">
        <v>880</v>
      </c>
      <c r="G120">
        <v>210</v>
      </c>
      <c r="H120" t="s">
        <v>3734</v>
      </c>
      <c r="I120">
        <v>93</v>
      </c>
      <c r="J120">
        <v>4.4000000000000004</v>
      </c>
      <c r="K120">
        <v>1762</v>
      </c>
      <c r="L120" t="s">
        <v>3312</v>
      </c>
      <c r="M120" t="s">
        <v>3305</v>
      </c>
      <c r="N120" s="1">
        <v>44862</v>
      </c>
      <c r="O120">
        <v>670</v>
      </c>
      <c r="P120" t="s">
        <v>3324</v>
      </c>
    </row>
    <row r="121" spans="1:16">
      <c r="A121" t="s">
        <v>3735</v>
      </c>
      <c r="B121" t="s">
        <v>3736</v>
      </c>
      <c r="C121" t="s">
        <v>217</v>
      </c>
      <c r="D121" t="s">
        <v>3402</v>
      </c>
      <c r="E121" t="s">
        <v>3403</v>
      </c>
      <c r="F121">
        <v>6310</v>
      </c>
      <c r="G121">
        <v>5250</v>
      </c>
      <c r="H121" t="s">
        <v>3737</v>
      </c>
      <c r="I121">
        <v>610</v>
      </c>
      <c r="J121">
        <v>3</v>
      </c>
      <c r="K121">
        <v>430</v>
      </c>
      <c r="L121" t="s">
        <v>3335</v>
      </c>
      <c r="M121" t="s">
        <v>3305</v>
      </c>
      <c r="N121" s="1">
        <v>43669</v>
      </c>
      <c r="O121">
        <v>1060</v>
      </c>
      <c r="P121" t="s">
        <v>3330</v>
      </c>
    </row>
    <row r="122" spans="1:16">
      <c r="A122" t="s">
        <v>3738</v>
      </c>
      <c r="B122" t="s">
        <v>3739</v>
      </c>
      <c r="C122" t="s">
        <v>3539</v>
      </c>
      <c r="D122" t="s">
        <v>3301</v>
      </c>
      <c r="E122" t="s">
        <v>3407</v>
      </c>
      <c r="F122">
        <v>26690</v>
      </c>
      <c r="G122">
        <v>17390</v>
      </c>
      <c r="H122" t="s">
        <v>3740</v>
      </c>
      <c r="I122">
        <v>497</v>
      </c>
      <c r="J122">
        <v>4.0999999999999996</v>
      </c>
      <c r="K122">
        <v>3392</v>
      </c>
      <c r="L122" t="s">
        <v>3361</v>
      </c>
      <c r="M122" t="s">
        <v>3305</v>
      </c>
      <c r="N122" s="1">
        <v>45564</v>
      </c>
      <c r="O122">
        <v>9300</v>
      </c>
      <c r="P122" t="s">
        <v>3306</v>
      </c>
    </row>
    <row r="123" spans="1:16">
      <c r="A123" t="s">
        <v>3741</v>
      </c>
      <c r="B123" t="s">
        <v>3742</v>
      </c>
      <c r="C123" t="s">
        <v>3473</v>
      </c>
      <c r="D123" t="s">
        <v>3301</v>
      </c>
      <c r="E123" t="s">
        <v>3411</v>
      </c>
      <c r="F123">
        <v>45120</v>
      </c>
      <c r="G123">
        <v>37390</v>
      </c>
      <c r="H123" t="s">
        <v>3743</v>
      </c>
      <c r="I123">
        <v>539</v>
      </c>
      <c r="J123">
        <v>4.3</v>
      </c>
      <c r="K123">
        <v>372</v>
      </c>
      <c r="L123" t="s">
        <v>3335</v>
      </c>
      <c r="M123" t="s">
        <v>3305</v>
      </c>
      <c r="N123" s="1">
        <v>43690</v>
      </c>
      <c r="O123">
        <v>7730</v>
      </c>
      <c r="P123" t="s">
        <v>3306</v>
      </c>
    </row>
    <row r="124" spans="1:16">
      <c r="A124" t="s">
        <v>3744</v>
      </c>
      <c r="B124" t="s">
        <v>3745</v>
      </c>
      <c r="C124" t="s">
        <v>3316</v>
      </c>
      <c r="D124" t="s">
        <v>3301</v>
      </c>
      <c r="E124" t="s">
        <v>3416</v>
      </c>
      <c r="F124">
        <v>112580</v>
      </c>
      <c r="G124">
        <v>25990</v>
      </c>
      <c r="H124" t="s">
        <v>3581</v>
      </c>
      <c r="I124">
        <v>782</v>
      </c>
      <c r="J124">
        <v>3.4</v>
      </c>
      <c r="K124">
        <v>2687</v>
      </c>
      <c r="L124" t="s">
        <v>3304</v>
      </c>
      <c r="M124" t="s">
        <v>3305</v>
      </c>
      <c r="N124" s="1">
        <v>45229</v>
      </c>
      <c r="O124">
        <v>86590</v>
      </c>
      <c r="P124" t="s">
        <v>3313</v>
      </c>
    </row>
    <row r="125" spans="1:16">
      <c r="A125" t="s">
        <v>3746</v>
      </c>
      <c r="B125" t="s">
        <v>3747</v>
      </c>
      <c r="C125" t="s">
        <v>3553</v>
      </c>
      <c r="D125" t="s">
        <v>3353</v>
      </c>
      <c r="E125" t="s">
        <v>3421</v>
      </c>
      <c r="F125">
        <v>12030</v>
      </c>
      <c r="G125">
        <v>4070</v>
      </c>
      <c r="H125" t="s">
        <v>3748</v>
      </c>
      <c r="I125">
        <v>512</v>
      </c>
      <c r="J125">
        <v>4</v>
      </c>
      <c r="K125">
        <v>2901</v>
      </c>
      <c r="L125" t="s">
        <v>3304</v>
      </c>
      <c r="M125" t="s">
        <v>3305</v>
      </c>
      <c r="N125" s="1">
        <v>43639</v>
      </c>
      <c r="O125">
        <v>7960</v>
      </c>
      <c r="P125" t="s">
        <v>3330</v>
      </c>
    </row>
    <row r="126" spans="1:16">
      <c r="A126" t="s">
        <v>3749</v>
      </c>
      <c r="B126" t="s">
        <v>3750</v>
      </c>
      <c r="C126" t="s">
        <v>3517</v>
      </c>
      <c r="D126" t="s">
        <v>3353</v>
      </c>
      <c r="E126" t="s">
        <v>3426</v>
      </c>
      <c r="F126">
        <v>6130</v>
      </c>
      <c r="G126">
        <v>4120</v>
      </c>
      <c r="H126" t="s">
        <v>3751</v>
      </c>
      <c r="I126">
        <v>587</v>
      </c>
      <c r="J126">
        <v>3.7</v>
      </c>
      <c r="K126">
        <v>3421</v>
      </c>
      <c r="L126" t="s">
        <v>3361</v>
      </c>
      <c r="M126" t="s">
        <v>3305</v>
      </c>
      <c r="N126" s="1">
        <v>43551</v>
      </c>
      <c r="O126">
        <v>2010</v>
      </c>
      <c r="P126" t="s">
        <v>3330</v>
      </c>
    </row>
    <row r="127" spans="1:16">
      <c r="A127" t="s">
        <v>3752</v>
      </c>
      <c r="B127" t="s">
        <v>3753</v>
      </c>
      <c r="C127" t="s">
        <v>3754</v>
      </c>
      <c r="D127" t="s">
        <v>3301</v>
      </c>
      <c r="E127" t="s">
        <v>3302</v>
      </c>
      <c r="F127">
        <v>55430</v>
      </c>
      <c r="G127">
        <v>10780</v>
      </c>
      <c r="H127" t="s">
        <v>3755</v>
      </c>
      <c r="I127">
        <v>447</v>
      </c>
      <c r="J127">
        <v>4.7</v>
      </c>
      <c r="K127">
        <v>1993</v>
      </c>
      <c r="L127" t="s">
        <v>3312</v>
      </c>
      <c r="M127" t="s">
        <v>3305</v>
      </c>
      <c r="N127" s="1">
        <v>45612</v>
      </c>
      <c r="O127">
        <v>44650</v>
      </c>
      <c r="P127" t="s">
        <v>3313</v>
      </c>
    </row>
    <row r="128" spans="1:16">
      <c r="A128" t="s">
        <v>3756</v>
      </c>
      <c r="B128" t="s">
        <v>3757</v>
      </c>
      <c r="C128" t="s">
        <v>3425</v>
      </c>
      <c r="D128" t="s">
        <v>3301</v>
      </c>
      <c r="E128" t="s">
        <v>3310</v>
      </c>
      <c r="F128">
        <v>69500</v>
      </c>
      <c r="G128">
        <v>32520</v>
      </c>
      <c r="H128" t="s">
        <v>3758</v>
      </c>
      <c r="I128">
        <v>341</v>
      </c>
      <c r="J128">
        <v>4.5</v>
      </c>
      <c r="K128">
        <v>625</v>
      </c>
      <c r="L128" t="s">
        <v>3304</v>
      </c>
      <c r="M128" t="s">
        <v>3305</v>
      </c>
      <c r="N128" s="1">
        <v>44260</v>
      </c>
      <c r="O128">
        <v>36980</v>
      </c>
      <c r="P128" t="s">
        <v>3313</v>
      </c>
    </row>
    <row r="129" spans="1:16">
      <c r="A129" t="s">
        <v>3759</v>
      </c>
      <c r="B129" t="s">
        <v>3760</v>
      </c>
      <c r="C129" t="s">
        <v>3504</v>
      </c>
      <c r="D129" t="s">
        <v>3301</v>
      </c>
      <c r="E129" t="s">
        <v>3317</v>
      </c>
      <c r="F129">
        <v>31360</v>
      </c>
      <c r="G129">
        <v>15740</v>
      </c>
      <c r="H129" t="s">
        <v>3761</v>
      </c>
      <c r="I129">
        <v>105</v>
      </c>
      <c r="J129">
        <v>3.1</v>
      </c>
      <c r="K129">
        <v>1616</v>
      </c>
      <c r="L129" t="s">
        <v>3335</v>
      </c>
      <c r="M129" t="s">
        <v>3305</v>
      </c>
      <c r="N129" s="1">
        <v>43774</v>
      </c>
      <c r="O129">
        <v>15620</v>
      </c>
      <c r="P129" t="s">
        <v>3306</v>
      </c>
    </row>
    <row r="130" spans="1:16">
      <c r="A130" t="s">
        <v>3762</v>
      </c>
      <c r="B130" t="s">
        <v>3763</v>
      </c>
      <c r="C130" t="s">
        <v>3553</v>
      </c>
      <c r="D130" t="s">
        <v>3301</v>
      </c>
      <c r="E130" t="s">
        <v>3322</v>
      </c>
      <c r="F130">
        <v>29920</v>
      </c>
      <c r="G130">
        <v>18800</v>
      </c>
      <c r="H130" t="s">
        <v>3389</v>
      </c>
      <c r="I130">
        <v>658</v>
      </c>
      <c r="J130">
        <v>4.2</v>
      </c>
      <c r="K130">
        <v>2647</v>
      </c>
      <c r="L130" t="s">
        <v>3361</v>
      </c>
      <c r="M130" t="s">
        <v>3305</v>
      </c>
      <c r="N130" s="1">
        <v>43745</v>
      </c>
      <c r="O130">
        <v>11120</v>
      </c>
      <c r="P130" t="s">
        <v>3306</v>
      </c>
    </row>
    <row r="131" spans="1:16">
      <c r="A131" t="s">
        <v>3764</v>
      </c>
      <c r="B131" t="s">
        <v>3765</v>
      </c>
      <c r="C131" t="s">
        <v>3487</v>
      </c>
      <c r="D131" t="s">
        <v>3301</v>
      </c>
      <c r="E131" t="s">
        <v>3328</v>
      </c>
      <c r="F131">
        <v>19680</v>
      </c>
      <c r="G131">
        <v>1100</v>
      </c>
      <c r="H131" t="s">
        <v>3766</v>
      </c>
      <c r="I131">
        <v>360</v>
      </c>
      <c r="J131">
        <v>3.9</v>
      </c>
      <c r="K131">
        <v>2542</v>
      </c>
      <c r="L131" t="s">
        <v>3312</v>
      </c>
      <c r="M131" t="s">
        <v>3305</v>
      </c>
      <c r="N131" s="1">
        <v>43699</v>
      </c>
      <c r="O131">
        <v>18580</v>
      </c>
      <c r="P131" t="s">
        <v>3330</v>
      </c>
    </row>
    <row r="132" spans="1:16">
      <c r="A132" t="s">
        <v>3767</v>
      </c>
      <c r="B132" t="s">
        <v>3768</v>
      </c>
      <c r="C132" t="s">
        <v>3769</v>
      </c>
      <c r="D132" t="s">
        <v>3301</v>
      </c>
      <c r="E132" t="s">
        <v>3333</v>
      </c>
      <c r="F132">
        <v>3660</v>
      </c>
      <c r="G132">
        <v>2920</v>
      </c>
      <c r="H132" t="s">
        <v>3770</v>
      </c>
      <c r="I132">
        <v>608</v>
      </c>
      <c r="J132">
        <v>3.9</v>
      </c>
      <c r="K132">
        <v>3790</v>
      </c>
      <c r="L132" t="s">
        <v>3304</v>
      </c>
      <c r="M132" t="s">
        <v>3305</v>
      </c>
      <c r="N132" s="1">
        <v>44237</v>
      </c>
      <c r="O132">
        <v>740</v>
      </c>
      <c r="P132" t="s">
        <v>3324</v>
      </c>
    </row>
    <row r="133" spans="1:16">
      <c r="A133" t="s">
        <v>3771</v>
      </c>
      <c r="B133" t="s">
        <v>3772</v>
      </c>
      <c r="C133" t="s">
        <v>3754</v>
      </c>
      <c r="D133" t="s">
        <v>3301</v>
      </c>
      <c r="E133" t="s">
        <v>3338</v>
      </c>
      <c r="F133">
        <v>10880</v>
      </c>
      <c r="G133">
        <v>1610</v>
      </c>
      <c r="H133" t="s">
        <v>3773</v>
      </c>
      <c r="I133">
        <v>461</v>
      </c>
      <c r="J133">
        <v>3</v>
      </c>
      <c r="K133">
        <v>2813</v>
      </c>
      <c r="L133" t="s">
        <v>3304</v>
      </c>
      <c r="M133" t="s">
        <v>3305</v>
      </c>
      <c r="N133" s="1">
        <v>44172</v>
      </c>
      <c r="O133">
        <v>9270</v>
      </c>
      <c r="P133" t="s">
        <v>3330</v>
      </c>
    </row>
    <row r="134" spans="1:16">
      <c r="A134" t="s">
        <v>3774</v>
      </c>
      <c r="B134" t="s">
        <v>3775</v>
      </c>
      <c r="C134" t="s">
        <v>3776</v>
      </c>
      <c r="D134" t="s">
        <v>3301</v>
      </c>
      <c r="E134" t="s">
        <v>3343</v>
      </c>
      <c r="F134">
        <v>5290</v>
      </c>
      <c r="G134">
        <v>2740</v>
      </c>
      <c r="H134" t="s">
        <v>3731</v>
      </c>
      <c r="I134">
        <v>624</v>
      </c>
      <c r="J134">
        <v>3.1</v>
      </c>
      <c r="K134">
        <v>3054</v>
      </c>
      <c r="L134" t="s">
        <v>3361</v>
      </c>
      <c r="M134" t="s">
        <v>3305</v>
      </c>
      <c r="N134" s="1">
        <v>44851</v>
      </c>
      <c r="O134">
        <v>2550</v>
      </c>
      <c r="P134" t="s">
        <v>3330</v>
      </c>
    </row>
    <row r="135" spans="1:16">
      <c r="A135" t="s">
        <v>3777</v>
      </c>
      <c r="B135" t="s">
        <v>3778</v>
      </c>
      <c r="C135" t="s">
        <v>3539</v>
      </c>
      <c r="D135" t="s">
        <v>3301</v>
      </c>
      <c r="E135" t="s">
        <v>3348</v>
      </c>
      <c r="F135">
        <v>49420</v>
      </c>
      <c r="G135">
        <v>26930</v>
      </c>
      <c r="H135" t="s">
        <v>3514</v>
      </c>
      <c r="I135">
        <v>67</v>
      </c>
      <c r="J135">
        <v>3.5</v>
      </c>
      <c r="K135">
        <v>4570</v>
      </c>
      <c r="L135" t="s">
        <v>3312</v>
      </c>
      <c r="M135" t="s">
        <v>3305</v>
      </c>
      <c r="N135" s="1">
        <v>44081</v>
      </c>
      <c r="O135">
        <v>22490</v>
      </c>
      <c r="P135" t="s">
        <v>3306</v>
      </c>
    </row>
    <row r="136" spans="1:16">
      <c r="A136" t="s">
        <v>3779</v>
      </c>
      <c r="B136" t="s">
        <v>3780</v>
      </c>
      <c r="C136" t="s">
        <v>3386</v>
      </c>
      <c r="D136" t="s">
        <v>3353</v>
      </c>
      <c r="E136" t="s">
        <v>3354</v>
      </c>
      <c r="F136">
        <v>2620</v>
      </c>
      <c r="G136">
        <v>1610</v>
      </c>
      <c r="H136" t="s">
        <v>3781</v>
      </c>
      <c r="I136">
        <v>317</v>
      </c>
      <c r="J136">
        <v>4.9000000000000004</v>
      </c>
      <c r="K136">
        <v>3210</v>
      </c>
      <c r="L136" t="s">
        <v>3335</v>
      </c>
      <c r="M136" t="s">
        <v>3305</v>
      </c>
      <c r="N136" s="1">
        <v>43813</v>
      </c>
      <c r="O136">
        <v>1010</v>
      </c>
      <c r="P136" t="s">
        <v>3324</v>
      </c>
    </row>
    <row r="137" spans="1:16">
      <c r="A137" t="s">
        <v>3782</v>
      </c>
      <c r="B137" t="s">
        <v>3783</v>
      </c>
      <c r="C137" t="s">
        <v>3455</v>
      </c>
      <c r="D137" t="s">
        <v>3353</v>
      </c>
      <c r="E137" t="s">
        <v>3359</v>
      </c>
      <c r="F137">
        <v>6780</v>
      </c>
      <c r="G137">
        <v>2870</v>
      </c>
      <c r="H137" t="s">
        <v>3784</v>
      </c>
      <c r="I137">
        <v>130</v>
      </c>
      <c r="J137">
        <v>4.3</v>
      </c>
      <c r="K137">
        <v>4312</v>
      </c>
      <c r="L137" t="s">
        <v>3304</v>
      </c>
      <c r="M137" t="s">
        <v>3305</v>
      </c>
      <c r="N137" s="1">
        <v>45200</v>
      </c>
      <c r="O137">
        <v>3910</v>
      </c>
      <c r="P137" t="s">
        <v>3330</v>
      </c>
    </row>
    <row r="138" spans="1:16">
      <c r="A138" t="s">
        <v>3785</v>
      </c>
      <c r="B138" t="s">
        <v>3786</v>
      </c>
      <c r="C138" t="s">
        <v>3611</v>
      </c>
      <c r="D138" t="s">
        <v>3353</v>
      </c>
      <c r="E138" t="s">
        <v>3364</v>
      </c>
      <c r="F138">
        <v>3530</v>
      </c>
      <c r="G138">
        <v>1340</v>
      </c>
      <c r="H138" t="s">
        <v>3787</v>
      </c>
      <c r="I138">
        <v>219</v>
      </c>
      <c r="J138">
        <v>3.6</v>
      </c>
      <c r="K138">
        <v>3983</v>
      </c>
      <c r="L138" t="s">
        <v>3335</v>
      </c>
      <c r="M138" t="s">
        <v>3305</v>
      </c>
      <c r="N138" s="1">
        <v>44029</v>
      </c>
      <c r="O138">
        <v>2190</v>
      </c>
      <c r="P138" t="s">
        <v>3324</v>
      </c>
    </row>
    <row r="139" spans="1:16">
      <c r="A139" t="s">
        <v>3788</v>
      </c>
      <c r="B139" t="s">
        <v>3789</v>
      </c>
      <c r="C139" t="s">
        <v>3650</v>
      </c>
      <c r="D139" t="s">
        <v>3353</v>
      </c>
      <c r="E139" t="s">
        <v>3368</v>
      </c>
      <c r="F139">
        <v>4860</v>
      </c>
      <c r="G139">
        <v>2610</v>
      </c>
      <c r="H139" t="s">
        <v>3790</v>
      </c>
      <c r="I139">
        <v>756</v>
      </c>
      <c r="J139">
        <v>4.7</v>
      </c>
      <c r="K139">
        <v>309</v>
      </c>
      <c r="L139" t="s">
        <v>3361</v>
      </c>
      <c r="M139" t="s">
        <v>3305</v>
      </c>
      <c r="N139" s="1">
        <v>44002</v>
      </c>
      <c r="O139">
        <v>2250</v>
      </c>
      <c r="P139" t="s">
        <v>3324</v>
      </c>
    </row>
    <row r="140" spans="1:16">
      <c r="A140" t="s">
        <v>3791</v>
      </c>
      <c r="B140" t="s">
        <v>3792</v>
      </c>
      <c r="C140" t="s">
        <v>3593</v>
      </c>
      <c r="D140" t="s">
        <v>3353</v>
      </c>
      <c r="E140" t="s">
        <v>3372</v>
      </c>
      <c r="F140">
        <v>1240</v>
      </c>
      <c r="G140">
        <v>1010</v>
      </c>
      <c r="H140" t="s">
        <v>3793</v>
      </c>
      <c r="I140">
        <v>789</v>
      </c>
      <c r="J140">
        <v>4.2</v>
      </c>
      <c r="K140">
        <v>1356</v>
      </c>
      <c r="L140" t="s">
        <v>3312</v>
      </c>
      <c r="M140" t="s">
        <v>3305</v>
      </c>
      <c r="N140" s="1">
        <v>44958</v>
      </c>
      <c r="O140">
        <v>230</v>
      </c>
      <c r="P140" t="s">
        <v>3324</v>
      </c>
    </row>
    <row r="141" spans="1:16">
      <c r="A141" t="s">
        <v>3794</v>
      </c>
      <c r="B141" t="s">
        <v>3795</v>
      </c>
      <c r="C141" t="s">
        <v>3539</v>
      </c>
      <c r="D141" t="s">
        <v>3353</v>
      </c>
      <c r="E141" t="s">
        <v>3376</v>
      </c>
      <c r="F141">
        <v>680</v>
      </c>
      <c r="G141">
        <v>520</v>
      </c>
      <c r="H141" t="s">
        <v>3796</v>
      </c>
      <c r="I141">
        <v>239</v>
      </c>
      <c r="J141">
        <v>4</v>
      </c>
      <c r="K141">
        <v>2535</v>
      </c>
      <c r="L141" t="s">
        <v>3312</v>
      </c>
      <c r="M141" t="s">
        <v>3378</v>
      </c>
      <c r="N141" s="1">
        <v>44260</v>
      </c>
      <c r="O141">
        <v>160</v>
      </c>
      <c r="P141" t="s">
        <v>3324</v>
      </c>
    </row>
    <row r="142" spans="1:16">
      <c r="A142" t="s">
        <v>3797</v>
      </c>
      <c r="B142" t="s">
        <v>3798</v>
      </c>
      <c r="C142" t="s">
        <v>3769</v>
      </c>
      <c r="D142" t="s">
        <v>3353</v>
      </c>
      <c r="E142" t="s">
        <v>3382</v>
      </c>
      <c r="F142">
        <v>2190</v>
      </c>
      <c r="G142">
        <v>1760</v>
      </c>
      <c r="H142" t="s">
        <v>3799</v>
      </c>
      <c r="I142">
        <v>288</v>
      </c>
      <c r="J142">
        <v>4.5</v>
      </c>
      <c r="K142">
        <v>4119</v>
      </c>
      <c r="L142" t="s">
        <v>3312</v>
      </c>
      <c r="M142" t="s">
        <v>3378</v>
      </c>
      <c r="N142" s="1">
        <v>44283</v>
      </c>
      <c r="O142">
        <v>430</v>
      </c>
      <c r="P142" t="s">
        <v>3324</v>
      </c>
    </row>
    <row r="143" spans="1:16">
      <c r="A143" t="s">
        <v>3800</v>
      </c>
      <c r="B143" t="s">
        <v>3801</v>
      </c>
      <c r="C143" t="s">
        <v>3593</v>
      </c>
      <c r="D143" t="s">
        <v>3387</v>
      </c>
      <c r="E143" t="s">
        <v>3388</v>
      </c>
      <c r="F143">
        <v>12000</v>
      </c>
      <c r="G143">
        <v>8770</v>
      </c>
      <c r="H143" t="s">
        <v>3802</v>
      </c>
      <c r="I143">
        <v>380</v>
      </c>
      <c r="J143">
        <v>4</v>
      </c>
      <c r="K143">
        <v>840</v>
      </c>
      <c r="L143" t="s">
        <v>3304</v>
      </c>
      <c r="M143" t="s">
        <v>3305</v>
      </c>
      <c r="N143" s="1">
        <v>44122</v>
      </c>
      <c r="O143">
        <v>3230</v>
      </c>
      <c r="P143" t="s">
        <v>3330</v>
      </c>
    </row>
    <row r="144" spans="1:16">
      <c r="A144" t="s">
        <v>3803</v>
      </c>
      <c r="B144" t="s">
        <v>3804</v>
      </c>
      <c r="C144" t="s">
        <v>3615</v>
      </c>
      <c r="D144" t="s">
        <v>3387</v>
      </c>
      <c r="E144" t="s">
        <v>3392</v>
      </c>
      <c r="F144">
        <v>6080</v>
      </c>
      <c r="G144">
        <v>1880</v>
      </c>
      <c r="H144" t="s">
        <v>3805</v>
      </c>
      <c r="I144">
        <v>227</v>
      </c>
      <c r="J144">
        <v>4.5999999999999996</v>
      </c>
      <c r="K144">
        <v>2863</v>
      </c>
      <c r="L144" t="s">
        <v>3304</v>
      </c>
      <c r="M144" t="s">
        <v>3305</v>
      </c>
      <c r="N144" s="1">
        <v>45089</v>
      </c>
      <c r="O144">
        <v>4200</v>
      </c>
      <c r="P144" t="s">
        <v>3330</v>
      </c>
    </row>
    <row r="145" spans="1:16">
      <c r="A145" t="s">
        <v>3806</v>
      </c>
      <c r="B145" t="s">
        <v>3807</v>
      </c>
      <c r="C145" t="s">
        <v>3611</v>
      </c>
      <c r="D145" t="s">
        <v>3387</v>
      </c>
      <c r="E145" t="s">
        <v>3397</v>
      </c>
      <c r="F145">
        <v>630</v>
      </c>
      <c r="G145">
        <v>370</v>
      </c>
      <c r="H145" t="s">
        <v>3808</v>
      </c>
      <c r="I145">
        <v>229</v>
      </c>
      <c r="J145">
        <v>2.9</v>
      </c>
      <c r="K145">
        <v>811</v>
      </c>
      <c r="L145" t="s">
        <v>3361</v>
      </c>
      <c r="M145" t="s">
        <v>3305</v>
      </c>
      <c r="N145" s="1">
        <v>44029</v>
      </c>
      <c r="O145">
        <v>260</v>
      </c>
      <c r="P145" t="s">
        <v>3324</v>
      </c>
    </row>
    <row r="146" spans="1:16">
      <c r="A146" t="s">
        <v>3809</v>
      </c>
      <c r="B146" t="s">
        <v>3810</v>
      </c>
      <c r="C146" t="s">
        <v>3776</v>
      </c>
      <c r="D146" t="s">
        <v>3402</v>
      </c>
      <c r="E146" t="s">
        <v>3403</v>
      </c>
      <c r="F146">
        <v>3270</v>
      </c>
      <c r="G146">
        <v>2520</v>
      </c>
      <c r="H146" t="s">
        <v>3811</v>
      </c>
      <c r="I146">
        <v>459</v>
      </c>
      <c r="J146">
        <v>4.2</v>
      </c>
      <c r="K146">
        <v>649</v>
      </c>
      <c r="L146" t="s">
        <v>3304</v>
      </c>
      <c r="M146" t="s">
        <v>3305</v>
      </c>
      <c r="N146" s="1">
        <v>44078</v>
      </c>
      <c r="O146">
        <v>750</v>
      </c>
      <c r="P146" t="s">
        <v>3324</v>
      </c>
    </row>
    <row r="147" spans="1:16">
      <c r="A147" t="s">
        <v>3812</v>
      </c>
      <c r="B147" t="s">
        <v>3813</v>
      </c>
      <c r="C147" t="s">
        <v>3451</v>
      </c>
      <c r="D147" t="s">
        <v>3301</v>
      </c>
      <c r="E147" t="s">
        <v>3407</v>
      </c>
      <c r="F147">
        <v>8640</v>
      </c>
      <c r="G147">
        <v>6680</v>
      </c>
      <c r="H147" t="s">
        <v>3814</v>
      </c>
      <c r="I147">
        <v>295</v>
      </c>
      <c r="J147">
        <v>3.3</v>
      </c>
      <c r="K147">
        <v>998</v>
      </c>
      <c r="L147" t="s">
        <v>3304</v>
      </c>
      <c r="M147" t="s">
        <v>3305</v>
      </c>
      <c r="N147" s="1">
        <v>45338</v>
      </c>
      <c r="O147">
        <v>1960</v>
      </c>
      <c r="P147" t="s">
        <v>3330</v>
      </c>
    </row>
    <row r="148" spans="1:16">
      <c r="A148" t="s">
        <v>3815</v>
      </c>
      <c r="B148" t="s">
        <v>3816</v>
      </c>
      <c r="C148" t="s">
        <v>3437</v>
      </c>
      <c r="D148" t="s">
        <v>3301</v>
      </c>
      <c r="E148" t="s">
        <v>3411</v>
      </c>
      <c r="F148">
        <v>78260</v>
      </c>
      <c r="G148">
        <v>6580</v>
      </c>
      <c r="H148" t="s">
        <v>3817</v>
      </c>
      <c r="I148">
        <v>647</v>
      </c>
      <c r="J148">
        <v>3.9</v>
      </c>
      <c r="K148">
        <v>1981</v>
      </c>
      <c r="L148" t="s">
        <v>3335</v>
      </c>
      <c r="M148" t="s">
        <v>3305</v>
      </c>
      <c r="N148" s="1">
        <v>43472</v>
      </c>
      <c r="O148">
        <v>71680</v>
      </c>
      <c r="P148" t="s">
        <v>3313</v>
      </c>
    </row>
    <row r="149" spans="1:16">
      <c r="A149" t="s">
        <v>3818</v>
      </c>
      <c r="B149" t="s">
        <v>3819</v>
      </c>
      <c r="C149" t="s">
        <v>3430</v>
      </c>
      <c r="D149" t="s">
        <v>3301</v>
      </c>
      <c r="E149" t="s">
        <v>3416</v>
      </c>
      <c r="F149">
        <v>66600</v>
      </c>
      <c r="G149">
        <v>20280</v>
      </c>
      <c r="H149" t="s">
        <v>3820</v>
      </c>
      <c r="I149">
        <v>680</v>
      </c>
      <c r="J149">
        <v>4.3</v>
      </c>
      <c r="K149">
        <v>4288</v>
      </c>
      <c r="L149" t="s">
        <v>3361</v>
      </c>
      <c r="M149" t="s">
        <v>3305</v>
      </c>
      <c r="N149" s="1">
        <v>45620</v>
      </c>
      <c r="O149">
        <v>46320</v>
      </c>
      <c r="P149" t="s">
        <v>3313</v>
      </c>
    </row>
    <row r="150" spans="1:16">
      <c r="A150" t="s">
        <v>3821</v>
      </c>
      <c r="B150" t="s">
        <v>3822</v>
      </c>
      <c r="C150" t="s">
        <v>3441</v>
      </c>
      <c r="D150" t="s">
        <v>3353</v>
      </c>
      <c r="E150" t="s">
        <v>3421</v>
      </c>
      <c r="F150">
        <v>830</v>
      </c>
      <c r="G150">
        <v>500</v>
      </c>
      <c r="H150" t="s">
        <v>3823</v>
      </c>
      <c r="I150">
        <v>481</v>
      </c>
      <c r="J150">
        <v>2.9</v>
      </c>
      <c r="K150">
        <v>3169</v>
      </c>
      <c r="L150" t="s">
        <v>3361</v>
      </c>
      <c r="M150" t="s">
        <v>3305</v>
      </c>
      <c r="N150" s="1">
        <v>43532</v>
      </c>
      <c r="O150">
        <v>330</v>
      </c>
      <c r="P150" t="s">
        <v>3324</v>
      </c>
    </row>
    <row r="151" spans="1:16">
      <c r="A151" t="s">
        <v>3824</v>
      </c>
      <c r="B151" t="s">
        <v>3825</v>
      </c>
      <c r="C151" t="s">
        <v>3321</v>
      </c>
      <c r="D151" t="s">
        <v>3353</v>
      </c>
      <c r="E151" t="s">
        <v>3426</v>
      </c>
      <c r="F151">
        <v>11760</v>
      </c>
      <c r="G151">
        <v>5750</v>
      </c>
      <c r="H151" t="s">
        <v>3826</v>
      </c>
      <c r="I151">
        <v>106</v>
      </c>
      <c r="J151">
        <v>4.5</v>
      </c>
      <c r="K151">
        <v>2723</v>
      </c>
      <c r="L151" t="s">
        <v>3335</v>
      </c>
      <c r="M151" t="s">
        <v>3305</v>
      </c>
      <c r="N151" s="1">
        <v>44852</v>
      </c>
      <c r="O151">
        <v>6010</v>
      </c>
      <c r="P151" t="s">
        <v>3330</v>
      </c>
    </row>
    <row r="152" spans="1:16">
      <c r="A152" t="s">
        <v>3827</v>
      </c>
      <c r="B152" t="s">
        <v>3828</v>
      </c>
      <c r="C152" t="s">
        <v>3546</v>
      </c>
      <c r="D152" t="s">
        <v>3301</v>
      </c>
      <c r="E152" t="s">
        <v>3302</v>
      </c>
      <c r="F152">
        <v>70720</v>
      </c>
      <c r="G152">
        <v>46400</v>
      </c>
      <c r="H152" t="s">
        <v>3829</v>
      </c>
      <c r="I152">
        <v>186</v>
      </c>
      <c r="J152">
        <v>4.5999999999999996</v>
      </c>
      <c r="K152">
        <v>516</v>
      </c>
      <c r="L152" t="s">
        <v>3312</v>
      </c>
      <c r="M152" t="s">
        <v>3305</v>
      </c>
      <c r="N152" s="1">
        <v>44291</v>
      </c>
      <c r="O152">
        <v>24320</v>
      </c>
      <c r="P152" t="s">
        <v>3313</v>
      </c>
    </row>
    <row r="153" spans="1:16">
      <c r="A153" t="s">
        <v>3830</v>
      </c>
      <c r="B153" t="s">
        <v>3831</v>
      </c>
      <c r="C153" t="s">
        <v>3776</v>
      </c>
      <c r="D153" t="s">
        <v>3301</v>
      </c>
      <c r="E153" t="s">
        <v>3310</v>
      </c>
      <c r="F153">
        <v>147340</v>
      </c>
      <c r="G153">
        <v>58640</v>
      </c>
      <c r="H153" t="s">
        <v>3832</v>
      </c>
      <c r="I153">
        <v>527</v>
      </c>
      <c r="J153">
        <v>3.7</v>
      </c>
      <c r="K153">
        <v>4448</v>
      </c>
      <c r="L153" t="s">
        <v>3312</v>
      </c>
      <c r="M153" t="s">
        <v>3305</v>
      </c>
      <c r="N153" s="1">
        <v>44248</v>
      </c>
      <c r="O153">
        <v>88700</v>
      </c>
      <c r="P153" t="s">
        <v>3313</v>
      </c>
    </row>
    <row r="154" spans="1:16">
      <c r="A154" t="s">
        <v>3833</v>
      </c>
      <c r="B154" t="s">
        <v>3834</v>
      </c>
      <c r="C154" t="s">
        <v>3415</v>
      </c>
      <c r="D154" t="s">
        <v>3301</v>
      </c>
      <c r="E154" t="s">
        <v>3317</v>
      </c>
      <c r="F154">
        <v>55510</v>
      </c>
      <c r="G154">
        <v>25900</v>
      </c>
      <c r="H154" t="s">
        <v>3835</v>
      </c>
      <c r="I154">
        <v>127</v>
      </c>
      <c r="J154">
        <v>4.5999999999999996</v>
      </c>
      <c r="K154">
        <v>3579</v>
      </c>
      <c r="L154" t="s">
        <v>3312</v>
      </c>
      <c r="M154" t="s">
        <v>3305</v>
      </c>
      <c r="N154" s="1">
        <v>45049</v>
      </c>
      <c r="O154">
        <v>29610</v>
      </c>
      <c r="P154" t="s">
        <v>3313</v>
      </c>
    </row>
    <row r="155" spans="1:16">
      <c r="A155" t="s">
        <v>3836</v>
      </c>
      <c r="B155" t="s">
        <v>3837</v>
      </c>
      <c r="C155" t="s">
        <v>3386</v>
      </c>
      <c r="D155" t="s">
        <v>3301</v>
      </c>
      <c r="E155" t="s">
        <v>3322</v>
      </c>
      <c r="F155">
        <v>33100</v>
      </c>
      <c r="G155">
        <v>12340</v>
      </c>
      <c r="H155" t="s">
        <v>3466</v>
      </c>
      <c r="I155">
        <v>531</v>
      </c>
      <c r="J155">
        <v>3.4</v>
      </c>
      <c r="K155">
        <v>676</v>
      </c>
      <c r="L155" t="s">
        <v>3312</v>
      </c>
      <c r="M155" t="s">
        <v>3305</v>
      </c>
      <c r="N155" s="1">
        <v>44205</v>
      </c>
      <c r="O155">
        <v>20760</v>
      </c>
      <c r="P155" t="s">
        <v>3306</v>
      </c>
    </row>
    <row r="156" spans="1:16">
      <c r="A156" t="s">
        <v>3838</v>
      </c>
      <c r="B156" t="s">
        <v>3839</v>
      </c>
      <c r="C156" t="s">
        <v>3441</v>
      </c>
      <c r="D156" t="s">
        <v>3301</v>
      </c>
      <c r="E156" t="s">
        <v>3328</v>
      </c>
      <c r="F156">
        <v>2920</v>
      </c>
      <c r="G156">
        <v>1520</v>
      </c>
      <c r="H156" t="s">
        <v>3840</v>
      </c>
      <c r="I156">
        <v>676</v>
      </c>
      <c r="J156">
        <v>3.5</v>
      </c>
      <c r="K156">
        <v>3652</v>
      </c>
      <c r="L156" t="s">
        <v>3312</v>
      </c>
      <c r="M156" t="s">
        <v>3305</v>
      </c>
      <c r="N156" s="1">
        <v>45284</v>
      </c>
      <c r="O156">
        <v>1400</v>
      </c>
      <c r="P156" t="s">
        <v>3324</v>
      </c>
    </row>
    <row r="157" spans="1:16">
      <c r="A157" t="s">
        <v>3841</v>
      </c>
      <c r="B157" t="s">
        <v>3842</v>
      </c>
      <c r="C157" t="s">
        <v>3321</v>
      </c>
      <c r="D157" t="s">
        <v>3301</v>
      </c>
      <c r="E157" t="s">
        <v>3333</v>
      </c>
      <c r="F157">
        <v>12250</v>
      </c>
      <c r="G157">
        <v>7530</v>
      </c>
      <c r="H157" t="s">
        <v>3781</v>
      </c>
      <c r="I157">
        <v>281</v>
      </c>
      <c r="J157">
        <v>4.2</v>
      </c>
      <c r="K157">
        <v>469</v>
      </c>
      <c r="L157" t="s">
        <v>3304</v>
      </c>
      <c r="M157" t="s">
        <v>3305</v>
      </c>
      <c r="N157" s="1">
        <v>45129</v>
      </c>
      <c r="O157">
        <v>4720</v>
      </c>
      <c r="P157" t="s">
        <v>3330</v>
      </c>
    </row>
    <row r="158" spans="1:16">
      <c r="A158" t="s">
        <v>3843</v>
      </c>
      <c r="B158" t="s">
        <v>3844</v>
      </c>
      <c r="C158" t="s">
        <v>3769</v>
      </c>
      <c r="D158" t="s">
        <v>3301</v>
      </c>
      <c r="E158" t="s">
        <v>3338</v>
      </c>
      <c r="F158">
        <v>10360</v>
      </c>
      <c r="G158">
        <v>7780</v>
      </c>
      <c r="H158" t="s">
        <v>3845</v>
      </c>
      <c r="I158">
        <v>35</v>
      </c>
      <c r="J158">
        <v>3.1</v>
      </c>
      <c r="K158">
        <v>1933</v>
      </c>
      <c r="L158" t="s">
        <v>3361</v>
      </c>
      <c r="M158" t="s">
        <v>3305</v>
      </c>
      <c r="N158" s="1">
        <v>43598</v>
      </c>
      <c r="O158">
        <v>2580</v>
      </c>
      <c r="P158" t="s">
        <v>3330</v>
      </c>
    </row>
    <row r="159" spans="1:16">
      <c r="A159" t="s">
        <v>3846</v>
      </c>
      <c r="B159" t="s">
        <v>3847</v>
      </c>
      <c r="C159" t="s">
        <v>3593</v>
      </c>
      <c r="D159" t="s">
        <v>3301</v>
      </c>
      <c r="E159" t="s">
        <v>3343</v>
      </c>
      <c r="F159">
        <v>4050</v>
      </c>
      <c r="G159">
        <v>2420</v>
      </c>
      <c r="H159" t="s">
        <v>3848</v>
      </c>
      <c r="I159">
        <v>781</v>
      </c>
      <c r="J159">
        <v>3</v>
      </c>
      <c r="K159">
        <v>1127</v>
      </c>
      <c r="L159" t="s">
        <v>3361</v>
      </c>
      <c r="M159" t="s">
        <v>3305</v>
      </c>
      <c r="N159" s="1">
        <v>44607</v>
      </c>
      <c r="O159">
        <v>1630</v>
      </c>
      <c r="P159" t="s">
        <v>3324</v>
      </c>
    </row>
    <row r="160" spans="1:16">
      <c r="A160" t="s">
        <v>3849</v>
      </c>
      <c r="B160" t="s">
        <v>3850</v>
      </c>
      <c r="C160" t="s">
        <v>3347</v>
      </c>
      <c r="D160" t="s">
        <v>3301</v>
      </c>
      <c r="E160" t="s">
        <v>3348</v>
      </c>
      <c r="F160">
        <v>19190</v>
      </c>
      <c r="G160">
        <v>13180</v>
      </c>
      <c r="H160" t="s">
        <v>3851</v>
      </c>
      <c r="I160">
        <v>530</v>
      </c>
      <c r="J160">
        <v>3.7</v>
      </c>
      <c r="K160">
        <v>4601</v>
      </c>
      <c r="L160" t="s">
        <v>3304</v>
      </c>
      <c r="M160" t="s">
        <v>3305</v>
      </c>
      <c r="N160" s="1">
        <v>44532</v>
      </c>
      <c r="O160">
        <v>6010</v>
      </c>
      <c r="P160" t="s">
        <v>3330</v>
      </c>
    </row>
    <row r="161" spans="1:16">
      <c r="A161" t="s">
        <v>3852</v>
      </c>
      <c r="B161" t="s">
        <v>3853</v>
      </c>
      <c r="C161" t="s">
        <v>3381</v>
      </c>
      <c r="D161" t="s">
        <v>3353</v>
      </c>
      <c r="E161" t="s">
        <v>3354</v>
      </c>
      <c r="F161">
        <v>4980</v>
      </c>
      <c r="G161">
        <v>3020</v>
      </c>
      <c r="H161" t="s">
        <v>3854</v>
      </c>
      <c r="I161">
        <v>502</v>
      </c>
      <c r="J161">
        <v>3.2</v>
      </c>
      <c r="K161">
        <v>1111</v>
      </c>
      <c r="L161" t="s">
        <v>3304</v>
      </c>
      <c r="M161" t="s">
        <v>3305</v>
      </c>
      <c r="N161" s="1">
        <v>45289</v>
      </c>
      <c r="O161">
        <v>1960</v>
      </c>
      <c r="P161" t="s">
        <v>3324</v>
      </c>
    </row>
    <row r="162" spans="1:16">
      <c r="A162" t="s">
        <v>3855</v>
      </c>
      <c r="B162" t="s">
        <v>3856</v>
      </c>
      <c r="C162" t="s">
        <v>3425</v>
      </c>
      <c r="D162" t="s">
        <v>3353</v>
      </c>
      <c r="E162" t="s">
        <v>3359</v>
      </c>
      <c r="F162">
        <v>3140</v>
      </c>
      <c r="G162">
        <v>440</v>
      </c>
      <c r="H162" t="s">
        <v>3857</v>
      </c>
      <c r="I162">
        <v>563</v>
      </c>
      <c r="J162">
        <v>4</v>
      </c>
      <c r="K162">
        <v>2457</v>
      </c>
      <c r="L162" t="s">
        <v>3335</v>
      </c>
      <c r="M162" t="s">
        <v>3305</v>
      </c>
      <c r="N162" s="1">
        <v>44179</v>
      </c>
      <c r="O162">
        <v>2700</v>
      </c>
      <c r="P162" t="s">
        <v>3324</v>
      </c>
    </row>
    <row r="163" spans="1:16">
      <c r="A163" t="s">
        <v>3858</v>
      </c>
      <c r="B163" t="s">
        <v>3859</v>
      </c>
      <c r="C163" t="s">
        <v>3769</v>
      </c>
      <c r="D163" t="s">
        <v>3353</v>
      </c>
      <c r="E163" t="s">
        <v>3364</v>
      </c>
      <c r="F163">
        <v>2640</v>
      </c>
      <c r="G163">
        <v>2220</v>
      </c>
      <c r="H163" t="s">
        <v>3860</v>
      </c>
      <c r="I163">
        <v>142</v>
      </c>
      <c r="J163">
        <v>3.3</v>
      </c>
      <c r="K163">
        <v>4047</v>
      </c>
      <c r="L163" t="s">
        <v>3304</v>
      </c>
      <c r="M163" t="s">
        <v>3305</v>
      </c>
      <c r="N163" s="1">
        <v>44977</v>
      </c>
      <c r="O163">
        <v>420</v>
      </c>
      <c r="P163" t="s">
        <v>3324</v>
      </c>
    </row>
    <row r="164" spans="1:16">
      <c r="A164" t="s">
        <v>3861</v>
      </c>
      <c r="B164" t="s">
        <v>3862</v>
      </c>
      <c r="C164" t="s">
        <v>3498</v>
      </c>
      <c r="D164" t="s">
        <v>3353</v>
      </c>
      <c r="E164" t="s">
        <v>3368</v>
      </c>
      <c r="F164">
        <v>1400</v>
      </c>
      <c r="G164">
        <v>470</v>
      </c>
      <c r="H164" t="s">
        <v>3863</v>
      </c>
      <c r="I164">
        <v>316</v>
      </c>
      <c r="J164">
        <v>3.7</v>
      </c>
      <c r="K164">
        <v>3921</v>
      </c>
      <c r="L164" t="s">
        <v>3312</v>
      </c>
      <c r="M164" t="s">
        <v>3305</v>
      </c>
      <c r="N164" s="1">
        <v>43768</v>
      </c>
      <c r="O164">
        <v>930</v>
      </c>
      <c r="P164" t="s">
        <v>3324</v>
      </c>
    </row>
    <row r="165" spans="1:16">
      <c r="A165" t="s">
        <v>3864</v>
      </c>
      <c r="B165" t="s">
        <v>3865</v>
      </c>
      <c r="C165" t="s">
        <v>3704</v>
      </c>
      <c r="D165" t="s">
        <v>3353</v>
      </c>
      <c r="E165" t="s">
        <v>3372</v>
      </c>
      <c r="F165">
        <v>2410</v>
      </c>
      <c r="G165">
        <v>1690</v>
      </c>
      <c r="H165" t="s">
        <v>3866</v>
      </c>
      <c r="I165">
        <v>529</v>
      </c>
      <c r="J165">
        <v>3.6</v>
      </c>
      <c r="K165">
        <v>4516</v>
      </c>
      <c r="L165" t="s">
        <v>3335</v>
      </c>
      <c r="M165" t="s">
        <v>3305</v>
      </c>
      <c r="N165" s="1">
        <v>43994</v>
      </c>
      <c r="O165">
        <v>720</v>
      </c>
      <c r="P165" t="s">
        <v>3324</v>
      </c>
    </row>
    <row r="166" spans="1:16">
      <c r="A166" t="s">
        <v>3867</v>
      </c>
      <c r="B166" t="s">
        <v>3868</v>
      </c>
      <c r="C166" t="s">
        <v>3517</v>
      </c>
      <c r="D166" t="s">
        <v>3353</v>
      </c>
      <c r="E166" t="s">
        <v>3376</v>
      </c>
      <c r="F166">
        <v>1160</v>
      </c>
      <c r="G166">
        <v>220</v>
      </c>
      <c r="H166" t="s">
        <v>3869</v>
      </c>
      <c r="I166">
        <v>311</v>
      </c>
      <c r="J166">
        <v>3.2</v>
      </c>
      <c r="K166">
        <v>2643</v>
      </c>
      <c r="L166" t="s">
        <v>3335</v>
      </c>
      <c r="M166" t="s">
        <v>3305</v>
      </c>
      <c r="N166" s="1">
        <v>45591</v>
      </c>
      <c r="O166">
        <v>940</v>
      </c>
      <c r="P166" t="s">
        <v>3324</v>
      </c>
    </row>
    <row r="167" spans="1:16">
      <c r="A167" t="s">
        <v>3870</v>
      </c>
      <c r="B167" t="s">
        <v>3871</v>
      </c>
      <c r="C167" t="s">
        <v>3415</v>
      </c>
      <c r="D167" t="s">
        <v>3353</v>
      </c>
      <c r="E167" t="s">
        <v>3382</v>
      </c>
      <c r="F167">
        <v>2900</v>
      </c>
      <c r="G167">
        <v>1310</v>
      </c>
      <c r="H167" t="s">
        <v>3408</v>
      </c>
      <c r="I167">
        <v>281</v>
      </c>
      <c r="J167">
        <v>3.1</v>
      </c>
      <c r="K167">
        <v>2480</v>
      </c>
      <c r="L167" t="s">
        <v>3304</v>
      </c>
      <c r="M167" t="s">
        <v>3305</v>
      </c>
      <c r="N167" s="1">
        <v>44156</v>
      </c>
      <c r="O167">
        <v>1590</v>
      </c>
      <c r="P167" t="s">
        <v>3324</v>
      </c>
    </row>
    <row r="168" spans="1:16">
      <c r="A168" t="s">
        <v>3872</v>
      </c>
      <c r="B168" t="s">
        <v>3873</v>
      </c>
      <c r="C168" t="s">
        <v>3604</v>
      </c>
      <c r="D168" t="s">
        <v>3387</v>
      </c>
      <c r="E168" t="s">
        <v>3388</v>
      </c>
      <c r="F168">
        <v>12290</v>
      </c>
      <c r="G168">
        <v>6430</v>
      </c>
      <c r="H168" t="s">
        <v>3874</v>
      </c>
      <c r="I168">
        <v>577</v>
      </c>
      <c r="J168">
        <v>2.9</v>
      </c>
      <c r="K168">
        <v>232</v>
      </c>
      <c r="L168" t="s">
        <v>3304</v>
      </c>
      <c r="M168" t="s">
        <v>3305</v>
      </c>
      <c r="N168" s="1">
        <v>44550</v>
      </c>
      <c r="O168">
        <v>5860</v>
      </c>
      <c r="P168" t="s">
        <v>3330</v>
      </c>
    </row>
    <row r="169" spans="1:16">
      <c r="A169" t="s">
        <v>3875</v>
      </c>
      <c r="B169" t="s">
        <v>3876</v>
      </c>
      <c r="C169" t="s">
        <v>3546</v>
      </c>
      <c r="D169" t="s">
        <v>3387</v>
      </c>
      <c r="E169" t="s">
        <v>3392</v>
      </c>
      <c r="F169">
        <v>7560</v>
      </c>
      <c r="G169">
        <v>4120</v>
      </c>
      <c r="H169" t="s">
        <v>3514</v>
      </c>
      <c r="I169">
        <v>31</v>
      </c>
      <c r="J169">
        <v>3.9</v>
      </c>
      <c r="K169">
        <v>4469</v>
      </c>
      <c r="L169" t="s">
        <v>3361</v>
      </c>
      <c r="M169" t="s">
        <v>3305</v>
      </c>
      <c r="N169" s="1">
        <v>44703</v>
      </c>
      <c r="O169">
        <v>3440</v>
      </c>
      <c r="P169" t="s">
        <v>3330</v>
      </c>
    </row>
    <row r="170" spans="1:16">
      <c r="A170" t="s">
        <v>3877</v>
      </c>
      <c r="B170" t="s">
        <v>3878</v>
      </c>
      <c r="C170" t="s">
        <v>3487</v>
      </c>
      <c r="D170" t="s">
        <v>3387</v>
      </c>
      <c r="E170" t="s">
        <v>3397</v>
      </c>
      <c r="F170">
        <v>2160</v>
      </c>
      <c r="G170">
        <v>330</v>
      </c>
      <c r="H170" t="s">
        <v>3879</v>
      </c>
      <c r="I170">
        <v>705</v>
      </c>
      <c r="J170">
        <v>2.9</v>
      </c>
      <c r="K170">
        <v>3601</v>
      </c>
      <c r="L170" t="s">
        <v>3312</v>
      </c>
      <c r="M170" t="s">
        <v>3305</v>
      </c>
      <c r="N170" s="1">
        <v>44301</v>
      </c>
      <c r="O170">
        <v>1830</v>
      </c>
      <c r="P170" t="s">
        <v>3324</v>
      </c>
    </row>
    <row r="171" spans="1:16">
      <c r="A171" t="s">
        <v>3880</v>
      </c>
      <c r="B171" t="s">
        <v>3881</v>
      </c>
      <c r="C171" t="s">
        <v>3386</v>
      </c>
      <c r="D171" t="s">
        <v>3402</v>
      </c>
      <c r="E171" t="s">
        <v>3403</v>
      </c>
      <c r="F171">
        <v>6230</v>
      </c>
      <c r="G171">
        <v>3430</v>
      </c>
      <c r="H171" t="s">
        <v>3882</v>
      </c>
      <c r="I171">
        <v>408</v>
      </c>
      <c r="J171">
        <v>3.1</v>
      </c>
      <c r="K171">
        <v>3035</v>
      </c>
      <c r="L171" t="s">
        <v>3304</v>
      </c>
      <c r="M171" t="s">
        <v>3305</v>
      </c>
      <c r="N171" s="1">
        <v>45376</v>
      </c>
      <c r="O171">
        <v>2800</v>
      </c>
      <c r="P171" t="s">
        <v>3330</v>
      </c>
    </row>
    <row r="172" spans="1:16">
      <c r="A172" t="s">
        <v>3883</v>
      </c>
      <c r="B172" t="s">
        <v>3884</v>
      </c>
      <c r="C172" t="s">
        <v>3473</v>
      </c>
      <c r="D172" t="s">
        <v>3301</v>
      </c>
      <c r="E172" t="s">
        <v>3407</v>
      </c>
      <c r="F172">
        <v>9620</v>
      </c>
      <c r="G172">
        <v>4290</v>
      </c>
      <c r="H172" t="s">
        <v>3885</v>
      </c>
      <c r="I172">
        <v>51</v>
      </c>
      <c r="J172">
        <v>3.4</v>
      </c>
      <c r="K172">
        <v>3146</v>
      </c>
      <c r="L172" t="s">
        <v>3312</v>
      </c>
      <c r="M172" t="s">
        <v>3305</v>
      </c>
      <c r="N172" s="1">
        <v>44120</v>
      </c>
      <c r="O172">
        <v>5330</v>
      </c>
      <c r="P172" t="s">
        <v>3330</v>
      </c>
    </row>
    <row r="173" spans="1:16">
      <c r="A173" t="s">
        <v>3886</v>
      </c>
      <c r="B173" t="s">
        <v>3887</v>
      </c>
      <c r="C173" t="s">
        <v>3754</v>
      </c>
      <c r="D173" t="s">
        <v>3301</v>
      </c>
      <c r="E173" t="s">
        <v>3411</v>
      </c>
      <c r="F173">
        <v>28880</v>
      </c>
      <c r="G173">
        <v>21830</v>
      </c>
      <c r="H173" t="s">
        <v>3888</v>
      </c>
      <c r="I173">
        <v>527</v>
      </c>
      <c r="J173">
        <v>3.8</v>
      </c>
      <c r="K173">
        <v>2527</v>
      </c>
      <c r="L173" t="s">
        <v>3312</v>
      </c>
      <c r="M173" t="s">
        <v>3305</v>
      </c>
      <c r="N173" s="1">
        <v>45076</v>
      </c>
      <c r="O173">
        <v>7050</v>
      </c>
      <c r="P173" t="s">
        <v>3306</v>
      </c>
    </row>
    <row r="174" spans="1:16">
      <c r="A174" t="s">
        <v>3889</v>
      </c>
      <c r="B174" t="s">
        <v>3890</v>
      </c>
      <c r="C174" t="s">
        <v>3611</v>
      </c>
      <c r="D174" t="s">
        <v>3301</v>
      </c>
      <c r="E174" t="s">
        <v>3416</v>
      </c>
      <c r="F174">
        <v>88460</v>
      </c>
      <c r="G174">
        <v>54250</v>
      </c>
      <c r="H174" t="s">
        <v>3891</v>
      </c>
      <c r="I174">
        <v>49</v>
      </c>
      <c r="J174">
        <v>2.9</v>
      </c>
      <c r="K174">
        <v>4054</v>
      </c>
      <c r="L174" t="s">
        <v>3312</v>
      </c>
      <c r="M174" t="s">
        <v>3305</v>
      </c>
      <c r="N174" s="1">
        <v>43499</v>
      </c>
      <c r="O174">
        <v>34210</v>
      </c>
      <c r="P174" t="s">
        <v>3313</v>
      </c>
    </row>
    <row r="175" spans="1:16">
      <c r="A175" t="s">
        <v>3892</v>
      </c>
      <c r="B175" t="s">
        <v>3893</v>
      </c>
      <c r="C175" t="s">
        <v>3637</v>
      </c>
      <c r="D175" t="s">
        <v>3353</v>
      </c>
      <c r="E175" t="s">
        <v>3421</v>
      </c>
      <c r="F175">
        <v>12420</v>
      </c>
      <c r="G175">
        <v>6290</v>
      </c>
      <c r="H175" t="s">
        <v>3894</v>
      </c>
      <c r="I175">
        <v>782</v>
      </c>
      <c r="J175">
        <v>3.7</v>
      </c>
      <c r="K175">
        <v>370</v>
      </c>
      <c r="L175" t="s">
        <v>3312</v>
      </c>
      <c r="M175" t="s">
        <v>3305</v>
      </c>
      <c r="N175" s="1">
        <v>44263</v>
      </c>
      <c r="O175">
        <v>6130</v>
      </c>
      <c r="P175" t="s">
        <v>3330</v>
      </c>
    </row>
    <row r="176" spans="1:16">
      <c r="A176" t="s">
        <v>3895</v>
      </c>
      <c r="B176" t="s">
        <v>3896</v>
      </c>
      <c r="C176" t="s">
        <v>3769</v>
      </c>
      <c r="D176" t="s">
        <v>3353</v>
      </c>
      <c r="E176" t="s">
        <v>3426</v>
      </c>
      <c r="F176">
        <v>7330</v>
      </c>
      <c r="G176">
        <v>4730</v>
      </c>
      <c r="H176" t="s">
        <v>3897</v>
      </c>
      <c r="I176">
        <v>461</v>
      </c>
      <c r="J176">
        <v>4.5</v>
      </c>
      <c r="K176">
        <v>2291</v>
      </c>
      <c r="L176" t="s">
        <v>3304</v>
      </c>
      <c r="M176" t="s">
        <v>3305</v>
      </c>
      <c r="N176" s="1">
        <v>43862</v>
      </c>
      <c r="O176">
        <v>2600</v>
      </c>
      <c r="P176" t="s">
        <v>3330</v>
      </c>
    </row>
    <row r="177" spans="1:16">
      <c r="A177" t="s">
        <v>3898</v>
      </c>
      <c r="B177" t="s">
        <v>3899</v>
      </c>
      <c r="C177" t="s">
        <v>3342</v>
      </c>
      <c r="D177" t="s">
        <v>3301</v>
      </c>
      <c r="E177" t="s">
        <v>3302</v>
      </c>
      <c r="F177">
        <v>55920</v>
      </c>
      <c r="G177">
        <v>14450</v>
      </c>
      <c r="H177" t="s">
        <v>3900</v>
      </c>
      <c r="I177">
        <v>203</v>
      </c>
      <c r="J177">
        <v>4.0999999999999996</v>
      </c>
      <c r="K177">
        <v>3288</v>
      </c>
      <c r="L177" t="s">
        <v>3304</v>
      </c>
      <c r="M177" t="s">
        <v>3305</v>
      </c>
      <c r="N177" s="1">
        <v>44027</v>
      </c>
      <c r="O177">
        <v>41470</v>
      </c>
      <c r="P177" t="s">
        <v>3313</v>
      </c>
    </row>
    <row r="178" spans="1:16">
      <c r="A178" t="s">
        <v>3901</v>
      </c>
      <c r="B178" t="s">
        <v>3902</v>
      </c>
      <c r="C178" t="s">
        <v>3381</v>
      </c>
      <c r="D178" t="s">
        <v>3301</v>
      </c>
      <c r="E178" t="s">
        <v>3310</v>
      </c>
      <c r="F178">
        <v>84900</v>
      </c>
      <c r="G178">
        <v>27760</v>
      </c>
      <c r="H178" t="s">
        <v>3527</v>
      </c>
      <c r="I178">
        <v>620</v>
      </c>
      <c r="J178">
        <v>4.8</v>
      </c>
      <c r="K178">
        <v>1145</v>
      </c>
      <c r="L178" t="s">
        <v>3361</v>
      </c>
      <c r="M178" t="s">
        <v>3378</v>
      </c>
      <c r="N178" s="1">
        <v>44770</v>
      </c>
      <c r="O178">
        <v>57140</v>
      </c>
      <c r="P178" t="s">
        <v>3313</v>
      </c>
    </row>
    <row r="179" spans="1:16">
      <c r="A179" t="s">
        <v>3903</v>
      </c>
      <c r="B179" t="s">
        <v>3904</v>
      </c>
      <c r="C179" t="s">
        <v>217</v>
      </c>
      <c r="D179" t="s">
        <v>3301</v>
      </c>
      <c r="E179" t="s">
        <v>3317</v>
      </c>
      <c r="F179">
        <v>51220</v>
      </c>
      <c r="G179">
        <v>30040</v>
      </c>
      <c r="H179" t="s">
        <v>3905</v>
      </c>
      <c r="I179">
        <v>519</v>
      </c>
      <c r="J179">
        <v>4.5999999999999996</v>
      </c>
      <c r="K179">
        <v>4360</v>
      </c>
      <c r="L179" t="s">
        <v>3312</v>
      </c>
      <c r="M179" t="s">
        <v>3305</v>
      </c>
      <c r="N179" s="1">
        <v>44693</v>
      </c>
      <c r="O179">
        <v>21180</v>
      </c>
      <c r="P179" t="s">
        <v>3313</v>
      </c>
    </row>
    <row r="180" spans="1:16">
      <c r="A180" t="s">
        <v>3906</v>
      </c>
      <c r="B180" t="s">
        <v>3907</v>
      </c>
      <c r="C180" t="s">
        <v>3487</v>
      </c>
      <c r="D180" t="s">
        <v>3301</v>
      </c>
      <c r="E180" t="s">
        <v>3322</v>
      </c>
      <c r="F180">
        <v>7680</v>
      </c>
      <c r="G180">
        <v>3710</v>
      </c>
      <c r="H180" t="s">
        <v>3908</v>
      </c>
      <c r="I180">
        <v>597</v>
      </c>
      <c r="J180">
        <v>3.5</v>
      </c>
      <c r="K180">
        <v>218</v>
      </c>
      <c r="L180" t="s">
        <v>3312</v>
      </c>
      <c r="M180" t="s">
        <v>3305</v>
      </c>
      <c r="N180" s="1">
        <v>44398</v>
      </c>
      <c r="O180">
        <v>3970</v>
      </c>
      <c r="P180" t="s">
        <v>3330</v>
      </c>
    </row>
    <row r="181" spans="1:16">
      <c r="A181" t="s">
        <v>3909</v>
      </c>
      <c r="B181" t="s">
        <v>3910</v>
      </c>
      <c r="C181" t="s">
        <v>3628</v>
      </c>
      <c r="D181" t="s">
        <v>3301</v>
      </c>
      <c r="E181" t="s">
        <v>3328</v>
      </c>
      <c r="F181">
        <v>5890</v>
      </c>
      <c r="G181">
        <v>4470</v>
      </c>
      <c r="H181" t="s">
        <v>3911</v>
      </c>
      <c r="I181">
        <v>644</v>
      </c>
      <c r="J181">
        <v>4.4000000000000004</v>
      </c>
      <c r="K181">
        <v>3114</v>
      </c>
      <c r="L181" t="s">
        <v>3335</v>
      </c>
      <c r="M181" t="s">
        <v>3305</v>
      </c>
      <c r="N181" s="1">
        <v>44458</v>
      </c>
      <c r="O181">
        <v>1420</v>
      </c>
      <c r="P181" t="s">
        <v>3330</v>
      </c>
    </row>
    <row r="182" spans="1:16">
      <c r="A182" t="s">
        <v>3912</v>
      </c>
      <c r="B182" t="s">
        <v>3913</v>
      </c>
      <c r="C182" t="s">
        <v>3776</v>
      </c>
      <c r="D182" t="s">
        <v>3301</v>
      </c>
      <c r="E182" t="s">
        <v>3333</v>
      </c>
      <c r="F182">
        <v>1320</v>
      </c>
      <c r="G182">
        <v>850</v>
      </c>
      <c r="H182" t="s">
        <v>3914</v>
      </c>
      <c r="I182">
        <v>321</v>
      </c>
      <c r="J182">
        <v>3.7</v>
      </c>
      <c r="K182">
        <v>3382</v>
      </c>
      <c r="L182" t="s">
        <v>3335</v>
      </c>
      <c r="M182" t="s">
        <v>3305</v>
      </c>
      <c r="N182" s="1">
        <v>45397</v>
      </c>
      <c r="O182">
        <v>470</v>
      </c>
      <c r="P182" t="s">
        <v>3324</v>
      </c>
    </row>
    <row r="183" spans="1:16">
      <c r="A183" t="s">
        <v>3915</v>
      </c>
      <c r="B183" t="s">
        <v>3916</v>
      </c>
      <c r="C183" t="s">
        <v>3420</v>
      </c>
      <c r="D183" t="s">
        <v>3301</v>
      </c>
      <c r="E183" t="s">
        <v>3338</v>
      </c>
      <c r="F183">
        <v>14590</v>
      </c>
      <c r="G183">
        <v>9790</v>
      </c>
      <c r="H183" t="s">
        <v>3917</v>
      </c>
      <c r="I183">
        <v>332</v>
      </c>
      <c r="J183">
        <v>5</v>
      </c>
      <c r="K183">
        <v>3918</v>
      </c>
      <c r="L183" t="s">
        <v>3312</v>
      </c>
      <c r="M183" t="s">
        <v>3305</v>
      </c>
      <c r="N183" s="1">
        <v>44175</v>
      </c>
      <c r="O183">
        <v>4800</v>
      </c>
      <c r="P183" t="s">
        <v>3330</v>
      </c>
    </row>
    <row r="184" spans="1:16">
      <c r="A184" t="s">
        <v>3918</v>
      </c>
      <c r="B184" t="s">
        <v>3919</v>
      </c>
      <c r="C184" t="s">
        <v>3498</v>
      </c>
      <c r="D184" t="s">
        <v>3301</v>
      </c>
      <c r="E184" t="s">
        <v>3343</v>
      </c>
      <c r="F184">
        <v>3900</v>
      </c>
      <c r="G184">
        <v>3230</v>
      </c>
      <c r="H184" t="s">
        <v>3920</v>
      </c>
      <c r="I184">
        <v>709</v>
      </c>
      <c r="J184">
        <v>3.4</v>
      </c>
      <c r="K184">
        <v>3966</v>
      </c>
      <c r="L184" t="s">
        <v>3335</v>
      </c>
      <c r="M184" t="s">
        <v>3378</v>
      </c>
      <c r="N184" s="1">
        <v>44608</v>
      </c>
      <c r="O184">
        <v>670</v>
      </c>
      <c r="P184" t="s">
        <v>3324</v>
      </c>
    </row>
    <row r="185" spans="1:16">
      <c r="A185" t="s">
        <v>3921</v>
      </c>
      <c r="B185" t="s">
        <v>3922</v>
      </c>
      <c r="C185" t="s">
        <v>3451</v>
      </c>
      <c r="D185" t="s">
        <v>3301</v>
      </c>
      <c r="E185" t="s">
        <v>3348</v>
      </c>
      <c r="F185">
        <v>57540</v>
      </c>
      <c r="G185">
        <v>23940</v>
      </c>
      <c r="H185" t="s">
        <v>3923</v>
      </c>
      <c r="I185">
        <v>721</v>
      </c>
      <c r="J185">
        <v>3.3</v>
      </c>
      <c r="K185">
        <v>4005</v>
      </c>
      <c r="L185" t="s">
        <v>3361</v>
      </c>
      <c r="M185" t="s">
        <v>3305</v>
      </c>
      <c r="N185" s="1">
        <v>44586</v>
      </c>
      <c r="O185">
        <v>33600</v>
      </c>
      <c r="P185" t="s">
        <v>3313</v>
      </c>
    </row>
    <row r="186" spans="1:16">
      <c r="A186" t="s">
        <v>3924</v>
      </c>
      <c r="B186" t="s">
        <v>3925</v>
      </c>
      <c r="C186" t="s">
        <v>3415</v>
      </c>
      <c r="D186" t="s">
        <v>3353</v>
      </c>
      <c r="E186" t="s">
        <v>3354</v>
      </c>
      <c r="F186">
        <v>9200</v>
      </c>
      <c r="G186">
        <v>3290</v>
      </c>
      <c r="H186" t="s">
        <v>3926</v>
      </c>
      <c r="I186">
        <v>404</v>
      </c>
      <c r="J186">
        <v>4.5999999999999996</v>
      </c>
      <c r="K186">
        <v>1199</v>
      </c>
      <c r="L186" t="s">
        <v>3361</v>
      </c>
      <c r="M186" t="s">
        <v>3305</v>
      </c>
      <c r="N186" s="1">
        <v>43789</v>
      </c>
      <c r="O186">
        <v>5910</v>
      </c>
      <c r="P186" t="s">
        <v>3330</v>
      </c>
    </row>
    <row r="187" spans="1:16">
      <c r="A187" t="s">
        <v>3927</v>
      </c>
      <c r="B187" t="s">
        <v>3928</v>
      </c>
      <c r="C187" t="s">
        <v>3321</v>
      </c>
      <c r="D187" t="s">
        <v>3353</v>
      </c>
      <c r="E187" t="s">
        <v>3359</v>
      </c>
      <c r="F187">
        <v>4220</v>
      </c>
      <c r="G187">
        <v>1060</v>
      </c>
      <c r="H187" t="s">
        <v>3929</v>
      </c>
      <c r="I187">
        <v>206</v>
      </c>
      <c r="J187">
        <v>4.5999999999999996</v>
      </c>
      <c r="K187">
        <v>2221</v>
      </c>
      <c r="L187" t="s">
        <v>3361</v>
      </c>
      <c r="M187" t="s">
        <v>3305</v>
      </c>
      <c r="N187" s="1">
        <v>44446</v>
      </c>
      <c r="O187">
        <v>3160</v>
      </c>
      <c r="P187" t="s">
        <v>3324</v>
      </c>
    </row>
    <row r="188" spans="1:16">
      <c r="A188" t="s">
        <v>3930</v>
      </c>
      <c r="B188" t="s">
        <v>3931</v>
      </c>
      <c r="C188" t="s">
        <v>3347</v>
      </c>
      <c r="D188" t="s">
        <v>3353</v>
      </c>
      <c r="E188" t="s">
        <v>3364</v>
      </c>
      <c r="F188">
        <v>6220</v>
      </c>
      <c r="G188">
        <v>2510</v>
      </c>
      <c r="H188" t="s">
        <v>3932</v>
      </c>
      <c r="I188">
        <v>53</v>
      </c>
      <c r="J188">
        <v>3</v>
      </c>
      <c r="K188">
        <v>2705</v>
      </c>
      <c r="L188" t="s">
        <v>3312</v>
      </c>
      <c r="M188" t="s">
        <v>3305</v>
      </c>
      <c r="N188" s="1">
        <v>44029</v>
      </c>
      <c r="O188">
        <v>3710</v>
      </c>
      <c r="P188" t="s">
        <v>3330</v>
      </c>
    </row>
    <row r="189" spans="1:16">
      <c r="A189" t="s">
        <v>3933</v>
      </c>
      <c r="B189" t="s">
        <v>3934</v>
      </c>
      <c r="C189" t="s">
        <v>3316</v>
      </c>
      <c r="D189" t="s">
        <v>3353</v>
      </c>
      <c r="E189" t="s">
        <v>3368</v>
      </c>
      <c r="F189">
        <v>4600</v>
      </c>
      <c r="G189">
        <v>2360</v>
      </c>
      <c r="H189" t="s">
        <v>3594</v>
      </c>
      <c r="I189">
        <v>666</v>
      </c>
      <c r="J189">
        <v>3.2</v>
      </c>
      <c r="K189">
        <v>2353</v>
      </c>
      <c r="L189" t="s">
        <v>3361</v>
      </c>
      <c r="M189" t="s">
        <v>3305</v>
      </c>
      <c r="N189" s="1">
        <v>43708</v>
      </c>
      <c r="O189">
        <v>2240</v>
      </c>
      <c r="P189" t="s">
        <v>3324</v>
      </c>
    </row>
    <row r="190" spans="1:16">
      <c r="A190" t="s">
        <v>3935</v>
      </c>
      <c r="B190" t="s">
        <v>3936</v>
      </c>
      <c r="C190" t="s">
        <v>3504</v>
      </c>
      <c r="D190" t="s">
        <v>3353</v>
      </c>
      <c r="E190" t="s">
        <v>3372</v>
      </c>
      <c r="F190">
        <v>2690</v>
      </c>
      <c r="G190">
        <v>1810</v>
      </c>
      <c r="H190" t="s">
        <v>3937</v>
      </c>
      <c r="I190">
        <v>740</v>
      </c>
      <c r="J190">
        <v>4.7</v>
      </c>
      <c r="K190">
        <v>305</v>
      </c>
      <c r="L190" t="s">
        <v>3335</v>
      </c>
      <c r="M190" t="s">
        <v>3305</v>
      </c>
      <c r="N190" s="1">
        <v>44186</v>
      </c>
      <c r="O190">
        <v>880</v>
      </c>
      <c r="P190" t="s">
        <v>3324</v>
      </c>
    </row>
    <row r="191" spans="1:16">
      <c r="A191" t="s">
        <v>3938</v>
      </c>
      <c r="B191" t="s">
        <v>3939</v>
      </c>
      <c r="C191" t="s">
        <v>3776</v>
      </c>
      <c r="D191" t="s">
        <v>3353</v>
      </c>
      <c r="E191" t="s">
        <v>3376</v>
      </c>
      <c r="F191">
        <v>690</v>
      </c>
      <c r="G191">
        <v>100</v>
      </c>
      <c r="H191" t="s">
        <v>3940</v>
      </c>
      <c r="I191">
        <v>9</v>
      </c>
      <c r="J191">
        <v>3.5</v>
      </c>
      <c r="K191">
        <v>4937</v>
      </c>
      <c r="L191" t="s">
        <v>3304</v>
      </c>
      <c r="M191" t="s">
        <v>3378</v>
      </c>
      <c r="N191" s="1">
        <v>44838</v>
      </c>
      <c r="O191">
        <v>590</v>
      </c>
      <c r="P191" t="s">
        <v>3324</v>
      </c>
    </row>
    <row r="192" spans="1:16">
      <c r="A192" t="s">
        <v>3941</v>
      </c>
      <c r="B192" t="s">
        <v>3942</v>
      </c>
      <c r="C192" t="s">
        <v>3415</v>
      </c>
      <c r="D192" t="s">
        <v>3353</v>
      </c>
      <c r="E192" t="s">
        <v>3382</v>
      </c>
      <c r="F192">
        <v>2320</v>
      </c>
      <c r="G192">
        <v>450</v>
      </c>
      <c r="H192" t="s">
        <v>3755</v>
      </c>
      <c r="I192">
        <v>516</v>
      </c>
      <c r="J192">
        <v>3.8</v>
      </c>
      <c r="K192">
        <v>1579</v>
      </c>
      <c r="L192" t="s">
        <v>3304</v>
      </c>
      <c r="M192" t="s">
        <v>3305</v>
      </c>
      <c r="N192" s="1">
        <v>45345</v>
      </c>
      <c r="O192">
        <v>1870</v>
      </c>
      <c r="P192" t="s">
        <v>3324</v>
      </c>
    </row>
    <row r="193" spans="1:16">
      <c r="A193" t="s">
        <v>3943</v>
      </c>
      <c r="B193" t="s">
        <v>3944</v>
      </c>
      <c r="C193" t="s">
        <v>3546</v>
      </c>
      <c r="D193" t="s">
        <v>3387</v>
      </c>
      <c r="E193" t="s">
        <v>3388</v>
      </c>
      <c r="F193">
        <v>13570</v>
      </c>
      <c r="G193">
        <v>6420</v>
      </c>
      <c r="H193" t="s">
        <v>3945</v>
      </c>
      <c r="I193">
        <v>302</v>
      </c>
      <c r="J193">
        <v>4</v>
      </c>
      <c r="K193">
        <v>1582</v>
      </c>
      <c r="L193" t="s">
        <v>3335</v>
      </c>
      <c r="M193" t="s">
        <v>3305</v>
      </c>
      <c r="N193" s="1">
        <v>45126</v>
      </c>
      <c r="O193">
        <v>7150</v>
      </c>
      <c r="P193" t="s">
        <v>3330</v>
      </c>
    </row>
    <row r="194" spans="1:16">
      <c r="A194" t="s">
        <v>3946</v>
      </c>
      <c r="B194" t="s">
        <v>3947</v>
      </c>
      <c r="C194" t="s">
        <v>3517</v>
      </c>
      <c r="D194" t="s">
        <v>3387</v>
      </c>
      <c r="E194" t="s">
        <v>3392</v>
      </c>
      <c r="F194">
        <v>5780</v>
      </c>
      <c r="G194">
        <v>4240</v>
      </c>
      <c r="H194" t="s">
        <v>3948</v>
      </c>
      <c r="I194">
        <v>97</v>
      </c>
      <c r="J194">
        <v>3.2</v>
      </c>
      <c r="K194">
        <v>1151</v>
      </c>
      <c r="L194" t="s">
        <v>3312</v>
      </c>
      <c r="M194" t="s">
        <v>3305</v>
      </c>
      <c r="N194" s="1">
        <v>44482</v>
      </c>
      <c r="O194">
        <v>1540</v>
      </c>
      <c r="P194" t="s">
        <v>3330</v>
      </c>
    </row>
    <row r="195" spans="1:16">
      <c r="A195" t="s">
        <v>3949</v>
      </c>
      <c r="B195" t="s">
        <v>3950</v>
      </c>
      <c r="C195" t="s">
        <v>3316</v>
      </c>
      <c r="D195" t="s">
        <v>3387</v>
      </c>
      <c r="E195" t="s">
        <v>3397</v>
      </c>
      <c r="F195">
        <v>2130</v>
      </c>
      <c r="G195">
        <v>1720</v>
      </c>
      <c r="H195" t="s">
        <v>3951</v>
      </c>
      <c r="I195">
        <v>273</v>
      </c>
      <c r="J195">
        <v>4.9000000000000004</v>
      </c>
      <c r="K195">
        <v>2473</v>
      </c>
      <c r="L195" t="s">
        <v>3304</v>
      </c>
      <c r="M195" t="s">
        <v>3305</v>
      </c>
      <c r="N195" s="1">
        <v>44938</v>
      </c>
      <c r="O195">
        <v>410</v>
      </c>
      <c r="P195" t="s">
        <v>3324</v>
      </c>
    </row>
    <row r="196" spans="1:16">
      <c r="A196" t="s">
        <v>3952</v>
      </c>
      <c r="B196" t="s">
        <v>3953</v>
      </c>
      <c r="C196" t="s">
        <v>3685</v>
      </c>
      <c r="D196" t="s">
        <v>3402</v>
      </c>
      <c r="E196" t="s">
        <v>3403</v>
      </c>
      <c r="F196">
        <v>2940</v>
      </c>
      <c r="G196">
        <v>1550</v>
      </c>
      <c r="H196" t="s">
        <v>3954</v>
      </c>
      <c r="I196">
        <v>314</v>
      </c>
      <c r="J196">
        <v>3.2</v>
      </c>
      <c r="K196">
        <v>4116</v>
      </c>
      <c r="L196" t="s">
        <v>3361</v>
      </c>
      <c r="M196" t="s">
        <v>3305</v>
      </c>
      <c r="N196" s="1">
        <v>44674</v>
      </c>
      <c r="O196">
        <v>1390</v>
      </c>
      <c r="P196" t="s">
        <v>3324</v>
      </c>
    </row>
    <row r="197" spans="1:16">
      <c r="A197" t="s">
        <v>3955</v>
      </c>
      <c r="B197" t="s">
        <v>3956</v>
      </c>
      <c r="C197" t="s">
        <v>3769</v>
      </c>
      <c r="D197" t="s">
        <v>3301</v>
      </c>
      <c r="E197" t="s">
        <v>3407</v>
      </c>
      <c r="F197">
        <v>9380</v>
      </c>
      <c r="G197">
        <v>7420</v>
      </c>
      <c r="H197" t="s">
        <v>3957</v>
      </c>
      <c r="I197">
        <v>156</v>
      </c>
      <c r="J197">
        <v>3.8</v>
      </c>
      <c r="K197">
        <v>4962</v>
      </c>
      <c r="L197" t="s">
        <v>3361</v>
      </c>
      <c r="M197" t="s">
        <v>3305</v>
      </c>
      <c r="N197" s="1">
        <v>45394</v>
      </c>
      <c r="O197">
        <v>1960</v>
      </c>
      <c r="P197" t="s">
        <v>3330</v>
      </c>
    </row>
    <row r="198" spans="1:16">
      <c r="A198" t="s">
        <v>3958</v>
      </c>
      <c r="B198" t="s">
        <v>3959</v>
      </c>
      <c r="C198" t="s">
        <v>3352</v>
      </c>
      <c r="D198" t="s">
        <v>3301</v>
      </c>
      <c r="E198" t="s">
        <v>3411</v>
      </c>
      <c r="F198">
        <v>40440</v>
      </c>
      <c r="G198">
        <v>27790</v>
      </c>
      <c r="H198" t="s">
        <v>3851</v>
      </c>
      <c r="I198">
        <v>772</v>
      </c>
      <c r="J198">
        <v>4.0999999999999996</v>
      </c>
      <c r="K198">
        <v>670</v>
      </c>
      <c r="L198" t="s">
        <v>3312</v>
      </c>
      <c r="M198" t="s">
        <v>3305</v>
      </c>
      <c r="N198" s="1">
        <v>44947</v>
      </c>
      <c r="O198">
        <v>12650</v>
      </c>
      <c r="P198" t="s">
        <v>3306</v>
      </c>
    </row>
    <row r="199" spans="1:16">
      <c r="A199" t="s">
        <v>3960</v>
      </c>
      <c r="B199" t="s">
        <v>3961</v>
      </c>
      <c r="C199" t="s">
        <v>3437</v>
      </c>
      <c r="D199" t="s">
        <v>3301</v>
      </c>
      <c r="E199" t="s">
        <v>3416</v>
      </c>
      <c r="F199">
        <v>83780</v>
      </c>
      <c r="G199">
        <v>67170</v>
      </c>
      <c r="H199" t="s">
        <v>3962</v>
      </c>
      <c r="I199">
        <v>517</v>
      </c>
      <c r="J199">
        <v>3.2</v>
      </c>
      <c r="K199">
        <v>4396</v>
      </c>
      <c r="L199" t="s">
        <v>3335</v>
      </c>
      <c r="M199" t="s">
        <v>3305</v>
      </c>
      <c r="N199" s="1">
        <v>45597</v>
      </c>
      <c r="O199">
        <v>16610</v>
      </c>
      <c r="P199" t="s">
        <v>3313</v>
      </c>
    </row>
    <row r="200" spans="1:16">
      <c r="A200" t="s">
        <v>3963</v>
      </c>
      <c r="B200" t="s">
        <v>3964</v>
      </c>
      <c r="C200" t="s">
        <v>3597</v>
      </c>
      <c r="D200" t="s">
        <v>3353</v>
      </c>
      <c r="E200" t="s">
        <v>3421</v>
      </c>
      <c r="F200">
        <v>10050</v>
      </c>
      <c r="G200">
        <v>8310</v>
      </c>
      <c r="H200" t="s">
        <v>3965</v>
      </c>
      <c r="I200">
        <v>93</v>
      </c>
      <c r="J200">
        <v>4.8</v>
      </c>
      <c r="K200">
        <v>3649</v>
      </c>
      <c r="L200" t="s">
        <v>3304</v>
      </c>
      <c r="M200" t="s">
        <v>3305</v>
      </c>
      <c r="N200" s="1">
        <v>45568</v>
      </c>
      <c r="O200">
        <v>1740</v>
      </c>
      <c r="P200" t="s">
        <v>3330</v>
      </c>
    </row>
    <row r="201" spans="1:16">
      <c r="A201" t="s">
        <v>3966</v>
      </c>
      <c r="B201" t="s">
        <v>3967</v>
      </c>
      <c r="C201" t="s">
        <v>3396</v>
      </c>
      <c r="D201" t="s">
        <v>3353</v>
      </c>
      <c r="E201" t="s">
        <v>3426</v>
      </c>
      <c r="F201">
        <v>10150</v>
      </c>
      <c r="G201">
        <v>4390</v>
      </c>
      <c r="H201" t="s">
        <v>3968</v>
      </c>
      <c r="I201">
        <v>688</v>
      </c>
      <c r="J201">
        <v>4.5999999999999996</v>
      </c>
      <c r="K201">
        <v>178</v>
      </c>
      <c r="L201" t="s">
        <v>3312</v>
      </c>
      <c r="M201" t="s">
        <v>3305</v>
      </c>
      <c r="N201" s="1">
        <v>43478</v>
      </c>
      <c r="O201">
        <v>5760</v>
      </c>
      <c r="P201" t="s">
        <v>3330</v>
      </c>
    </row>
    <row r="202" spans="1:16">
      <c r="A202" t="s">
        <v>3969</v>
      </c>
      <c r="B202" t="s">
        <v>3970</v>
      </c>
      <c r="C202" t="s">
        <v>3420</v>
      </c>
      <c r="D202" t="s">
        <v>3301</v>
      </c>
      <c r="E202" t="s">
        <v>3302</v>
      </c>
      <c r="F202">
        <v>13940</v>
      </c>
      <c r="G202">
        <v>8470</v>
      </c>
      <c r="H202" t="s">
        <v>3971</v>
      </c>
      <c r="I202">
        <v>352</v>
      </c>
      <c r="J202">
        <v>4.3</v>
      </c>
      <c r="K202">
        <v>4433</v>
      </c>
      <c r="L202" t="s">
        <v>3304</v>
      </c>
      <c r="M202" t="s">
        <v>3378</v>
      </c>
      <c r="N202" s="1">
        <v>43748</v>
      </c>
      <c r="O202">
        <v>5470</v>
      </c>
      <c r="P202" t="s">
        <v>3330</v>
      </c>
    </row>
    <row r="203" spans="1:16">
      <c r="A203" t="s">
        <v>3972</v>
      </c>
      <c r="B203" t="s">
        <v>3973</v>
      </c>
      <c r="C203" t="s">
        <v>3487</v>
      </c>
      <c r="D203" t="s">
        <v>3301</v>
      </c>
      <c r="E203" t="s">
        <v>3310</v>
      </c>
      <c r="F203">
        <v>48590</v>
      </c>
      <c r="G203">
        <v>22440</v>
      </c>
      <c r="H203" t="s">
        <v>3974</v>
      </c>
      <c r="I203">
        <v>784</v>
      </c>
      <c r="J203">
        <v>4.2</v>
      </c>
      <c r="K203">
        <v>3443</v>
      </c>
      <c r="L203" t="s">
        <v>3361</v>
      </c>
      <c r="M203" t="s">
        <v>3378</v>
      </c>
      <c r="N203" s="1">
        <v>45032</v>
      </c>
      <c r="O203">
        <v>26150</v>
      </c>
      <c r="P203" t="s">
        <v>3306</v>
      </c>
    </row>
    <row r="204" spans="1:16">
      <c r="A204" t="s">
        <v>3975</v>
      </c>
      <c r="B204" t="s">
        <v>3976</v>
      </c>
      <c r="C204" t="s">
        <v>3597</v>
      </c>
      <c r="D204" t="s">
        <v>3301</v>
      </c>
      <c r="E204" t="s">
        <v>3317</v>
      </c>
      <c r="F204">
        <v>29430</v>
      </c>
      <c r="G204">
        <v>19400</v>
      </c>
      <c r="H204" t="s">
        <v>3977</v>
      </c>
      <c r="I204">
        <v>121</v>
      </c>
      <c r="J204">
        <v>3.2</v>
      </c>
      <c r="K204">
        <v>4401</v>
      </c>
      <c r="L204" t="s">
        <v>3312</v>
      </c>
      <c r="M204" t="s">
        <v>3305</v>
      </c>
      <c r="N204" s="1">
        <v>44378</v>
      </c>
      <c r="O204">
        <v>10030</v>
      </c>
      <c r="P204" t="s">
        <v>3306</v>
      </c>
    </row>
    <row r="205" spans="1:16">
      <c r="A205" t="s">
        <v>3978</v>
      </c>
      <c r="B205" t="s">
        <v>3979</v>
      </c>
      <c r="C205" t="s">
        <v>3316</v>
      </c>
      <c r="D205" t="s">
        <v>3301</v>
      </c>
      <c r="E205" t="s">
        <v>3322</v>
      </c>
      <c r="F205">
        <v>28290</v>
      </c>
      <c r="G205">
        <v>17730</v>
      </c>
      <c r="H205" t="s">
        <v>3980</v>
      </c>
      <c r="I205">
        <v>388</v>
      </c>
      <c r="J205">
        <v>4.5999999999999996</v>
      </c>
      <c r="K205">
        <v>2027</v>
      </c>
      <c r="L205" t="s">
        <v>3312</v>
      </c>
      <c r="M205" t="s">
        <v>3305</v>
      </c>
      <c r="N205" s="1">
        <v>44595</v>
      </c>
      <c r="O205">
        <v>10560</v>
      </c>
      <c r="P205" t="s">
        <v>3306</v>
      </c>
    </row>
    <row r="206" spans="1:16">
      <c r="A206" t="s">
        <v>3981</v>
      </c>
      <c r="B206" t="s">
        <v>3982</v>
      </c>
      <c r="C206" t="s">
        <v>3491</v>
      </c>
      <c r="D206" t="s">
        <v>3301</v>
      </c>
      <c r="E206" t="s">
        <v>3328</v>
      </c>
      <c r="F206">
        <v>14040</v>
      </c>
      <c r="G206">
        <v>10250</v>
      </c>
      <c r="H206" t="s">
        <v>3393</v>
      </c>
      <c r="I206">
        <v>784</v>
      </c>
      <c r="J206">
        <v>4.9000000000000004</v>
      </c>
      <c r="K206">
        <v>128</v>
      </c>
      <c r="L206" t="s">
        <v>3335</v>
      </c>
      <c r="M206" t="s">
        <v>3305</v>
      </c>
      <c r="N206" s="1">
        <v>43879</v>
      </c>
      <c r="O206">
        <v>3790</v>
      </c>
      <c r="P206" t="s">
        <v>3330</v>
      </c>
    </row>
    <row r="207" spans="1:16">
      <c r="A207" t="s">
        <v>3983</v>
      </c>
      <c r="B207" t="s">
        <v>3984</v>
      </c>
      <c r="C207" t="s">
        <v>3593</v>
      </c>
      <c r="D207" t="s">
        <v>3301</v>
      </c>
      <c r="E207" t="s">
        <v>3333</v>
      </c>
      <c r="F207">
        <v>22720</v>
      </c>
      <c r="G207">
        <v>11920</v>
      </c>
      <c r="H207" t="s">
        <v>3985</v>
      </c>
      <c r="I207">
        <v>49</v>
      </c>
      <c r="J207">
        <v>3.3</v>
      </c>
      <c r="K207">
        <v>362</v>
      </c>
      <c r="L207" t="s">
        <v>3312</v>
      </c>
      <c r="M207" t="s">
        <v>3305</v>
      </c>
      <c r="N207" s="1">
        <v>44355</v>
      </c>
      <c r="O207">
        <v>10800</v>
      </c>
      <c r="P207" t="s">
        <v>3306</v>
      </c>
    </row>
    <row r="208" spans="1:16">
      <c r="A208" t="s">
        <v>3986</v>
      </c>
      <c r="B208" t="s">
        <v>3987</v>
      </c>
      <c r="C208" t="s">
        <v>3352</v>
      </c>
      <c r="D208" t="s">
        <v>3301</v>
      </c>
      <c r="E208" t="s">
        <v>3338</v>
      </c>
      <c r="F208">
        <v>19960</v>
      </c>
      <c r="G208">
        <v>4440</v>
      </c>
      <c r="H208" t="s">
        <v>3988</v>
      </c>
      <c r="I208">
        <v>749</v>
      </c>
      <c r="J208">
        <v>4.0999999999999996</v>
      </c>
      <c r="K208">
        <v>4730</v>
      </c>
      <c r="L208" t="s">
        <v>3361</v>
      </c>
      <c r="M208" t="s">
        <v>3305</v>
      </c>
      <c r="N208" s="1">
        <v>44052</v>
      </c>
      <c r="O208">
        <v>15520</v>
      </c>
      <c r="P208" t="s">
        <v>3330</v>
      </c>
    </row>
    <row r="209" spans="1:16">
      <c r="A209" t="s">
        <v>3989</v>
      </c>
      <c r="B209" t="s">
        <v>3990</v>
      </c>
      <c r="C209" t="s">
        <v>3477</v>
      </c>
      <c r="D209" t="s">
        <v>3301</v>
      </c>
      <c r="E209" t="s">
        <v>3343</v>
      </c>
      <c r="F209">
        <v>3460</v>
      </c>
      <c r="G209">
        <v>1730</v>
      </c>
      <c r="H209" t="s">
        <v>3647</v>
      </c>
      <c r="I209">
        <v>62</v>
      </c>
      <c r="J209">
        <v>4</v>
      </c>
      <c r="K209">
        <v>4846</v>
      </c>
      <c r="L209" t="s">
        <v>3335</v>
      </c>
      <c r="M209" t="s">
        <v>3305</v>
      </c>
      <c r="N209" s="1">
        <v>45215</v>
      </c>
      <c r="O209">
        <v>1730</v>
      </c>
      <c r="P209" t="s">
        <v>3324</v>
      </c>
    </row>
    <row r="210" spans="1:16">
      <c r="A210" t="s">
        <v>3991</v>
      </c>
      <c r="B210" t="s">
        <v>3992</v>
      </c>
      <c r="C210" t="s">
        <v>3451</v>
      </c>
      <c r="D210" t="s">
        <v>3301</v>
      </c>
      <c r="E210" t="s">
        <v>3348</v>
      </c>
      <c r="F210">
        <v>49160</v>
      </c>
      <c r="G210">
        <v>29980</v>
      </c>
      <c r="H210" t="s">
        <v>3993</v>
      </c>
      <c r="I210">
        <v>537</v>
      </c>
      <c r="J210">
        <v>3.5</v>
      </c>
      <c r="K210">
        <v>3410</v>
      </c>
      <c r="L210" t="s">
        <v>3312</v>
      </c>
      <c r="M210" t="s">
        <v>3305</v>
      </c>
      <c r="N210" s="1">
        <v>45007</v>
      </c>
      <c r="O210">
        <v>19180</v>
      </c>
      <c r="P210" t="s">
        <v>3306</v>
      </c>
    </row>
    <row r="211" spans="1:16">
      <c r="A211" t="s">
        <v>3994</v>
      </c>
      <c r="B211" t="s">
        <v>3995</v>
      </c>
      <c r="C211" t="s">
        <v>3553</v>
      </c>
      <c r="D211" t="s">
        <v>3353</v>
      </c>
      <c r="E211" t="s">
        <v>3354</v>
      </c>
      <c r="F211">
        <v>3990</v>
      </c>
      <c r="G211">
        <v>1410</v>
      </c>
      <c r="H211" t="s">
        <v>3398</v>
      </c>
      <c r="I211">
        <v>724</v>
      </c>
      <c r="J211">
        <v>3.1</v>
      </c>
      <c r="K211">
        <v>3793</v>
      </c>
      <c r="L211" t="s">
        <v>3304</v>
      </c>
      <c r="M211" t="s">
        <v>3305</v>
      </c>
      <c r="N211" s="1">
        <v>45172</v>
      </c>
      <c r="O211">
        <v>2580</v>
      </c>
      <c r="P211" t="s">
        <v>3324</v>
      </c>
    </row>
    <row r="212" spans="1:16">
      <c r="A212" t="s">
        <v>3996</v>
      </c>
      <c r="B212" t="s">
        <v>3997</v>
      </c>
      <c r="C212" t="s">
        <v>3451</v>
      </c>
      <c r="D212" t="s">
        <v>3353</v>
      </c>
      <c r="E212" t="s">
        <v>3359</v>
      </c>
      <c r="F212">
        <v>2290</v>
      </c>
      <c r="G212">
        <v>700</v>
      </c>
      <c r="H212" t="s">
        <v>3998</v>
      </c>
      <c r="I212">
        <v>208</v>
      </c>
      <c r="J212">
        <v>3.5</v>
      </c>
      <c r="K212">
        <v>647</v>
      </c>
      <c r="L212" t="s">
        <v>3312</v>
      </c>
      <c r="M212" t="s">
        <v>3305</v>
      </c>
      <c r="N212" s="1">
        <v>43844</v>
      </c>
      <c r="O212">
        <v>1590</v>
      </c>
      <c r="P212" t="s">
        <v>3324</v>
      </c>
    </row>
    <row r="213" spans="1:16">
      <c r="A213" t="s">
        <v>3999</v>
      </c>
      <c r="B213" t="s">
        <v>4000</v>
      </c>
      <c r="C213" t="s">
        <v>3441</v>
      </c>
      <c r="D213" t="s">
        <v>3353</v>
      </c>
      <c r="E213" t="s">
        <v>3364</v>
      </c>
      <c r="F213">
        <v>4090</v>
      </c>
      <c r="G213">
        <v>3360</v>
      </c>
      <c r="H213" t="s">
        <v>3598</v>
      </c>
      <c r="I213">
        <v>619</v>
      </c>
      <c r="J213">
        <v>4.0999999999999996</v>
      </c>
      <c r="K213">
        <v>596</v>
      </c>
      <c r="L213" t="s">
        <v>3335</v>
      </c>
      <c r="M213" t="s">
        <v>3305</v>
      </c>
      <c r="N213" s="1">
        <v>44354</v>
      </c>
      <c r="O213">
        <v>730</v>
      </c>
      <c r="P213" t="s">
        <v>3324</v>
      </c>
    </row>
    <row r="214" spans="1:16">
      <c r="A214" t="s">
        <v>4001</v>
      </c>
      <c r="B214" t="s">
        <v>4002</v>
      </c>
      <c r="C214" t="s">
        <v>3487</v>
      </c>
      <c r="D214" t="s">
        <v>3353</v>
      </c>
      <c r="E214" t="s">
        <v>3368</v>
      </c>
      <c r="F214">
        <v>820</v>
      </c>
      <c r="G214">
        <v>510</v>
      </c>
      <c r="H214" t="s">
        <v>4003</v>
      </c>
      <c r="I214">
        <v>194</v>
      </c>
      <c r="J214">
        <v>4.9000000000000004</v>
      </c>
      <c r="K214">
        <v>961</v>
      </c>
      <c r="L214" t="s">
        <v>3312</v>
      </c>
      <c r="M214" t="s">
        <v>3378</v>
      </c>
      <c r="N214" s="1">
        <v>44303</v>
      </c>
      <c r="O214">
        <v>310</v>
      </c>
      <c r="P214" t="s">
        <v>3324</v>
      </c>
    </row>
    <row r="215" spans="1:16">
      <c r="A215" t="s">
        <v>4004</v>
      </c>
      <c r="B215" t="s">
        <v>4005</v>
      </c>
      <c r="C215" t="s">
        <v>3342</v>
      </c>
      <c r="D215" t="s">
        <v>3353</v>
      </c>
      <c r="E215" t="s">
        <v>3372</v>
      </c>
      <c r="F215">
        <v>3680</v>
      </c>
      <c r="G215">
        <v>1460</v>
      </c>
      <c r="H215" t="s">
        <v>4006</v>
      </c>
      <c r="I215">
        <v>389</v>
      </c>
      <c r="J215">
        <v>3.8</v>
      </c>
      <c r="K215">
        <v>2943</v>
      </c>
      <c r="L215" t="s">
        <v>3361</v>
      </c>
      <c r="M215" t="s">
        <v>3305</v>
      </c>
      <c r="N215" s="1">
        <v>45566</v>
      </c>
      <c r="O215">
        <v>2220</v>
      </c>
      <c r="P215" t="s">
        <v>3324</v>
      </c>
    </row>
    <row r="216" spans="1:16">
      <c r="A216" t="s">
        <v>4007</v>
      </c>
      <c r="B216" t="s">
        <v>4008</v>
      </c>
      <c r="C216" t="s">
        <v>3654</v>
      </c>
      <c r="D216" t="s">
        <v>3353</v>
      </c>
      <c r="E216" t="s">
        <v>3376</v>
      </c>
      <c r="F216">
        <v>1060</v>
      </c>
      <c r="G216">
        <v>840</v>
      </c>
      <c r="H216" t="s">
        <v>4009</v>
      </c>
      <c r="I216">
        <v>327</v>
      </c>
      <c r="J216">
        <v>4.8</v>
      </c>
      <c r="K216">
        <v>3036</v>
      </c>
      <c r="L216" t="s">
        <v>3361</v>
      </c>
      <c r="M216" t="s">
        <v>3305</v>
      </c>
      <c r="N216" s="1">
        <v>44372</v>
      </c>
      <c r="O216">
        <v>220</v>
      </c>
      <c r="P216" t="s">
        <v>3324</v>
      </c>
    </row>
    <row r="217" spans="1:16">
      <c r="A217" t="s">
        <v>4010</v>
      </c>
      <c r="B217" t="s">
        <v>4011</v>
      </c>
      <c r="C217" t="s">
        <v>3420</v>
      </c>
      <c r="D217" t="s">
        <v>3353</v>
      </c>
      <c r="E217" t="s">
        <v>3382</v>
      </c>
      <c r="F217">
        <v>2560</v>
      </c>
      <c r="G217">
        <v>1380</v>
      </c>
      <c r="H217" t="s">
        <v>4012</v>
      </c>
      <c r="I217">
        <v>593</v>
      </c>
      <c r="J217">
        <v>4.4000000000000004</v>
      </c>
      <c r="K217">
        <v>2418</v>
      </c>
      <c r="L217" t="s">
        <v>3335</v>
      </c>
      <c r="M217" t="s">
        <v>3305</v>
      </c>
      <c r="N217" s="1">
        <v>44408</v>
      </c>
      <c r="O217">
        <v>1180</v>
      </c>
      <c r="P217" t="s">
        <v>3324</v>
      </c>
    </row>
    <row r="218" spans="1:16">
      <c r="A218" t="s">
        <v>4013</v>
      </c>
      <c r="B218" t="s">
        <v>4014</v>
      </c>
      <c r="C218" t="s">
        <v>3462</v>
      </c>
      <c r="D218" t="s">
        <v>3387</v>
      </c>
      <c r="E218" t="s">
        <v>3388</v>
      </c>
      <c r="F218">
        <v>10520</v>
      </c>
      <c r="G218">
        <v>6260</v>
      </c>
      <c r="H218" t="s">
        <v>3369</v>
      </c>
      <c r="I218">
        <v>701</v>
      </c>
      <c r="J218">
        <v>3.5</v>
      </c>
      <c r="K218">
        <v>4002</v>
      </c>
      <c r="L218" t="s">
        <v>3312</v>
      </c>
      <c r="M218" t="s">
        <v>3305</v>
      </c>
      <c r="N218" s="1">
        <v>44908</v>
      </c>
      <c r="O218">
        <v>4260</v>
      </c>
      <c r="P218" t="s">
        <v>3330</v>
      </c>
    </row>
    <row r="219" spans="1:16">
      <c r="A219" t="s">
        <v>4015</v>
      </c>
      <c r="B219" t="s">
        <v>4016</v>
      </c>
      <c r="C219" t="s">
        <v>217</v>
      </c>
      <c r="D219" t="s">
        <v>3387</v>
      </c>
      <c r="E219" t="s">
        <v>3392</v>
      </c>
      <c r="F219">
        <v>4010</v>
      </c>
      <c r="G219">
        <v>3380</v>
      </c>
      <c r="H219" t="s">
        <v>4017</v>
      </c>
      <c r="I219">
        <v>555</v>
      </c>
      <c r="J219">
        <v>5</v>
      </c>
      <c r="K219">
        <v>481</v>
      </c>
      <c r="L219" t="s">
        <v>3304</v>
      </c>
      <c r="M219" t="s">
        <v>3305</v>
      </c>
      <c r="N219" s="1">
        <v>43770</v>
      </c>
      <c r="O219">
        <v>630</v>
      </c>
      <c r="P219" t="s">
        <v>3324</v>
      </c>
    </row>
    <row r="220" spans="1:16">
      <c r="A220" t="s">
        <v>4018</v>
      </c>
      <c r="B220" t="s">
        <v>4019</v>
      </c>
      <c r="C220" t="s">
        <v>3477</v>
      </c>
      <c r="D220" t="s">
        <v>3387</v>
      </c>
      <c r="E220" t="s">
        <v>3397</v>
      </c>
      <c r="F220">
        <v>860</v>
      </c>
      <c r="G220">
        <v>420</v>
      </c>
      <c r="H220" t="s">
        <v>4020</v>
      </c>
      <c r="I220">
        <v>69</v>
      </c>
      <c r="J220">
        <v>4.4000000000000004</v>
      </c>
      <c r="K220">
        <v>74</v>
      </c>
      <c r="L220" t="s">
        <v>3335</v>
      </c>
      <c r="M220" t="s">
        <v>3305</v>
      </c>
      <c r="N220" s="1">
        <v>44994</v>
      </c>
      <c r="O220">
        <v>440</v>
      </c>
      <c r="P220" t="s">
        <v>3324</v>
      </c>
    </row>
    <row r="221" spans="1:16">
      <c r="A221" t="s">
        <v>4021</v>
      </c>
      <c r="B221" t="s">
        <v>4022</v>
      </c>
      <c r="C221" t="s">
        <v>3401</v>
      </c>
      <c r="D221" t="s">
        <v>3402</v>
      </c>
      <c r="E221" t="s">
        <v>3403</v>
      </c>
      <c r="F221">
        <v>11800</v>
      </c>
      <c r="G221">
        <v>4600</v>
      </c>
      <c r="H221" t="s">
        <v>3560</v>
      </c>
      <c r="I221">
        <v>16</v>
      </c>
      <c r="J221">
        <v>2.8</v>
      </c>
      <c r="K221">
        <v>4519</v>
      </c>
      <c r="L221" t="s">
        <v>3312</v>
      </c>
      <c r="M221" t="s">
        <v>3305</v>
      </c>
      <c r="N221" s="1">
        <v>45634</v>
      </c>
      <c r="O221">
        <v>7200</v>
      </c>
      <c r="P221" t="s">
        <v>3330</v>
      </c>
    </row>
    <row r="222" spans="1:16">
      <c r="A222" t="s">
        <v>4023</v>
      </c>
      <c r="B222" t="s">
        <v>4024</v>
      </c>
      <c r="C222" t="s">
        <v>3628</v>
      </c>
      <c r="D222" t="s">
        <v>3301</v>
      </c>
      <c r="E222" t="s">
        <v>3407</v>
      </c>
      <c r="F222">
        <v>5560</v>
      </c>
      <c r="G222">
        <v>4530</v>
      </c>
      <c r="H222" t="s">
        <v>3793</v>
      </c>
      <c r="I222">
        <v>714</v>
      </c>
      <c r="J222">
        <v>4.3</v>
      </c>
      <c r="K222">
        <v>1468</v>
      </c>
      <c r="L222" t="s">
        <v>3304</v>
      </c>
      <c r="M222" t="s">
        <v>3378</v>
      </c>
      <c r="N222" s="1">
        <v>45613</v>
      </c>
      <c r="O222">
        <v>1030</v>
      </c>
      <c r="P222" t="s">
        <v>3330</v>
      </c>
    </row>
    <row r="223" spans="1:16">
      <c r="A223" t="s">
        <v>4025</v>
      </c>
      <c r="B223" t="s">
        <v>4026</v>
      </c>
      <c r="C223" t="s">
        <v>3650</v>
      </c>
      <c r="D223" t="s">
        <v>3301</v>
      </c>
      <c r="E223" t="s">
        <v>3411</v>
      </c>
      <c r="F223">
        <v>77000</v>
      </c>
      <c r="G223">
        <v>22040</v>
      </c>
      <c r="H223" t="s">
        <v>4027</v>
      </c>
      <c r="I223">
        <v>362</v>
      </c>
      <c r="J223">
        <v>3.4</v>
      </c>
      <c r="K223">
        <v>3251</v>
      </c>
      <c r="L223" t="s">
        <v>3304</v>
      </c>
      <c r="M223" t="s">
        <v>3305</v>
      </c>
      <c r="N223" s="1">
        <v>45129</v>
      </c>
      <c r="O223">
        <v>54960</v>
      </c>
      <c r="P223" t="s">
        <v>3313</v>
      </c>
    </row>
    <row r="224" spans="1:16">
      <c r="A224" t="s">
        <v>4028</v>
      </c>
      <c r="B224" t="s">
        <v>4029</v>
      </c>
      <c r="C224" t="s">
        <v>3498</v>
      </c>
      <c r="D224" t="s">
        <v>3301</v>
      </c>
      <c r="E224" t="s">
        <v>3416</v>
      </c>
      <c r="F224">
        <v>41600</v>
      </c>
      <c r="G224">
        <v>17830</v>
      </c>
      <c r="H224" t="s">
        <v>4030</v>
      </c>
      <c r="I224">
        <v>700</v>
      </c>
      <c r="J224">
        <v>4.5999999999999996</v>
      </c>
      <c r="K224">
        <v>660</v>
      </c>
      <c r="L224" t="s">
        <v>3304</v>
      </c>
      <c r="M224" t="s">
        <v>3305</v>
      </c>
      <c r="N224" s="1">
        <v>45019</v>
      </c>
      <c r="O224">
        <v>23770</v>
      </c>
      <c r="P224" t="s">
        <v>3306</v>
      </c>
    </row>
    <row r="225" spans="1:16">
      <c r="A225" t="s">
        <v>4031</v>
      </c>
      <c r="B225" t="s">
        <v>4032</v>
      </c>
      <c r="C225" t="s">
        <v>3462</v>
      </c>
      <c r="D225" t="s">
        <v>3353</v>
      </c>
      <c r="E225" t="s">
        <v>3421</v>
      </c>
      <c r="F225">
        <v>10930</v>
      </c>
      <c r="G225">
        <v>450</v>
      </c>
      <c r="H225" t="s">
        <v>4033</v>
      </c>
      <c r="I225">
        <v>719</v>
      </c>
      <c r="J225">
        <v>3.2</v>
      </c>
      <c r="K225">
        <v>4094</v>
      </c>
      <c r="L225" t="s">
        <v>3312</v>
      </c>
      <c r="M225" t="s">
        <v>3305</v>
      </c>
      <c r="N225" s="1">
        <v>44822</v>
      </c>
      <c r="O225">
        <v>10480</v>
      </c>
      <c r="P225" t="s">
        <v>3330</v>
      </c>
    </row>
    <row r="226" spans="1:16">
      <c r="A226" t="s">
        <v>4034</v>
      </c>
      <c r="B226" t="s">
        <v>4035</v>
      </c>
      <c r="C226" t="s">
        <v>3327</v>
      </c>
      <c r="D226" t="s">
        <v>3353</v>
      </c>
      <c r="E226" t="s">
        <v>3426</v>
      </c>
      <c r="F226">
        <v>4760</v>
      </c>
      <c r="G226">
        <v>1460</v>
      </c>
      <c r="H226" t="s">
        <v>4036</v>
      </c>
      <c r="I226">
        <v>708</v>
      </c>
      <c r="J226">
        <v>4.8</v>
      </c>
      <c r="K226">
        <v>3895</v>
      </c>
      <c r="L226" t="s">
        <v>3361</v>
      </c>
      <c r="M226" t="s">
        <v>3305</v>
      </c>
      <c r="N226" s="1">
        <v>43770</v>
      </c>
      <c r="O226">
        <v>3300</v>
      </c>
      <c r="P226" t="s">
        <v>3324</v>
      </c>
    </row>
    <row r="227" spans="1:16">
      <c r="A227" t="s">
        <v>4037</v>
      </c>
      <c r="B227" t="s">
        <v>4038</v>
      </c>
      <c r="C227" t="s">
        <v>3539</v>
      </c>
      <c r="D227" t="s">
        <v>3301</v>
      </c>
      <c r="E227" t="s">
        <v>3302</v>
      </c>
      <c r="F227">
        <v>94260</v>
      </c>
      <c r="G227">
        <v>7160</v>
      </c>
      <c r="H227" t="s">
        <v>4039</v>
      </c>
      <c r="I227">
        <v>183</v>
      </c>
      <c r="J227">
        <v>4.8</v>
      </c>
      <c r="K227">
        <v>2576</v>
      </c>
      <c r="L227" t="s">
        <v>3304</v>
      </c>
      <c r="M227" t="s">
        <v>3378</v>
      </c>
      <c r="N227" s="1">
        <v>44056</v>
      </c>
      <c r="O227">
        <v>87100</v>
      </c>
      <c r="P227" t="s">
        <v>3313</v>
      </c>
    </row>
    <row r="228" spans="1:16">
      <c r="A228" t="s">
        <v>4040</v>
      </c>
      <c r="B228" t="s">
        <v>4041</v>
      </c>
      <c r="C228" t="s">
        <v>3352</v>
      </c>
      <c r="D228" t="s">
        <v>3301</v>
      </c>
      <c r="E228" t="s">
        <v>3310</v>
      </c>
      <c r="F228">
        <v>46290</v>
      </c>
      <c r="G228">
        <v>36480</v>
      </c>
      <c r="H228" t="s">
        <v>4042</v>
      </c>
      <c r="I228">
        <v>246</v>
      </c>
      <c r="J228">
        <v>4</v>
      </c>
      <c r="K228">
        <v>3187</v>
      </c>
      <c r="L228" t="s">
        <v>3361</v>
      </c>
      <c r="M228" t="s">
        <v>3305</v>
      </c>
      <c r="N228" s="1">
        <v>44039</v>
      </c>
      <c r="O228">
        <v>9810</v>
      </c>
      <c r="P228" t="s">
        <v>3306</v>
      </c>
    </row>
    <row r="229" spans="1:16">
      <c r="A229" t="s">
        <v>4043</v>
      </c>
      <c r="B229" t="s">
        <v>4044</v>
      </c>
      <c r="C229" t="s">
        <v>3685</v>
      </c>
      <c r="D229" t="s">
        <v>3301</v>
      </c>
      <c r="E229" t="s">
        <v>3317</v>
      </c>
      <c r="F229">
        <v>57330</v>
      </c>
      <c r="G229">
        <v>11520</v>
      </c>
      <c r="H229" t="s">
        <v>4045</v>
      </c>
      <c r="I229">
        <v>100</v>
      </c>
      <c r="J229">
        <v>3.8</v>
      </c>
      <c r="K229">
        <v>622</v>
      </c>
      <c r="L229" t="s">
        <v>3361</v>
      </c>
      <c r="M229" t="s">
        <v>3305</v>
      </c>
      <c r="N229" s="1">
        <v>45090</v>
      </c>
      <c r="O229">
        <v>45810</v>
      </c>
      <c r="P229" t="s">
        <v>3313</v>
      </c>
    </row>
    <row r="230" spans="1:16">
      <c r="A230" t="s">
        <v>4046</v>
      </c>
      <c r="B230" t="s">
        <v>4047</v>
      </c>
      <c r="C230" t="s">
        <v>3504</v>
      </c>
      <c r="D230" t="s">
        <v>3301</v>
      </c>
      <c r="E230" t="s">
        <v>3322</v>
      </c>
      <c r="F230">
        <v>18410</v>
      </c>
      <c r="G230">
        <v>13140</v>
      </c>
      <c r="H230" t="s">
        <v>4048</v>
      </c>
      <c r="I230">
        <v>461</v>
      </c>
      <c r="J230">
        <v>3.9</v>
      </c>
      <c r="K230">
        <v>2914</v>
      </c>
      <c r="L230" t="s">
        <v>3312</v>
      </c>
      <c r="M230" t="s">
        <v>3305</v>
      </c>
      <c r="N230" s="1">
        <v>45022</v>
      </c>
      <c r="O230">
        <v>5270</v>
      </c>
      <c r="P230" t="s">
        <v>3330</v>
      </c>
    </row>
    <row r="231" spans="1:16">
      <c r="A231" t="s">
        <v>4049</v>
      </c>
      <c r="B231" t="s">
        <v>4050</v>
      </c>
      <c r="C231" t="s">
        <v>3425</v>
      </c>
      <c r="D231" t="s">
        <v>3301</v>
      </c>
      <c r="E231" t="s">
        <v>3328</v>
      </c>
      <c r="F231">
        <v>2710</v>
      </c>
      <c r="G231">
        <v>520</v>
      </c>
      <c r="H231" t="s">
        <v>3448</v>
      </c>
      <c r="I231">
        <v>274</v>
      </c>
      <c r="J231">
        <v>3.1</v>
      </c>
      <c r="K231">
        <v>1263</v>
      </c>
      <c r="L231" t="s">
        <v>3312</v>
      </c>
      <c r="M231" t="s">
        <v>3305</v>
      </c>
      <c r="N231" s="1">
        <v>43902</v>
      </c>
      <c r="O231">
        <v>2190</v>
      </c>
      <c r="P231" t="s">
        <v>3324</v>
      </c>
    </row>
    <row r="232" spans="1:16">
      <c r="A232" t="s">
        <v>4051</v>
      </c>
      <c r="B232" t="s">
        <v>4052</v>
      </c>
      <c r="C232" t="s">
        <v>3425</v>
      </c>
      <c r="D232" t="s">
        <v>3301</v>
      </c>
      <c r="E232" t="s">
        <v>3333</v>
      </c>
      <c r="F232">
        <v>12490</v>
      </c>
      <c r="G232">
        <v>4820</v>
      </c>
      <c r="H232" t="s">
        <v>4053</v>
      </c>
      <c r="I232">
        <v>104</v>
      </c>
      <c r="J232">
        <v>3.1</v>
      </c>
      <c r="K232">
        <v>1535</v>
      </c>
      <c r="L232" t="s">
        <v>3312</v>
      </c>
      <c r="M232" t="s">
        <v>3305</v>
      </c>
      <c r="N232" s="1">
        <v>45564</v>
      </c>
      <c r="O232">
        <v>7670</v>
      </c>
      <c r="P232" t="s">
        <v>3330</v>
      </c>
    </row>
    <row r="233" spans="1:16">
      <c r="A233" t="s">
        <v>4054</v>
      </c>
      <c r="B233" t="s">
        <v>4055</v>
      </c>
      <c r="C233" t="s">
        <v>3396</v>
      </c>
      <c r="D233" t="s">
        <v>3301</v>
      </c>
      <c r="E233" t="s">
        <v>3338</v>
      </c>
      <c r="F233">
        <v>24190</v>
      </c>
      <c r="G233">
        <v>18760</v>
      </c>
      <c r="H233" t="s">
        <v>4056</v>
      </c>
      <c r="I233">
        <v>95</v>
      </c>
      <c r="J233">
        <v>4.0999999999999996</v>
      </c>
      <c r="K233">
        <v>2657</v>
      </c>
      <c r="L233" t="s">
        <v>3312</v>
      </c>
      <c r="M233" t="s">
        <v>3305</v>
      </c>
      <c r="N233" s="1">
        <v>45160</v>
      </c>
      <c r="O233">
        <v>5430</v>
      </c>
      <c r="P233" t="s">
        <v>3306</v>
      </c>
    </row>
    <row r="234" spans="1:16">
      <c r="A234" t="s">
        <v>4057</v>
      </c>
      <c r="B234" t="s">
        <v>4058</v>
      </c>
      <c r="C234" t="s">
        <v>3462</v>
      </c>
      <c r="D234" t="s">
        <v>3301</v>
      </c>
      <c r="E234" t="s">
        <v>3343</v>
      </c>
      <c r="F234">
        <v>5680</v>
      </c>
      <c r="G234">
        <v>1990</v>
      </c>
      <c r="H234" t="s">
        <v>4059</v>
      </c>
      <c r="I234">
        <v>701</v>
      </c>
      <c r="J234">
        <v>3.6</v>
      </c>
      <c r="K234">
        <v>1137</v>
      </c>
      <c r="L234" t="s">
        <v>3361</v>
      </c>
      <c r="M234" t="s">
        <v>3305</v>
      </c>
      <c r="N234" s="1">
        <v>45485</v>
      </c>
      <c r="O234">
        <v>3690</v>
      </c>
      <c r="P234" t="s">
        <v>3330</v>
      </c>
    </row>
    <row r="235" spans="1:16">
      <c r="A235" t="s">
        <v>4060</v>
      </c>
      <c r="B235" t="s">
        <v>4061</v>
      </c>
      <c r="C235" t="s">
        <v>3650</v>
      </c>
      <c r="D235" t="s">
        <v>3301</v>
      </c>
      <c r="E235" t="s">
        <v>3348</v>
      </c>
      <c r="F235">
        <v>25080</v>
      </c>
      <c r="G235">
        <v>11900</v>
      </c>
      <c r="H235" t="s">
        <v>4062</v>
      </c>
      <c r="I235">
        <v>306</v>
      </c>
      <c r="J235">
        <v>3.9</v>
      </c>
      <c r="K235">
        <v>630</v>
      </c>
      <c r="L235" t="s">
        <v>3361</v>
      </c>
      <c r="M235" t="s">
        <v>3305</v>
      </c>
      <c r="N235" s="1">
        <v>44476</v>
      </c>
      <c r="O235">
        <v>13180</v>
      </c>
      <c r="P235" t="s">
        <v>3306</v>
      </c>
    </row>
    <row r="236" spans="1:16">
      <c r="A236" t="s">
        <v>4063</v>
      </c>
      <c r="B236" t="s">
        <v>4064</v>
      </c>
      <c r="C236" t="s">
        <v>3628</v>
      </c>
      <c r="D236" t="s">
        <v>3353</v>
      </c>
      <c r="E236" t="s">
        <v>3354</v>
      </c>
      <c r="F236">
        <v>10400</v>
      </c>
      <c r="G236">
        <v>1780</v>
      </c>
      <c r="H236" t="s">
        <v>4065</v>
      </c>
      <c r="I236">
        <v>468</v>
      </c>
      <c r="J236">
        <v>3</v>
      </c>
      <c r="K236">
        <v>2495</v>
      </c>
      <c r="L236" t="s">
        <v>3304</v>
      </c>
      <c r="M236" t="s">
        <v>3378</v>
      </c>
      <c r="N236" s="1">
        <v>44826</v>
      </c>
      <c r="O236">
        <v>8620</v>
      </c>
      <c r="P236" t="s">
        <v>3330</v>
      </c>
    </row>
    <row r="237" spans="1:16">
      <c r="A237" t="s">
        <v>4066</v>
      </c>
      <c r="B237" t="s">
        <v>4067</v>
      </c>
      <c r="C237" t="s">
        <v>3430</v>
      </c>
      <c r="D237" t="s">
        <v>3353</v>
      </c>
      <c r="E237" t="s">
        <v>3359</v>
      </c>
      <c r="F237">
        <v>3040</v>
      </c>
      <c r="G237">
        <v>1940</v>
      </c>
      <c r="H237" t="s">
        <v>3488</v>
      </c>
      <c r="I237">
        <v>666</v>
      </c>
      <c r="J237">
        <v>4.9000000000000004</v>
      </c>
      <c r="K237">
        <v>1115</v>
      </c>
      <c r="L237" t="s">
        <v>3361</v>
      </c>
      <c r="M237" t="s">
        <v>3305</v>
      </c>
      <c r="N237" s="1">
        <v>44288</v>
      </c>
      <c r="O237">
        <v>1100</v>
      </c>
      <c r="P237" t="s">
        <v>3324</v>
      </c>
    </row>
    <row r="238" spans="1:16">
      <c r="A238" t="s">
        <v>4068</v>
      </c>
      <c r="B238" t="s">
        <v>4069</v>
      </c>
      <c r="C238" t="s">
        <v>3487</v>
      </c>
      <c r="D238" t="s">
        <v>3353</v>
      </c>
      <c r="E238" t="s">
        <v>3364</v>
      </c>
      <c r="F238">
        <v>3610</v>
      </c>
      <c r="G238">
        <v>1790</v>
      </c>
      <c r="H238" t="s">
        <v>4070</v>
      </c>
      <c r="I238">
        <v>752</v>
      </c>
      <c r="J238">
        <v>4.3</v>
      </c>
      <c r="K238">
        <v>4022</v>
      </c>
      <c r="L238" t="s">
        <v>3335</v>
      </c>
      <c r="M238" t="s">
        <v>3305</v>
      </c>
      <c r="N238" s="1">
        <v>44614</v>
      </c>
      <c r="O238">
        <v>1820</v>
      </c>
      <c r="P238" t="s">
        <v>3324</v>
      </c>
    </row>
    <row r="239" spans="1:16">
      <c r="A239" t="s">
        <v>4071</v>
      </c>
      <c r="B239" t="s">
        <v>4072</v>
      </c>
      <c r="C239" t="s">
        <v>3342</v>
      </c>
      <c r="D239" t="s">
        <v>3353</v>
      </c>
      <c r="E239" t="s">
        <v>3368</v>
      </c>
      <c r="F239">
        <v>2340</v>
      </c>
      <c r="G239">
        <v>1610</v>
      </c>
      <c r="H239" t="s">
        <v>4073</v>
      </c>
      <c r="I239">
        <v>558</v>
      </c>
      <c r="J239">
        <v>3.2</v>
      </c>
      <c r="K239">
        <v>4506</v>
      </c>
      <c r="L239" t="s">
        <v>3304</v>
      </c>
      <c r="M239" t="s">
        <v>3378</v>
      </c>
      <c r="N239" s="1">
        <v>45356</v>
      </c>
      <c r="O239">
        <v>730</v>
      </c>
      <c r="P239" t="s">
        <v>3324</v>
      </c>
    </row>
    <row r="240" spans="1:16">
      <c r="A240" t="s">
        <v>4074</v>
      </c>
      <c r="B240" t="s">
        <v>4075</v>
      </c>
      <c r="C240" t="s">
        <v>3381</v>
      </c>
      <c r="D240" t="s">
        <v>3353</v>
      </c>
      <c r="E240" t="s">
        <v>3372</v>
      </c>
      <c r="F240">
        <v>3900</v>
      </c>
      <c r="G240">
        <v>580</v>
      </c>
      <c r="H240" t="s">
        <v>4076</v>
      </c>
      <c r="I240">
        <v>418</v>
      </c>
      <c r="J240">
        <v>4.3</v>
      </c>
      <c r="K240">
        <v>1140</v>
      </c>
      <c r="L240" t="s">
        <v>3361</v>
      </c>
      <c r="M240" t="s">
        <v>3305</v>
      </c>
      <c r="N240" s="1">
        <v>44097</v>
      </c>
      <c r="O240">
        <v>3320</v>
      </c>
      <c r="P240" t="s">
        <v>3324</v>
      </c>
    </row>
    <row r="241" spans="1:16">
      <c r="A241" t="s">
        <v>4077</v>
      </c>
      <c r="B241" t="s">
        <v>4078</v>
      </c>
      <c r="C241" t="s">
        <v>3381</v>
      </c>
      <c r="D241" t="s">
        <v>3353</v>
      </c>
      <c r="E241" t="s">
        <v>3376</v>
      </c>
      <c r="F241">
        <v>1020</v>
      </c>
      <c r="G241">
        <v>670</v>
      </c>
      <c r="H241" t="s">
        <v>4079</v>
      </c>
      <c r="I241">
        <v>490</v>
      </c>
      <c r="J241">
        <v>4.0999999999999996</v>
      </c>
      <c r="K241">
        <v>4377</v>
      </c>
      <c r="L241" t="s">
        <v>3312</v>
      </c>
      <c r="M241" t="s">
        <v>3305</v>
      </c>
      <c r="N241" s="1">
        <v>44938</v>
      </c>
      <c r="O241">
        <v>350</v>
      </c>
      <c r="P241" t="s">
        <v>3324</v>
      </c>
    </row>
    <row r="242" spans="1:16">
      <c r="A242" t="s">
        <v>4080</v>
      </c>
      <c r="B242" t="s">
        <v>4081</v>
      </c>
      <c r="C242" t="s">
        <v>3685</v>
      </c>
      <c r="D242" t="s">
        <v>3353</v>
      </c>
      <c r="E242" t="s">
        <v>3382</v>
      </c>
      <c r="F242">
        <v>650</v>
      </c>
      <c r="G242">
        <v>240</v>
      </c>
      <c r="H242" t="s">
        <v>3572</v>
      </c>
      <c r="I242">
        <v>787</v>
      </c>
      <c r="J242">
        <v>3.3</v>
      </c>
      <c r="K242">
        <v>2908</v>
      </c>
      <c r="L242" t="s">
        <v>3335</v>
      </c>
      <c r="M242" t="s">
        <v>3305</v>
      </c>
      <c r="N242" s="1">
        <v>43647</v>
      </c>
      <c r="O242">
        <v>410</v>
      </c>
      <c r="P242" t="s">
        <v>3324</v>
      </c>
    </row>
    <row r="243" spans="1:16">
      <c r="A243" t="s">
        <v>4082</v>
      </c>
      <c r="B243" t="s">
        <v>4083</v>
      </c>
      <c r="C243" t="s">
        <v>3327</v>
      </c>
      <c r="D243" t="s">
        <v>3387</v>
      </c>
      <c r="E243" t="s">
        <v>3388</v>
      </c>
      <c r="F243">
        <v>6930</v>
      </c>
      <c r="G243">
        <v>4430</v>
      </c>
      <c r="H243" t="s">
        <v>4084</v>
      </c>
      <c r="I243">
        <v>108</v>
      </c>
      <c r="J243">
        <v>2.8</v>
      </c>
      <c r="K243">
        <v>2119</v>
      </c>
      <c r="L243" t="s">
        <v>3335</v>
      </c>
      <c r="M243" t="s">
        <v>3305</v>
      </c>
      <c r="N243" s="1">
        <v>45590</v>
      </c>
      <c r="O243">
        <v>2500</v>
      </c>
      <c r="P243" t="s">
        <v>3330</v>
      </c>
    </row>
    <row r="244" spans="1:16">
      <c r="A244" t="s">
        <v>4085</v>
      </c>
      <c r="B244" t="s">
        <v>4086</v>
      </c>
      <c r="C244" t="s">
        <v>3451</v>
      </c>
      <c r="D244" t="s">
        <v>3387</v>
      </c>
      <c r="E244" t="s">
        <v>3392</v>
      </c>
      <c r="F244">
        <v>6150</v>
      </c>
      <c r="G244">
        <v>3030</v>
      </c>
      <c r="H244" t="s">
        <v>4087</v>
      </c>
      <c r="I244">
        <v>400</v>
      </c>
      <c r="J244">
        <v>3.8</v>
      </c>
      <c r="K244">
        <v>4821</v>
      </c>
      <c r="L244" t="s">
        <v>3335</v>
      </c>
      <c r="M244" t="s">
        <v>3305</v>
      </c>
      <c r="N244" s="1">
        <v>43566</v>
      </c>
      <c r="O244">
        <v>3120</v>
      </c>
      <c r="P244" t="s">
        <v>3330</v>
      </c>
    </row>
    <row r="245" spans="1:16">
      <c r="A245" t="s">
        <v>4088</v>
      </c>
      <c r="B245" t="s">
        <v>4089</v>
      </c>
      <c r="C245" t="s">
        <v>3487</v>
      </c>
      <c r="D245" t="s">
        <v>3387</v>
      </c>
      <c r="E245" t="s">
        <v>3397</v>
      </c>
      <c r="F245">
        <v>650</v>
      </c>
      <c r="G245">
        <v>240</v>
      </c>
      <c r="H245" t="s">
        <v>3572</v>
      </c>
      <c r="I245">
        <v>747</v>
      </c>
      <c r="J245">
        <v>3.1</v>
      </c>
      <c r="K245">
        <v>2555</v>
      </c>
      <c r="L245" t="s">
        <v>3361</v>
      </c>
      <c r="M245" t="s">
        <v>3305</v>
      </c>
      <c r="N245" s="1">
        <v>44313</v>
      </c>
      <c r="O245">
        <v>410</v>
      </c>
      <c r="P245" t="s">
        <v>3324</v>
      </c>
    </row>
    <row r="246" spans="1:16">
      <c r="A246" t="s">
        <v>4090</v>
      </c>
      <c r="B246" t="s">
        <v>4091</v>
      </c>
      <c r="C246" t="s">
        <v>3358</v>
      </c>
      <c r="D246" t="s">
        <v>3402</v>
      </c>
      <c r="E246" t="s">
        <v>3403</v>
      </c>
      <c r="F246">
        <v>2600</v>
      </c>
      <c r="G246">
        <v>1500</v>
      </c>
      <c r="H246" t="s">
        <v>3463</v>
      </c>
      <c r="I246">
        <v>739</v>
      </c>
      <c r="J246">
        <v>4.3</v>
      </c>
      <c r="K246">
        <v>2612</v>
      </c>
      <c r="L246" t="s">
        <v>3304</v>
      </c>
      <c r="M246" t="s">
        <v>3305</v>
      </c>
      <c r="N246" s="1">
        <v>43937</v>
      </c>
      <c r="O246">
        <v>1100</v>
      </c>
      <c r="P246" t="s">
        <v>3324</v>
      </c>
    </row>
    <row r="247" spans="1:16">
      <c r="A247" t="s">
        <v>4092</v>
      </c>
      <c r="B247" t="s">
        <v>4093</v>
      </c>
      <c r="C247" t="s">
        <v>3309</v>
      </c>
      <c r="D247" t="s">
        <v>3301</v>
      </c>
      <c r="E247" t="s">
        <v>3407</v>
      </c>
      <c r="F247">
        <v>31220</v>
      </c>
      <c r="G247">
        <v>8880</v>
      </c>
      <c r="H247" t="s">
        <v>3536</v>
      </c>
      <c r="I247">
        <v>758</v>
      </c>
      <c r="J247">
        <v>3.3</v>
      </c>
      <c r="K247">
        <v>1429</v>
      </c>
      <c r="L247" t="s">
        <v>3335</v>
      </c>
      <c r="M247" t="s">
        <v>3305</v>
      </c>
      <c r="N247" s="1">
        <v>45212</v>
      </c>
      <c r="O247">
        <v>22340</v>
      </c>
      <c r="P247" t="s">
        <v>3306</v>
      </c>
    </row>
    <row r="248" spans="1:16">
      <c r="A248" t="s">
        <v>4094</v>
      </c>
      <c r="B248" t="s">
        <v>4095</v>
      </c>
      <c r="C248" t="s">
        <v>3498</v>
      </c>
      <c r="D248" t="s">
        <v>3301</v>
      </c>
      <c r="E248" t="s">
        <v>3411</v>
      </c>
      <c r="F248">
        <v>32180</v>
      </c>
      <c r="G248">
        <v>11610</v>
      </c>
      <c r="H248" t="s">
        <v>3554</v>
      </c>
      <c r="I248">
        <v>655</v>
      </c>
      <c r="J248">
        <v>4.2</v>
      </c>
      <c r="K248">
        <v>3240</v>
      </c>
      <c r="L248" t="s">
        <v>3304</v>
      </c>
      <c r="M248" t="s">
        <v>3305</v>
      </c>
      <c r="N248" s="1">
        <v>44274</v>
      </c>
      <c r="O248">
        <v>20570</v>
      </c>
      <c r="P248" t="s">
        <v>3306</v>
      </c>
    </row>
    <row r="249" spans="1:16">
      <c r="A249" t="s">
        <v>4096</v>
      </c>
      <c r="B249" t="s">
        <v>4097</v>
      </c>
      <c r="C249" t="s">
        <v>3597</v>
      </c>
      <c r="D249" t="s">
        <v>3301</v>
      </c>
      <c r="E249" t="s">
        <v>3416</v>
      </c>
      <c r="F249">
        <v>12580</v>
      </c>
      <c r="G249">
        <v>8880</v>
      </c>
      <c r="H249" t="s">
        <v>4098</v>
      </c>
      <c r="I249">
        <v>210</v>
      </c>
      <c r="J249">
        <v>3.4</v>
      </c>
      <c r="K249">
        <v>512</v>
      </c>
      <c r="L249" t="s">
        <v>3304</v>
      </c>
      <c r="M249" t="s">
        <v>3305</v>
      </c>
      <c r="N249" s="1">
        <v>44231</v>
      </c>
      <c r="O249">
        <v>3700</v>
      </c>
      <c r="P249" t="s">
        <v>3330</v>
      </c>
    </row>
    <row r="250" spans="1:16">
      <c r="A250" t="s">
        <v>4099</v>
      </c>
      <c r="B250" t="s">
        <v>4100</v>
      </c>
      <c r="C250" t="s">
        <v>3769</v>
      </c>
      <c r="D250" t="s">
        <v>3353</v>
      </c>
      <c r="E250" t="s">
        <v>3421</v>
      </c>
      <c r="F250">
        <v>2370</v>
      </c>
      <c r="G250">
        <v>840</v>
      </c>
      <c r="H250" t="s">
        <v>4101</v>
      </c>
      <c r="I250">
        <v>686</v>
      </c>
      <c r="J250">
        <v>4.7</v>
      </c>
      <c r="K250">
        <v>4323</v>
      </c>
      <c r="L250" t="s">
        <v>3361</v>
      </c>
      <c r="M250" t="s">
        <v>3305</v>
      </c>
      <c r="N250" s="1">
        <v>45073</v>
      </c>
      <c r="O250">
        <v>1530</v>
      </c>
      <c r="P250" t="s">
        <v>3324</v>
      </c>
    </row>
    <row r="251" spans="1:16">
      <c r="A251" t="s">
        <v>4102</v>
      </c>
      <c r="B251" t="s">
        <v>4103</v>
      </c>
      <c r="C251" t="s">
        <v>3604</v>
      </c>
      <c r="D251" t="s">
        <v>3353</v>
      </c>
      <c r="E251" t="s">
        <v>3426</v>
      </c>
      <c r="F251">
        <v>8500</v>
      </c>
      <c r="G251">
        <v>5660</v>
      </c>
      <c r="H251" t="s">
        <v>4104</v>
      </c>
      <c r="I251">
        <v>176</v>
      </c>
      <c r="J251">
        <v>4.5999999999999996</v>
      </c>
      <c r="K251">
        <v>2436</v>
      </c>
      <c r="L251" t="s">
        <v>3304</v>
      </c>
      <c r="M251" t="s">
        <v>3305</v>
      </c>
      <c r="N251" s="1">
        <v>44748</v>
      </c>
      <c r="O251">
        <v>2840</v>
      </c>
      <c r="P251" t="s">
        <v>3330</v>
      </c>
    </row>
    <row r="252" spans="1:16">
      <c r="A252" t="s">
        <v>4105</v>
      </c>
      <c r="B252" t="s">
        <v>4106</v>
      </c>
      <c r="C252" t="s">
        <v>3473</v>
      </c>
      <c r="D252" t="s">
        <v>3301</v>
      </c>
      <c r="E252" t="s">
        <v>3302</v>
      </c>
      <c r="F252">
        <v>31990</v>
      </c>
      <c r="G252">
        <v>17230</v>
      </c>
      <c r="H252" t="s">
        <v>4012</v>
      </c>
      <c r="I252">
        <v>710</v>
      </c>
      <c r="J252">
        <v>3.1</v>
      </c>
      <c r="K252">
        <v>3182</v>
      </c>
      <c r="L252" t="s">
        <v>3312</v>
      </c>
      <c r="M252" t="s">
        <v>3305</v>
      </c>
      <c r="N252" s="1">
        <v>45037</v>
      </c>
      <c r="O252">
        <v>14760</v>
      </c>
      <c r="P252" t="s">
        <v>3306</v>
      </c>
    </row>
    <row r="253" spans="1:16">
      <c r="A253" t="s">
        <v>4107</v>
      </c>
      <c r="B253" t="s">
        <v>4108</v>
      </c>
      <c r="C253" t="s">
        <v>3517</v>
      </c>
      <c r="D253" t="s">
        <v>3301</v>
      </c>
      <c r="E253" t="s">
        <v>3310</v>
      </c>
      <c r="F253">
        <v>95440</v>
      </c>
      <c r="G253">
        <v>63440</v>
      </c>
      <c r="H253" t="s">
        <v>3459</v>
      </c>
      <c r="I253">
        <v>660</v>
      </c>
      <c r="J253">
        <v>4.8</v>
      </c>
      <c r="K253">
        <v>1419</v>
      </c>
      <c r="L253" t="s">
        <v>3335</v>
      </c>
      <c r="M253" t="s">
        <v>3305</v>
      </c>
      <c r="N253" s="1">
        <v>44040</v>
      </c>
      <c r="O253">
        <v>32000</v>
      </c>
      <c r="P253" t="s">
        <v>3313</v>
      </c>
    </row>
    <row r="254" spans="1:16">
      <c r="A254" t="s">
        <v>4109</v>
      </c>
      <c r="B254" t="s">
        <v>4110</v>
      </c>
      <c r="C254" t="s">
        <v>3553</v>
      </c>
      <c r="D254" t="s">
        <v>3301</v>
      </c>
      <c r="E254" t="s">
        <v>3317</v>
      </c>
      <c r="F254">
        <v>19030</v>
      </c>
      <c r="G254">
        <v>15090</v>
      </c>
      <c r="H254" t="s">
        <v>4111</v>
      </c>
      <c r="I254">
        <v>367</v>
      </c>
      <c r="J254">
        <v>4.9000000000000004</v>
      </c>
      <c r="K254">
        <v>3969</v>
      </c>
      <c r="L254" t="s">
        <v>3335</v>
      </c>
      <c r="M254" t="s">
        <v>3305</v>
      </c>
      <c r="N254" s="1">
        <v>45038</v>
      </c>
      <c r="O254">
        <v>3940</v>
      </c>
      <c r="P254" t="s">
        <v>3330</v>
      </c>
    </row>
    <row r="255" spans="1:16">
      <c r="A255" t="s">
        <v>4112</v>
      </c>
      <c r="B255" t="s">
        <v>4113</v>
      </c>
      <c r="C255" t="s">
        <v>3451</v>
      </c>
      <c r="D255" t="s">
        <v>3301</v>
      </c>
      <c r="E255" t="s">
        <v>3322</v>
      </c>
      <c r="F255">
        <v>32720</v>
      </c>
      <c r="G255">
        <v>13920</v>
      </c>
      <c r="H255" t="s">
        <v>4114</v>
      </c>
      <c r="I255">
        <v>727</v>
      </c>
      <c r="J255">
        <v>4.5999999999999996</v>
      </c>
      <c r="K255">
        <v>4003</v>
      </c>
      <c r="L255" t="s">
        <v>3335</v>
      </c>
      <c r="M255" t="s">
        <v>3305</v>
      </c>
      <c r="N255" s="1">
        <v>43592</v>
      </c>
      <c r="O255">
        <v>18800</v>
      </c>
      <c r="P255" t="s">
        <v>3306</v>
      </c>
    </row>
    <row r="256" spans="1:16">
      <c r="A256" t="s">
        <v>4115</v>
      </c>
      <c r="B256" t="s">
        <v>4116</v>
      </c>
      <c r="C256" t="s">
        <v>3352</v>
      </c>
      <c r="D256" t="s">
        <v>3301</v>
      </c>
      <c r="E256" t="s">
        <v>3328</v>
      </c>
      <c r="F256">
        <v>9300</v>
      </c>
      <c r="G256">
        <v>2020</v>
      </c>
      <c r="H256" t="s">
        <v>4117</v>
      </c>
      <c r="I256">
        <v>550</v>
      </c>
      <c r="J256">
        <v>3.4</v>
      </c>
      <c r="K256">
        <v>3746</v>
      </c>
      <c r="L256" t="s">
        <v>3312</v>
      </c>
      <c r="M256" t="s">
        <v>3305</v>
      </c>
      <c r="N256" s="1">
        <v>43929</v>
      </c>
      <c r="O256">
        <v>7280</v>
      </c>
      <c r="P256" t="s">
        <v>3330</v>
      </c>
    </row>
    <row r="257" spans="1:16">
      <c r="A257" t="s">
        <v>4118</v>
      </c>
      <c r="B257" t="s">
        <v>4119</v>
      </c>
      <c r="C257" t="s">
        <v>3327</v>
      </c>
      <c r="D257" t="s">
        <v>3301</v>
      </c>
      <c r="E257" t="s">
        <v>3333</v>
      </c>
      <c r="F257">
        <v>12720</v>
      </c>
      <c r="G257">
        <v>9280</v>
      </c>
      <c r="H257" t="s">
        <v>3393</v>
      </c>
      <c r="I257">
        <v>774</v>
      </c>
      <c r="J257">
        <v>2.9</v>
      </c>
      <c r="K257">
        <v>3615</v>
      </c>
      <c r="L257" t="s">
        <v>3335</v>
      </c>
      <c r="M257" t="s">
        <v>3378</v>
      </c>
      <c r="N257" s="1">
        <v>43885</v>
      </c>
      <c r="O257">
        <v>3440</v>
      </c>
      <c r="P257" t="s">
        <v>3330</v>
      </c>
    </row>
    <row r="258" spans="1:16">
      <c r="A258" t="s">
        <v>4120</v>
      </c>
      <c r="B258" t="s">
        <v>4121</v>
      </c>
      <c r="C258" t="s">
        <v>3420</v>
      </c>
      <c r="D258" t="s">
        <v>3301</v>
      </c>
      <c r="E258" t="s">
        <v>3338</v>
      </c>
      <c r="F258">
        <v>3110</v>
      </c>
      <c r="G258">
        <v>1520</v>
      </c>
      <c r="H258" t="s">
        <v>3826</v>
      </c>
      <c r="I258">
        <v>269</v>
      </c>
      <c r="J258">
        <v>3.6</v>
      </c>
      <c r="K258">
        <v>712</v>
      </c>
      <c r="L258" t="s">
        <v>3312</v>
      </c>
      <c r="M258" t="s">
        <v>3305</v>
      </c>
      <c r="N258" s="1">
        <v>43946</v>
      </c>
      <c r="O258">
        <v>1590</v>
      </c>
      <c r="P258" t="s">
        <v>3324</v>
      </c>
    </row>
    <row r="259" spans="1:16">
      <c r="A259" t="s">
        <v>4122</v>
      </c>
      <c r="B259" t="s">
        <v>4123</v>
      </c>
      <c r="C259" t="s">
        <v>3504</v>
      </c>
      <c r="D259" t="s">
        <v>3301</v>
      </c>
      <c r="E259" t="s">
        <v>3343</v>
      </c>
      <c r="F259">
        <v>5820</v>
      </c>
      <c r="G259">
        <v>3470</v>
      </c>
      <c r="H259" t="s">
        <v>3557</v>
      </c>
      <c r="I259">
        <v>727</v>
      </c>
      <c r="J259">
        <v>4.0999999999999996</v>
      </c>
      <c r="K259">
        <v>3507</v>
      </c>
      <c r="L259" t="s">
        <v>3335</v>
      </c>
      <c r="M259" t="s">
        <v>3305</v>
      </c>
      <c r="N259" s="1">
        <v>44312</v>
      </c>
      <c r="O259">
        <v>2350</v>
      </c>
      <c r="P259" t="s">
        <v>3330</v>
      </c>
    </row>
    <row r="260" spans="1:16">
      <c r="A260" t="s">
        <v>4124</v>
      </c>
      <c r="B260" t="s">
        <v>4125</v>
      </c>
      <c r="C260" t="s">
        <v>3727</v>
      </c>
      <c r="D260" t="s">
        <v>3301</v>
      </c>
      <c r="E260" t="s">
        <v>3348</v>
      </c>
      <c r="F260">
        <v>41880</v>
      </c>
      <c r="G260">
        <v>14210</v>
      </c>
      <c r="H260" t="s">
        <v>4126</v>
      </c>
      <c r="I260">
        <v>611</v>
      </c>
      <c r="J260">
        <v>4</v>
      </c>
      <c r="K260">
        <v>2651</v>
      </c>
      <c r="L260" t="s">
        <v>3361</v>
      </c>
      <c r="M260" t="s">
        <v>3305</v>
      </c>
      <c r="N260" s="1">
        <v>44561</v>
      </c>
      <c r="O260">
        <v>27670</v>
      </c>
      <c r="P260" t="s">
        <v>3306</v>
      </c>
    </row>
    <row r="261" spans="1:16">
      <c r="A261" t="s">
        <v>4127</v>
      </c>
      <c r="B261" t="s">
        <v>4128</v>
      </c>
      <c r="C261" t="s">
        <v>3611</v>
      </c>
      <c r="D261" t="s">
        <v>3353</v>
      </c>
      <c r="E261" t="s">
        <v>3354</v>
      </c>
      <c r="F261">
        <v>7040</v>
      </c>
      <c r="G261">
        <v>660</v>
      </c>
      <c r="H261" t="s">
        <v>3533</v>
      </c>
      <c r="I261">
        <v>283</v>
      </c>
      <c r="J261">
        <v>4.7</v>
      </c>
      <c r="K261">
        <v>1039</v>
      </c>
      <c r="L261" t="s">
        <v>3335</v>
      </c>
      <c r="M261" t="s">
        <v>3305</v>
      </c>
      <c r="N261" s="1">
        <v>44785</v>
      </c>
      <c r="O261">
        <v>6380</v>
      </c>
      <c r="P261" t="s">
        <v>3330</v>
      </c>
    </row>
    <row r="262" spans="1:16">
      <c r="A262" t="s">
        <v>4129</v>
      </c>
      <c r="B262" t="s">
        <v>4130</v>
      </c>
      <c r="C262" t="s">
        <v>3347</v>
      </c>
      <c r="D262" t="s">
        <v>3353</v>
      </c>
      <c r="E262" t="s">
        <v>3359</v>
      </c>
      <c r="F262">
        <v>1460</v>
      </c>
      <c r="G262">
        <v>730</v>
      </c>
      <c r="H262" t="s">
        <v>3647</v>
      </c>
      <c r="I262">
        <v>642</v>
      </c>
      <c r="J262">
        <v>3.7</v>
      </c>
      <c r="K262">
        <v>3702</v>
      </c>
      <c r="L262" t="s">
        <v>3304</v>
      </c>
      <c r="M262" t="s">
        <v>3305</v>
      </c>
      <c r="N262" s="1">
        <v>43847</v>
      </c>
      <c r="O262">
        <v>730</v>
      </c>
      <c r="P262" t="s">
        <v>3324</v>
      </c>
    </row>
    <row r="263" spans="1:16">
      <c r="A263" t="s">
        <v>4131</v>
      </c>
      <c r="B263" t="s">
        <v>4132</v>
      </c>
      <c r="C263" t="s">
        <v>3342</v>
      </c>
      <c r="D263" t="s">
        <v>3353</v>
      </c>
      <c r="E263" t="s">
        <v>3364</v>
      </c>
      <c r="F263">
        <v>4020</v>
      </c>
      <c r="G263">
        <v>2460</v>
      </c>
      <c r="H263" t="s">
        <v>4133</v>
      </c>
      <c r="I263">
        <v>499</v>
      </c>
      <c r="J263">
        <v>3.5</v>
      </c>
      <c r="K263">
        <v>20</v>
      </c>
      <c r="L263" t="s">
        <v>3304</v>
      </c>
      <c r="M263" t="s">
        <v>3305</v>
      </c>
      <c r="N263" s="1">
        <v>45343</v>
      </c>
      <c r="O263">
        <v>1560</v>
      </c>
      <c r="P263" t="s">
        <v>3324</v>
      </c>
    </row>
    <row r="264" spans="1:16">
      <c r="A264" t="s">
        <v>4134</v>
      </c>
      <c r="B264" t="s">
        <v>4135</v>
      </c>
      <c r="C264" t="s">
        <v>3300</v>
      </c>
      <c r="D264" t="s">
        <v>3353</v>
      </c>
      <c r="E264" t="s">
        <v>3368</v>
      </c>
      <c r="F264">
        <v>3960</v>
      </c>
      <c r="G264">
        <v>1290</v>
      </c>
      <c r="H264" t="s">
        <v>4136</v>
      </c>
      <c r="I264">
        <v>439</v>
      </c>
      <c r="J264">
        <v>4.5999999999999996</v>
      </c>
      <c r="K264">
        <v>4052</v>
      </c>
      <c r="L264" t="s">
        <v>3361</v>
      </c>
      <c r="M264" t="s">
        <v>3305</v>
      </c>
      <c r="N264" s="1">
        <v>44627</v>
      </c>
      <c r="O264">
        <v>2670</v>
      </c>
      <c r="P264" t="s">
        <v>3324</v>
      </c>
    </row>
    <row r="265" spans="1:16">
      <c r="A265" t="s">
        <v>4137</v>
      </c>
      <c r="B265" t="s">
        <v>4138</v>
      </c>
      <c r="C265" t="s">
        <v>3386</v>
      </c>
      <c r="D265" t="s">
        <v>3353</v>
      </c>
      <c r="E265" t="s">
        <v>3372</v>
      </c>
      <c r="F265">
        <v>2820</v>
      </c>
      <c r="G265">
        <v>2290</v>
      </c>
      <c r="H265" t="s">
        <v>4139</v>
      </c>
      <c r="I265">
        <v>351</v>
      </c>
      <c r="J265">
        <v>4.8</v>
      </c>
      <c r="K265">
        <v>396</v>
      </c>
      <c r="L265" t="s">
        <v>3304</v>
      </c>
      <c r="M265" t="s">
        <v>3305</v>
      </c>
      <c r="N265" s="1">
        <v>45348</v>
      </c>
      <c r="O265">
        <v>530</v>
      </c>
      <c r="P265" t="s">
        <v>3324</v>
      </c>
    </row>
    <row r="266" spans="1:16">
      <c r="A266" t="s">
        <v>4140</v>
      </c>
      <c r="B266" t="s">
        <v>4141</v>
      </c>
      <c r="C266" t="s">
        <v>3309</v>
      </c>
      <c r="D266" t="s">
        <v>3353</v>
      </c>
      <c r="E266" t="s">
        <v>3376</v>
      </c>
      <c r="F266">
        <v>1030</v>
      </c>
      <c r="G266">
        <v>60</v>
      </c>
      <c r="H266" t="s">
        <v>4142</v>
      </c>
      <c r="I266">
        <v>438</v>
      </c>
      <c r="J266">
        <v>3.2</v>
      </c>
      <c r="K266">
        <v>1080</v>
      </c>
      <c r="L266" t="s">
        <v>3361</v>
      </c>
      <c r="M266" t="s">
        <v>3305</v>
      </c>
      <c r="N266" s="1">
        <v>44588</v>
      </c>
      <c r="O266">
        <v>970</v>
      </c>
      <c r="P266" t="s">
        <v>3324</v>
      </c>
    </row>
    <row r="267" spans="1:16">
      <c r="A267" t="s">
        <v>4143</v>
      </c>
      <c r="B267" t="s">
        <v>4144</v>
      </c>
      <c r="C267" t="s">
        <v>3425</v>
      </c>
      <c r="D267" t="s">
        <v>3353</v>
      </c>
      <c r="E267" t="s">
        <v>3382</v>
      </c>
      <c r="F267">
        <v>640</v>
      </c>
      <c r="G267">
        <v>370</v>
      </c>
      <c r="H267" t="s">
        <v>4145</v>
      </c>
      <c r="I267">
        <v>680</v>
      </c>
      <c r="J267">
        <v>4.8</v>
      </c>
      <c r="K267">
        <v>1355</v>
      </c>
      <c r="L267" t="s">
        <v>3304</v>
      </c>
      <c r="M267" t="s">
        <v>3305</v>
      </c>
      <c r="N267" s="1">
        <v>44717</v>
      </c>
      <c r="O267">
        <v>270</v>
      </c>
      <c r="P267" t="s">
        <v>3324</v>
      </c>
    </row>
    <row r="268" spans="1:16">
      <c r="A268" t="s">
        <v>4146</v>
      </c>
      <c r="B268" t="s">
        <v>4147</v>
      </c>
      <c r="C268" t="s">
        <v>3628</v>
      </c>
      <c r="D268" t="s">
        <v>3387</v>
      </c>
      <c r="E268" t="s">
        <v>3388</v>
      </c>
      <c r="F268">
        <v>2990</v>
      </c>
      <c r="G268">
        <v>2340</v>
      </c>
      <c r="H268" t="s">
        <v>4148</v>
      </c>
      <c r="I268">
        <v>97</v>
      </c>
      <c r="J268">
        <v>2.8</v>
      </c>
      <c r="K268">
        <v>3906</v>
      </c>
      <c r="L268" t="s">
        <v>3304</v>
      </c>
      <c r="M268" t="s">
        <v>3305</v>
      </c>
      <c r="N268" s="1">
        <v>44392</v>
      </c>
      <c r="O268">
        <v>650</v>
      </c>
      <c r="P268" t="s">
        <v>3324</v>
      </c>
    </row>
    <row r="269" spans="1:16">
      <c r="A269" t="s">
        <v>4149</v>
      </c>
      <c r="B269" t="s">
        <v>4150</v>
      </c>
      <c r="C269" t="s">
        <v>3358</v>
      </c>
      <c r="D269" t="s">
        <v>3387</v>
      </c>
      <c r="E269" t="s">
        <v>3392</v>
      </c>
      <c r="F269">
        <v>2560</v>
      </c>
      <c r="G269">
        <v>1850</v>
      </c>
      <c r="H269" t="s">
        <v>4151</v>
      </c>
      <c r="I269">
        <v>123</v>
      </c>
      <c r="J269">
        <v>5</v>
      </c>
      <c r="K269">
        <v>3459</v>
      </c>
      <c r="L269" t="s">
        <v>3335</v>
      </c>
      <c r="M269" t="s">
        <v>3305</v>
      </c>
      <c r="N269" s="1">
        <v>44403</v>
      </c>
      <c r="O269">
        <v>710</v>
      </c>
      <c r="P269" t="s">
        <v>3324</v>
      </c>
    </row>
    <row r="270" spans="1:16">
      <c r="A270" t="s">
        <v>4152</v>
      </c>
      <c r="B270" t="s">
        <v>4153</v>
      </c>
      <c r="C270" t="s">
        <v>3462</v>
      </c>
      <c r="D270" t="s">
        <v>3387</v>
      </c>
      <c r="E270" t="s">
        <v>3397</v>
      </c>
      <c r="F270">
        <v>1580</v>
      </c>
      <c r="G270">
        <v>930</v>
      </c>
      <c r="H270" t="s">
        <v>4154</v>
      </c>
      <c r="I270">
        <v>306</v>
      </c>
      <c r="J270">
        <v>3.1</v>
      </c>
      <c r="K270">
        <v>1090</v>
      </c>
      <c r="L270" t="s">
        <v>3335</v>
      </c>
      <c r="M270" t="s">
        <v>3305</v>
      </c>
      <c r="N270" s="1">
        <v>43500</v>
      </c>
      <c r="O270">
        <v>650</v>
      </c>
      <c r="P270" t="s">
        <v>3324</v>
      </c>
    </row>
    <row r="271" spans="1:16">
      <c r="A271" t="s">
        <v>4155</v>
      </c>
      <c r="B271" t="s">
        <v>4156</v>
      </c>
      <c r="C271" t="s">
        <v>3430</v>
      </c>
      <c r="D271" t="s">
        <v>3402</v>
      </c>
      <c r="E271" t="s">
        <v>3403</v>
      </c>
      <c r="F271">
        <v>6750</v>
      </c>
      <c r="G271">
        <v>2340</v>
      </c>
      <c r="H271" t="s">
        <v>4157</v>
      </c>
      <c r="I271">
        <v>643</v>
      </c>
      <c r="J271">
        <v>4.4000000000000004</v>
      </c>
      <c r="K271">
        <v>3372</v>
      </c>
      <c r="L271" t="s">
        <v>3312</v>
      </c>
      <c r="M271" t="s">
        <v>3305</v>
      </c>
      <c r="N271" s="1">
        <v>43821</v>
      </c>
      <c r="O271">
        <v>4410</v>
      </c>
      <c r="P271" t="s">
        <v>3330</v>
      </c>
    </row>
    <row r="272" spans="1:16">
      <c r="A272" t="s">
        <v>4158</v>
      </c>
      <c r="B272" t="s">
        <v>4159</v>
      </c>
      <c r="C272" t="s">
        <v>3637</v>
      </c>
      <c r="D272" t="s">
        <v>3301</v>
      </c>
      <c r="E272" t="s">
        <v>3407</v>
      </c>
      <c r="F272">
        <v>28920</v>
      </c>
      <c r="G272">
        <v>16080</v>
      </c>
      <c r="H272" t="s">
        <v>4160</v>
      </c>
      <c r="I272">
        <v>359</v>
      </c>
      <c r="J272">
        <v>4.9000000000000004</v>
      </c>
      <c r="K272">
        <v>2576</v>
      </c>
      <c r="L272" t="s">
        <v>3335</v>
      </c>
      <c r="M272" t="s">
        <v>3305</v>
      </c>
      <c r="N272" s="1">
        <v>43811</v>
      </c>
      <c r="O272">
        <v>12840</v>
      </c>
      <c r="P272" t="s">
        <v>3306</v>
      </c>
    </row>
    <row r="273" spans="1:16">
      <c r="A273" t="s">
        <v>4161</v>
      </c>
      <c r="B273" t="s">
        <v>4162</v>
      </c>
      <c r="C273" t="s">
        <v>3347</v>
      </c>
      <c r="D273" t="s">
        <v>3301</v>
      </c>
      <c r="E273" t="s">
        <v>3411</v>
      </c>
      <c r="F273">
        <v>45340</v>
      </c>
      <c r="G273">
        <v>7260</v>
      </c>
      <c r="H273" t="s">
        <v>4163</v>
      </c>
      <c r="I273">
        <v>674</v>
      </c>
      <c r="J273">
        <v>4.7</v>
      </c>
      <c r="K273">
        <v>1683</v>
      </c>
      <c r="L273" t="s">
        <v>3335</v>
      </c>
      <c r="M273" t="s">
        <v>3305</v>
      </c>
      <c r="N273" s="1">
        <v>44676</v>
      </c>
      <c r="O273">
        <v>38080</v>
      </c>
      <c r="P273" t="s">
        <v>3306</v>
      </c>
    </row>
    <row r="274" spans="1:16">
      <c r="A274" t="s">
        <v>4164</v>
      </c>
      <c r="B274" t="s">
        <v>4165</v>
      </c>
      <c r="C274" t="s">
        <v>3546</v>
      </c>
      <c r="D274" t="s">
        <v>3301</v>
      </c>
      <c r="E274" t="s">
        <v>3416</v>
      </c>
      <c r="F274">
        <v>62580</v>
      </c>
      <c r="G274">
        <v>15390</v>
      </c>
      <c r="H274" t="s">
        <v>4166</v>
      </c>
      <c r="I274">
        <v>246</v>
      </c>
      <c r="J274">
        <v>3.9</v>
      </c>
      <c r="K274">
        <v>4865</v>
      </c>
      <c r="L274" t="s">
        <v>3304</v>
      </c>
      <c r="M274" t="s">
        <v>3305</v>
      </c>
      <c r="N274" s="1">
        <v>43515</v>
      </c>
      <c r="O274">
        <v>47190</v>
      </c>
      <c r="P274" t="s">
        <v>3313</v>
      </c>
    </row>
    <row r="275" spans="1:16">
      <c r="A275" t="s">
        <v>4167</v>
      </c>
      <c r="B275" t="s">
        <v>4168</v>
      </c>
      <c r="C275" t="s">
        <v>3769</v>
      </c>
      <c r="D275" t="s">
        <v>3353</v>
      </c>
      <c r="E275" t="s">
        <v>3421</v>
      </c>
      <c r="F275">
        <v>14600</v>
      </c>
      <c r="G275">
        <v>9610</v>
      </c>
      <c r="H275" t="s">
        <v>4169</v>
      </c>
      <c r="I275">
        <v>430</v>
      </c>
      <c r="J275">
        <v>3.6</v>
      </c>
      <c r="K275">
        <v>1415</v>
      </c>
      <c r="L275" t="s">
        <v>3312</v>
      </c>
      <c r="M275" t="s">
        <v>3378</v>
      </c>
      <c r="N275" s="1">
        <v>43764</v>
      </c>
      <c r="O275">
        <v>4990</v>
      </c>
      <c r="P275" t="s">
        <v>3330</v>
      </c>
    </row>
    <row r="276" spans="1:16">
      <c r="A276" t="s">
        <v>4170</v>
      </c>
      <c r="B276" t="s">
        <v>4171</v>
      </c>
      <c r="C276" t="s">
        <v>3309</v>
      </c>
      <c r="D276" t="s">
        <v>3353</v>
      </c>
      <c r="E276" t="s">
        <v>3426</v>
      </c>
      <c r="F276">
        <v>5290</v>
      </c>
      <c r="G276">
        <v>1480</v>
      </c>
      <c r="H276" t="s">
        <v>4172</v>
      </c>
      <c r="I276">
        <v>40</v>
      </c>
      <c r="J276">
        <v>4.8</v>
      </c>
      <c r="K276">
        <v>3260</v>
      </c>
      <c r="L276" t="s">
        <v>3361</v>
      </c>
      <c r="M276" t="s">
        <v>3305</v>
      </c>
      <c r="N276" s="1">
        <v>45518</v>
      </c>
      <c r="O276">
        <v>3810</v>
      </c>
      <c r="P276" t="s">
        <v>3330</v>
      </c>
    </row>
    <row r="277" spans="1:16">
      <c r="A277" t="s">
        <v>4173</v>
      </c>
      <c r="B277" t="s">
        <v>4174</v>
      </c>
      <c r="C277" t="s">
        <v>3504</v>
      </c>
      <c r="D277" t="s">
        <v>3301</v>
      </c>
      <c r="E277" t="s">
        <v>3302</v>
      </c>
      <c r="F277">
        <v>60730</v>
      </c>
      <c r="G277">
        <v>10400</v>
      </c>
      <c r="H277" t="s">
        <v>4065</v>
      </c>
      <c r="I277">
        <v>655</v>
      </c>
      <c r="J277">
        <v>4</v>
      </c>
      <c r="K277">
        <v>1250</v>
      </c>
      <c r="L277" t="s">
        <v>3361</v>
      </c>
      <c r="M277" t="s">
        <v>3305</v>
      </c>
      <c r="N277" s="1">
        <v>43789</v>
      </c>
      <c r="O277">
        <v>50330</v>
      </c>
      <c r="P277" t="s">
        <v>3313</v>
      </c>
    </row>
    <row r="278" spans="1:16">
      <c r="A278" t="s">
        <v>4175</v>
      </c>
      <c r="B278" t="s">
        <v>4176</v>
      </c>
      <c r="C278" t="s">
        <v>3611</v>
      </c>
      <c r="D278" t="s">
        <v>3301</v>
      </c>
      <c r="E278" t="s">
        <v>3310</v>
      </c>
      <c r="F278">
        <v>67830</v>
      </c>
      <c r="G278">
        <v>43610</v>
      </c>
      <c r="H278" t="s">
        <v>4177</v>
      </c>
      <c r="I278">
        <v>600</v>
      </c>
      <c r="J278">
        <v>4.2</v>
      </c>
      <c r="K278">
        <v>541</v>
      </c>
      <c r="L278" t="s">
        <v>3361</v>
      </c>
      <c r="M278" t="s">
        <v>3305</v>
      </c>
      <c r="N278" s="1">
        <v>44443</v>
      </c>
      <c r="O278">
        <v>24220</v>
      </c>
      <c r="P278" t="s">
        <v>3313</v>
      </c>
    </row>
    <row r="279" spans="1:16">
      <c r="A279" t="s">
        <v>4178</v>
      </c>
      <c r="B279" t="s">
        <v>4179</v>
      </c>
      <c r="C279" t="s">
        <v>3401</v>
      </c>
      <c r="D279" t="s">
        <v>3301</v>
      </c>
      <c r="E279" t="s">
        <v>3317</v>
      </c>
      <c r="F279">
        <v>27200</v>
      </c>
      <c r="G279">
        <v>15430</v>
      </c>
      <c r="H279" t="s">
        <v>4180</v>
      </c>
      <c r="I279">
        <v>626</v>
      </c>
      <c r="J279">
        <v>4.0999999999999996</v>
      </c>
      <c r="K279">
        <v>2533</v>
      </c>
      <c r="L279" t="s">
        <v>3335</v>
      </c>
      <c r="M279" t="s">
        <v>3305</v>
      </c>
      <c r="N279" s="1">
        <v>44028</v>
      </c>
      <c r="O279">
        <v>11770</v>
      </c>
      <c r="P279" t="s">
        <v>3306</v>
      </c>
    </row>
    <row r="280" spans="1:16">
      <c r="A280" t="s">
        <v>4181</v>
      </c>
      <c r="B280" t="s">
        <v>4182</v>
      </c>
      <c r="C280" t="s">
        <v>3685</v>
      </c>
      <c r="D280" t="s">
        <v>3301</v>
      </c>
      <c r="E280" t="s">
        <v>3322</v>
      </c>
      <c r="F280">
        <v>23220</v>
      </c>
      <c r="G280">
        <v>17440</v>
      </c>
      <c r="H280" t="s">
        <v>3845</v>
      </c>
      <c r="I280">
        <v>529</v>
      </c>
      <c r="J280">
        <v>4.5</v>
      </c>
      <c r="K280">
        <v>2123</v>
      </c>
      <c r="L280" t="s">
        <v>3335</v>
      </c>
      <c r="M280" t="s">
        <v>3305</v>
      </c>
      <c r="N280" s="1">
        <v>44566</v>
      </c>
      <c r="O280">
        <v>5780</v>
      </c>
      <c r="P280" t="s">
        <v>3306</v>
      </c>
    </row>
    <row r="281" spans="1:16">
      <c r="A281" t="s">
        <v>4183</v>
      </c>
      <c r="B281" t="s">
        <v>4184</v>
      </c>
      <c r="C281" t="s">
        <v>3628</v>
      </c>
      <c r="D281" t="s">
        <v>3301</v>
      </c>
      <c r="E281" t="s">
        <v>3328</v>
      </c>
      <c r="F281">
        <v>14370</v>
      </c>
      <c r="G281">
        <v>4640</v>
      </c>
      <c r="H281" t="s">
        <v>4185</v>
      </c>
      <c r="I281">
        <v>536</v>
      </c>
      <c r="J281">
        <v>2.9</v>
      </c>
      <c r="K281">
        <v>4723</v>
      </c>
      <c r="L281" t="s">
        <v>3304</v>
      </c>
      <c r="M281" t="s">
        <v>3305</v>
      </c>
      <c r="N281" s="1">
        <v>45558</v>
      </c>
      <c r="O281">
        <v>9730</v>
      </c>
      <c r="P281" t="s">
        <v>3330</v>
      </c>
    </row>
    <row r="282" spans="1:16">
      <c r="A282" t="s">
        <v>4186</v>
      </c>
      <c r="B282" t="s">
        <v>4187</v>
      </c>
      <c r="C282" t="s">
        <v>3769</v>
      </c>
      <c r="D282" t="s">
        <v>3301</v>
      </c>
      <c r="E282" t="s">
        <v>3333</v>
      </c>
      <c r="F282">
        <v>6170</v>
      </c>
      <c r="G282">
        <v>3410</v>
      </c>
      <c r="H282" t="s">
        <v>4188</v>
      </c>
      <c r="I282">
        <v>161</v>
      </c>
      <c r="J282">
        <v>3.4</v>
      </c>
      <c r="K282">
        <v>842</v>
      </c>
      <c r="L282" t="s">
        <v>3304</v>
      </c>
      <c r="M282" t="s">
        <v>3305</v>
      </c>
      <c r="N282" s="1">
        <v>45550</v>
      </c>
      <c r="O282">
        <v>2760</v>
      </c>
      <c r="P282" t="s">
        <v>3330</v>
      </c>
    </row>
    <row r="283" spans="1:16">
      <c r="A283" t="s">
        <v>4189</v>
      </c>
      <c r="B283" t="s">
        <v>4190</v>
      </c>
      <c r="C283" t="s">
        <v>3316</v>
      </c>
      <c r="D283" t="s">
        <v>3301</v>
      </c>
      <c r="E283" t="s">
        <v>3338</v>
      </c>
      <c r="F283">
        <v>4010</v>
      </c>
      <c r="G283">
        <v>2530</v>
      </c>
      <c r="H283" t="s">
        <v>4191</v>
      </c>
      <c r="I283">
        <v>372</v>
      </c>
      <c r="J283">
        <v>3.6</v>
      </c>
      <c r="K283">
        <v>1229</v>
      </c>
      <c r="L283" t="s">
        <v>3335</v>
      </c>
      <c r="M283" t="s">
        <v>3378</v>
      </c>
      <c r="N283" s="1">
        <v>43610</v>
      </c>
      <c r="O283">
        <v>1480</v>
      </c>
      <c r="P283" t="s">
        <v>3324</v>
      </c>
    </row>
    <row r="284" spans="1:16">
      <c r="A284" t="s">
        <v>4192</v>
      </c>
      <c r="B284" t="s">
        <v>4193</v>
      </c>
      <c r="C284" t="s">
        <v>3451</v>
      </c>
      <c r="D284" t="s">
        <v>3301</v>
      </c>
      <c r="E284" t="s">
        <v>3343</v>
      </c>
      <c r="F284">
        <v>3640</v>
      </c>
      <c r="G284">
        <v>1620</v>
      </c>
      <c r="H284" t="s">
        <v>4194</v>
      </c>
      <c r="I284">
        <v>426</v>
      </c>
      <c r="J284">
        <v>4.8</v>
      </c>
      <c r="K284">
        <v>2620</v>
      </c>
      <c r="L284" t="s">
        <v>3361</v>
      </c>
      <c r="M284" t="s">
        <v>3305</v>
      </c>
      <c r="N284" s="1">
        <v>44993</v>
      </c>
      <c r="O284">
        <v>2020</v>
      </c>
      <c r="P284" t="s">
        <v>3324</v>
      </c>
    </row>
    <row r="285" spans="1:16">
      <c r="A285" t="s">
        <v>4195</v>
      </c>
      <c r="B285" t="s">
        <v>4196</v>
      </c>
      <c r="C285" t="s">
        <v>3473</v>
      </c>
      <c r="D285" t="s">
        <v>3301</v>
      </c>
      <c r="E285" t="s">
        <v>3348</v>
      </c>
      <c r="F285">
        <v>21630</v>
      </c>
      <c r="G285">
        <v>18180</v>
      </c>
      <c r="H285" t="s">
        <v>4197</v>
      </c>
      <c r="I285">
        <v>528</v>
      </c>
      <c r="J285">
        <v>5</v>
      </c>
      <c r="K285">
        <v>3284</v>
      </c>
      <c r="L285" t="s">
        <v>3304</v>
      </c>
      <c r="M285" t="s">
        <v>3305</v>
      </c>
      <c r="N285" s="1">
        <v>44622</v>
      </c>
      <c r="O285">
        <v>3450</v>
      </c>
      <c r="P285" t="s">
        <v>3306</v>
      </c>
    </row>
    <row r="286" spans="1:16">
      <c r="A286" t="s">
        <v>4198</v>
      </c>
      <c r="B286" t="s">
        <v>4199</v>
      </c>
      <c r="C286" t="s">
        <v>3504</v>
      </c>
      <c r="D286" t="s">
        <v>3353</v>
      </c>
      <c r="E286" t="s">
        <v>3354</v>
      </c>
      <c r="F286">
        <v>9360</v>
      </c>
      <c r="G286">
        <v>3920</v>
      </c>
      <c r="H286" t="s">
        <v>4200</v>
      </c>
      <c r="I286">
        <v>8</v>
      </c>
      <c r="J286">
        <v>3.6</v>
      </c>
      <c r="K286">
        <v>2388</v>
      </c>
      <c r="L286" t="s">
        <v>3361</v>
      </c>
      <c r="M286" t="s">
        <v>3305</v>
      </c>
      <c r="N286" s="1">
        <v>44459</v>
      </c>
      <c r="O286">
        <v>5440</v>
      </c>
      <c r="P286" t="s">
        <v>3330</v>
      </c>
    </row>
    <row r="287" spans="1:16">
      <c r="A287" t="s">
        <v>4201</v>
      </c>
      <c r="B287" t="s">
        <v>4202</v>
      </c>
      <c r="C287" t="s">
        <v>3498</v>
      </c>
      <c r="D287" t="s">
        <v>3353</v>
      </c>
      <c r="E287" t="s">
        <v>3359</v>
      </c>
      <c r="F287">
        <v>6630</v>
      </c>
      <c r="G287">
        <v>1780</v>
      </c>
      <c r="H287" t="s">
        <v>4203</v>
      </c>
      <c r="I287">
        <v>750</v>
      </c>
      <c r="J287">
        <v>4.8</v>
      </c>
      <c r="K287">
        <v>2008</v>
      </c>
      <c r="L287" t="s">
        <v>3335</v>
      </c>
      <c r="M287" t="s">
        <v>3305</v>
      </c>
      <c r="N287" s="1">
        <v>45145</v>
      </c>
      <c r="O287">
        <v>4850</v>
      </c>
      <c r="P287" t="s">
        <v>3330</v>
      </c>
    </row>
    <row r="288" spans="1:16">
      <c r="A288" t="s">
        <v>4204</v>
      </c>
      <c r="B288" t="s">
        <v>4205</v>
      </c>
      <c r="C288" t="s">
        <v>3309</v>
      </c>
      <c r="D288" t="s">
        <v>3353</v>
      </c>
      <c r="E288" t="s">
        <v>3364</v>
      </c>
      <c r="F288">
        <v>6210</v>
      </c>
      <c r="G288">
        <v>680</v>
      </c>
      <c r="H288" t="s">
        <v>4206</v>
      </c>
      <c r="I288">
        <v>343</v>
      </c>
      <c r="J288">
        <v>2.8</v>
      </c>
      <c r="K288">
        <v>3082</v>
      </c>
      <c r="L288" t="s">
        <v>3361</v>
      </c>
      <c r="M288" t="s">
        <v>3305</v>
      </c>
      <c r="N288" s="1">
        <v>45636</v>
      </c>
      <c r="O288">
        <v>5530</v>
      </c>
      <c r="P288" t="s">
        <v>3330</v>
      </c>
    </row>
    <row r="289" spans="1:16">
      <c r="A289" t="s">
        <v>4207</v>
      </c>
      <c r="B289" t="s">
        <v>4208</v>
      </c>
      <c r="C289" t="s">
        <v>3347</v>
      </c>
      <c r="D289" t="s">
        <v>3353</v>
      </c>
      <c r="E289" t="s">
        <v>3368</v>
      </c>
      <c r="F289">
        <v>1860</v>
      </c>
      <c r="G289">
        <v>970</v>
      </c>
      <c r="H289" t="s">
        <v>4209</v>
      </c>
      <c r="I289">
        <v>95</v>
      </c>
      <c r="J289">
        <v>2.9</v>
      </c>
      <c r="K289">
        <v>1896</v>
      </c>
      <c r="L289" t="s">
        <v>3312</v>
      </c>
      <c r="M289" t="s">
        <v>3305</v>
      </c>
      <c r="N289" s="1">
        <v>44991</v>
      </c>
      <c r="O289">
        <v>890</v>
      </c>
      <c r="P289" t="s">
        <v>3324</v>
      </c>
    </row>
    <row r="290" spans="1:16">
      <c r="A290" t="s">
        <v>4210</v>
      </c>
      <c r="B290" t="s">
        <v>4211</v>
      </c>
      <c r="C290" t="s">
        <v>3498</v>
      </c>
      <c r="D290" t="s">
        <v>3353</v>
      </c>
      <c r="E290" t="s">
        <v>3372</v>
      </c>
      <c r="F290">
        <v>2570</v>
      </c>
      <c r="G290">
        <v>570</v>
      </c>
      <c r="H290" t="s">
        <v>3988</v>
      </c>
      <c r="I290">
        <v>652</v>
      </c>
      <c r="J290">
        <v>4.5999999999999996</v>
      </c>
      <c r="K290">
        <v>613</v>
      </c>
      <c r="L290" t="s">
        <v>3304</v>
      </c>
      <c r="M290" t="s">
        <v>3305</v>
      </c>
      <c r="N290" s="1">
        <v>44001</v>
      </c>
      <c r="O290">
        <v>2000</v>
      </c>
      <c r="P290" t="s">
        <v>3324</v>
      </c>
    </row>
    <row r="291" spans="1:16">
      <c r="A291" t="s">
        <v>4212</v>
      </c>
      <c r="B291" t="s">
        <v>4213</v>
      </c>
      <c r="C291" t="s">
        <v>3347</v>
      </c>
      <c r="D291" t="s">
        <v>3353</v>
      </c>
      <c r="E291" t="s">
        <v>3376</v>
      </c>
      <c r="F291">
        <v>900</v>
      </c>
      <c r="G291">
        <v>390</v>
      </c>
      <c r="H291" t="s">
        <v>3968</v>
      </c>
      <c r="I291">
        <v>325</v>
      </c>
      <c r="J291">
        <v>3.8</v>
      </c>
      <c r="K291">
        <v>1913</v>
      </c>
      <c r="L291" t="s">
        <v>3304</v>
      </c>
      <c r="M291" t="s">
        <v>3378</v>
      </c>
      <c r="N291" s="1">
        <v>44023</v>
      </c>
      <c r="O291">
        <v>510</v>
      </c>
      <c r="P291" t="s">
        <v>3324</v>
      </c>
    </row>
    <row r="292" spans="1:16">
      <c r="A292" t="s">
        <v>4214</v>
      </c>
      <c r="B292" t="s">
        <v>4215</v>
      </c>
      <c r="C292" t="s">
        <v>3504</v>
      </c>
      <c r="D292" t="s">
        <v>3353</v>
      </c>
      <c r="E292" t="s">
        <v>3382</v>
      </c>
      <c r="F292">
        <v>730</v>
      </c>
      <c r="G292">
        <v>260</v>
      </c>
      <c r="H292" t="s">
        <v>4216</v>
      </c>
      <c r="I292">
        <v>460</v>
      </c>
      <c r="J292">
        <v>3.8</v>
      </c>
      <c r="K292">
        <v>3330</v>
      </c>
      <c r="L292" t="s">
        <v>3304</v>
      </c>
      <c r="M292" t="s">
        <v>3305</v>
      </c>
      <c r="N292" s="1">
        <v>44316</v>
      </c>
      <c r="O292">
        <v>470</v>
      </c>
      <c r="P292" t="s">
        <v>3324</v>
      </c>
    </row>
    <row r="293" spans="1:16">
      <c r="A293" t="s">
        <v>4217</v>
      </c>
      <c r="B293" t="s">
        <v>4218</v>
      </c>
      <c r="C293" t="s">
        <v>3597</v>
      </c>
      <c r="D293" t="s">
        <v>3387</v>
      </c>
      <c r="E293" t="s">
        <v>3388</v>
      </c>
      <c r="F293">
        <v>3460</v>
      </c>
      <c r="G293">
        <v>1080</v>
      </c>
      <c r="H293" t="s">
        <v>3501</v>
      </c>
      <c r="I293">
        <v>161</v>
      </c>
      <c r="J293">
        <v>4.5999999999999996</v>
      </c>
      <c r="K293">
        <v>2492</v>
      </c>
      <c r="L293" t="s">
        <v>3304</v>
      </c>
      <c r="M293" t="s">
        <v>3305</v>
      </c>
      <c r="N293" s="1">
        <v>44808</v>
      </c>
      <c r="O293">
        <v>2380</v>
      </c>
      <c r="P293" t="s">
        <v>3324</v>
      </c>
    </row>
    <row r="294" spans="1:16">
      <c r="A294" t="s">
        <v>4219</v>
      </c>
      <c r="B294" t="s">
        <v>4220</v>
      </c>
      <c r="C294" t="s">
        <v>3650</v>
      </c>
      <c r="D294" t="s">
        <v>3387</v>
      </c>
      <c r="E294" t="s">
        <v>3392</v>
      </c>
      <c r="F294">
        <v>5740</v>
      </c>
      <c r="G294">
        <v>3600</v>
      </c>
      <c r="H294" t="s">
        <v>3980</v>
      </c>
      <c r="I294">
        <v>50</v>
      </c>
      <c r="J294">
        <v>4.3</v>
      </c>
      <c r="K294">
        <v>2131</v>
      </c>
      <c r="L294" t="s">
        <v>3335</v>
      </c>
      <c r="M294" t="s">
        <v>3305</v>
      </c>
      <c r="N294" s="1">
        <v>45122</v>
      </c>
      <c r="O294">
        <v>2140</v>
      </c>
      <c r="P294" t="s">
        <v>3330</v>
      </c>
    </row>
    <row r="295" spans="1:16">
      <c r="A295" t="s">
        <v>4221</v>
      </c>
      <c r="B295" t="s">
        <v>4222</v>
      </c>
      <c r="C295" t="s">
        <v>3597</v>
      </c>
      <c r="D295" t="s">
        <v>3387</v>
      </c>
      <c r="E295" t="s">
        <v>3397</v>
      </c>
      <c r="F295">
        <v>690</v>
      </c>
      <c r="G295">
        <v>420</v>
      </c>
      <c r="H295" t="s">
        <v>4223</v>
      </c>
      <c r="I295">
        <v>104</v>
      </c>
      <c r="J295">
        <v>4.5999999999999996</v>
      </c>
      <c r="K295">
        <v>1145</v>
      </c>
      <c r="L295" t="s">
        <v>3304</v>
      </c>
      <c r="M295" t="s">
        <v>3305</v>
      </c>
      <c r="N295" s="1">
        <v>44376</v>
      </c>
      <c r="O295">
        <v>270</v>
      </c>
      <c r="P295" t="s">
        <v>3324</v>
      </c>
    </row>
    <row r="296" spans="1:16">
      <c r="A296" t="s">
        <v>4224</v>
      </c>
      <c r="B296" t="s">
        <v>4225</v>
      </c>
      <c r="C296" t="s">
        <v>3704</v>
      </c>
      <c r="D296" t="s">
        <v>3402</v>
      </c>
      <c r="E296" t="s">
        <v>3403</v>
      </c>
      <c r="F296">
        <v>11320</v>
      </c>
      <c r="G296">
        <v>5880</v>
      </c>
      <c r="H296" t="s">
        <v>3511</v>
      </c>
      <c r="I296">
        <v>86</v>
      </c>
      <c r="J296">
        <v>4.0999999999999996</v>
      </c>
      <c r="K296">
        <v>2120</v>
      </c>
      <c r="L296" t="s">
        <v>3304</v>
      </c>
      <c r="M296" t="s">
        <v>3305</v>
      </c>
      <c r="N296" s="1">
        <v>43730</v>
      </c>
      <c r="O296">
        <v>5440</v>
      </c>
      <c r="P296" t="s">
        <v>3330</v>
      </c>
    </row>
    <row r="297" spans="1:16">
      <c r="A297" t="s">
        <v>4226</v>
      </c>
      <c r="B297" t="s">
        <v>4227</v>
      </c>
      <c r="C297" t="s">
        <v>3491</v>
      </c>
      <c r="D297" t="s">
        <v>3301</v>
      </c>
      <c r="E297" t="s">
        <v>3407</v>
      </c>
      <c r="F297">
        <v>8010</v>
      </c>
      <c r="G297">
        <v>4860</v>
      </c>
      <c r="H297" t="s">
        <v>4228</v>
      </c>
      <c r="I297">
        <v>125</v>
      </c>
      <c r="J297">
        <v>2.9</v>
      </c>
      <c r="K297">
        <v>3776</v>
      </c>
      <c r="L297" t="s">
        <v>3304</v>
      </c>
      <c r="M297" t="s">
        <v>3305</v>
      </c>
      <c r="N297" s="1">
        <v>45240</v>
      </c>
      <c r="O297">
        <v>3150</v>
      </c>
      <c r="P297" t="s">
        <v>3330</v>
      </c>
    </row>
    <row r="298" spans="1:16">
      <c r="A298" t="s">
        <v>4229</v>
      </c>
      <c r="B298" t="s">
        <v>4230</v>
      </c>
      <c r="C298" t="s">
        <v>3628</v>
      </c>
      <c r="D298" t="s">
        <v>3301</v>
      </c>
      <c r="E298" t="s">
        <v>3411</v>
      </c>
      <c r="F298">
        <v>58160</v>
      </c>
      <c r="G298">
        <v>33460</v>
      </c>
      <c r="H298" t="s">
        <v>3705</v>
      </c>
      <c r="I298">
        <v>176</v>
      </c>
      <c r="J298">
        <v>3.6</v>
      </c>
      <c r="K298">
        <v>1533</v>
      </c>
      <c r="L298" t="s">
        <v>3361</v>
      </c>
      <c r="M298" t="s">
        <v>3305</v>
      </c>
      <c r="N298" s="1">
        <v>44074</v>
      </c>
      <c r="O298">
        <v>24700</v>
      </c>
      <c r="P298" t="s">
        <v>3313</v>
      </c>
    </row>
    <row r="299" spans="1:16">
      <c r="A299" t="s">
        <v>4231</v>
      </c>
      <c r="B299" t="s">
        <v>4232</v>
      </c>
      <c r="C299" t="s">
        <v>3776</v>
      </c>
      <c r="D299" t="s">
        <v>3301</v>
      </c>
      <c r="E299" t="s">
        <v>3416</v>
      </c>
      <c r="F299">
        <v>44220</v>
      </c>
      <c r="G299">
        <v>29210</v>
      </c>
      <c r="H299" t="s">
        <v>4233</v>
      </c>
      <c r="I299">
        <v>302</v>
      </c>
      <c r="J299">
        <v>3.9</v>
      </c>
      <c r="K299">
        <v>4511</v>
      </c>
      <c r="L299" t="s">
        <v>3312</v>
      </c>
      <c r="M299" t="s">
        <v>3305</v>
      </c>
      <c r="N299" s="1">
        <v>44611</v>
      </c>
      <c r="O299">
        <v>15010</v>
      </c>
      <c r="P299" t="s">
        <v>3306</v>
      </c>
    </row>
    <row r="300" spans="1:16">
      <c r="A300" t="s">
        <v>4234</v>
      </c>
      <c r="B300" t="s">
        <v>4235</v>
      </c>
      <c r="C300" t="s">
        <v>3462</v>
      </c>
      <c r="D300" t="s">
        <v>3353</v>
      </c>
      <c r="E300" t="s">
        <v>3421</v>
      </c>
      <c r="F300">
        <v>11030</v>
      </c>
      <c r="G300">
        <v>8910</v>
      </c>
      <c r="H300" t="s">
        <v>3951</v>
      </c>
      <c r="I300">
        <v>255</v>
      </c>
      <c r="J300">
        <v>4.2</v>
      </c>
      <c r="K300">
        <v>4453</v>
      </c>
      <c r="L300" t="s">
        <v>3304</v>
      </c>
      <c r="M300" t="s">
        <v>3378</v>
      </c>
      <c r="N300" s="1">
        <v>44936</v>
      </c>
      <c r="O300">
        <v>2120</v>
      </c>
      <c r="P300" t="s">
        <v>3330</v>
      </c>
    </row>
    <row r="301" spans="1:16">
      <c r="A301" t="s">
        <v>4236</v>
      </c>
      <c r="B301" t="s">
        <v>4237</v>
      </c>
      <c r="C301" t="s">
        <v>3487</v>
      </c>
      <c r="D301" t="s">
        <v>3353</v>
      </c>
      <c r="E301" t="s">
        <v>3426</v>
      </c>
      <c r="F301">
        <v>10270</v>
      </c>
      <c r="G301">
        <v>4720</v>
      </c>
      <c r="H301" t="s">
        <v>4238</v>
      </c>
      <c r="I301">
        <v>329</v>
      </c>
      <c r="J301">
        <v>3.7</v>
      </c>
      <c r="K301">
        <v>1473</v>
      </c>
      <c r="L301" t="s">
        <v>3304</v>
      </c>
      <c r="M301" t="s">
        <v>3305</v>
      </c>
      <c r="N301" s="1">
        <v>44363</v>
      </c>
      <c r="O301">
        <v>5550</v>
      </c>
      <c r="P301" t="s">
        <v>3330</v>
      </c>
    </row>
    <row r="302" spans="1:16">
      <c r="A302" t="s">
        <v>4239</v>
      </c>
      <c r="B302" t="s">
        <v>4240</v>
      </c>
      <c r="C302" t="s">
        <v>3309</v>
      </c>
      <c r="D302" t="s">
        <v>3301</v>
      </c>
      <c r="E302" t="s">
        <v>3302</v>
      </c>
      <c r="F302">
        <v>77390</v>
      </c>
      <c r="G302">
        <v>28420</v>
      </c>
      <c r="H302" t="s">
        <v>4241</v>
      </c>
      <c r="I302">
        <v>785</v>
      </c>
      <c r="J302">
        <v>4.0999999999999996</v>
      </c>
      <c r="K302">
        <v>1906</v>
      </c>
      <c r="L302" t="s">
        <v>3335</v>
      </c>
      <c r="M302" t="s">
        <v>3305</v>
      </c>
      <c r="N302" s="1">
        <v>44453</v>
      </c>
      <c r="O302">
        <v>48970</v>
      </c>
      <c r="P302" t="s">
        <v>3313</v>
      </c>
    </row>
    <row r="303" spans="1:16">
      <c r="A303" t="s">
        <v>4242</v>
      </c>
      <c r="B303" t="s">
        <v>4243</v>
      </c>
      <c r="C303" t="s">
        <v>3615</v>
      </c>
      <c r="D303" t="s">
        <v>3301</v>
      </c>
      <c r="E303" t="s">
        <v>3310</v>
      </c>
      <c r="F303">
        <v>149230</v>
      </c>
      <c r="G303">
        <v>46760</v>
      </c>
      <c r="H303" t="s">
        <v>3686</v>
      </c>
      <c r="I303">
        <v>589</v>
      </c>
      <c r="J303">
        <v>4.7</v>
      </c>
      <c r="K303">
        <v>3181</v>
      </c>
      <c r="L303" t="s">
        <v>3361</v>
      </c>
      <c r="M303" t="s">
        <v>3378</v>
      </c>
      <c r="N303" s="1">
        <v>44177</v>
      </c>
      <c r="O303">
        <v>102470</v>
      </c>
      <c r="P303" t="s">
        <v>3313</v>
      </c>
    </row>
    <row r="304" spans="1:16">
      <c r="A304" t="s">
        <v>4244</v>
      </c>
      <c r="B304" t="s">
        <v>4245</v>
      </c>
      <c r="C304" t="s">
        <v>3553</v>
      </c>
      <c r="D304" t="s">
        <v>3301</v>
      </c>
      <c r="E304" t="s">
        <v>3317</v>
      </c>
      <c r="F304">
        <v>59030</v>
      </c>
      <c r="G304">
        <v>46770</v>
      </c>
      <c r="H304" t="s">
        <v>4009</v>
      </c>
      <c r="I304">
        <v>28</v>
      </c>
      <c r="J304">
        <v>4.3</v>
      </c>
      <c r="K304">
        <v>2880</v>
      </c>
      <c r="L304" t="s">
        <v>3335</v>
      </c>
      <c r="M304" t="s">
        <v>3305</v>
      </c>
      <c r="N304" s="1">
        <v>44237</v>
      </c>
      <c r="O304">
        <v>12260</v>
      </c>
      <c r="P304" t="s">
        <v>3313</v>
      </c>
    </row>
    <row r="305" spans="1:16">
      <c r="A305" t="s">
        <v>4246</v>
      </c>
      <c r="B305" t="s">
        <v>4247</v>
      </c>
      <c r="C305" t="s">
        <v>3654</v>
      </c>
      <c r="D305" t="s">
        <v>3301</v>
      </c>
      <c r="E305" t="s">
        <v>3322</v>
      </c>
      <c r="F305">
        <v>32640</v>
      </c>
      <c r="G305">
        <v>1540</v>
      </c>
      <c r="H305" t="s">
        <v>4248</v>
      </c>
      <c r="I305">
        <v>92</v>
      </c>
      <c r="J305">
        <v>2.9</v>
      </c>
      <c r="K305">
        <v>4928</v>
      </c>
      <c r="L305" t="s">
        <v>3335</v>
      </c>
      <c r="M305" t="s">
        <v>3305</v>
      </c>
      <c r="N305" s="1">
        <v>45423</v>
      </c>
      <c r="O305">
        <v>31100</v>
      </c>
      <c r="P305" t="s">
        <v>3306</v>
      </c>
    </row>
    <row r="306" spans="1:16">
      <c r="A306" t="s">
        <v>4249</v>
      </c>
      <c r="B306" t="s">
        <v>4250</v>
      </c>
      <c r="C306" t="s">
        <v>3316</v>
      </c>
      <c r="D306" t="s">
        <v>3301</v>
      </c>
      <c r="E306" t="s">
        <v>3328</v>
      </c>
      <c r="F306">
        <v>4570</v>
      </c>
      <c r="G306">
        <v>1580</v>
      </c>
      <c r="H306" t="s">
        <v>4251</v>
      </c>
      <c r="I306">
        <v>734</v>
      </c>
      <c r="J306">
        <v>3.2</v>
      </c>
      <c r="K306">
        <v>2650</v>
      </c>
      <c r="L306" t="s">
        <v>3304</v>
      </c>
      <c r="M306" t="s">
        <v>3305</v>
      </c>
      <c r="N306" s="1">
        <v>44046</v>
      </c>
      <c r="O306">
        <v>2990</v>
      </c>
      <c r="P306" t="s">
        <v>3324</v>
      </c>
    </row>
    <row r="307" spans="1:16">
      <c r="A307" t="s">
        <v>4252</v>
      </c>
      <c r="B307" t="s">
        <v>4253</v>
      </c>
      <c r="C307" t="s">
        <v>3504</v>
      </c>
      <c r="D307" t="s">
        <v>3301</v>
      </c>
      <c r="E307" t="s">
        <v>3333</v>
      </c>
      <c r="F307">
        <v>3080</v>
      </c>
      <c r="G307">
        <v>1930</v>
      </c>
      <c r="H307" t="s">
        <v>3980</v>
      </c>
      <c r="I307">
        <v>721</v>
      </c>
      <c r="J307">
        <v>4.9000000000000004</v>
      </c>
      <c r="K307">
        <v>3240</v>
      </c>
      <c r="L307" t="s">
        <v>3304</v>
      </c>
      <c r="M307" t="s">
        <v>3305</v>
      </c>
      <c r="N307" s="1">
        <v>44787</v>
      </c>
      <c r="O307">
        <v>1150</v>
      </c>
      <c r="P307" t="s">
        <v>3324</v>
      </c>
    </row>
    <row r="308" spans="1:16">
      <c r="A308" t="s">
        <v>4254</v>
      </c>
      <c r="B308" t="s">
        <v>4255</v>
      </c>
      <c r="C308" t="s">
        <v>3704</v>
      </c>
      <c r="D308" t="s">
        <v>3301</v>
      </c>
      <c r="E308" t="s">
        <v>3338</v>
      </c>
      <c r="F308">
        <v>32930</v>
      </c>
      <c r="G308">
        <v>21870</v>
      </c>
      <c r="H308" t="s">
        <v>4256</v>
      </c>
      <c r="I308">
        <v>324</v>
      </c>
      <c r="J308">
        <v>3.2</v>
      </c>
      <c r="K308">
        <v>4603</v>
      </c>
      <c r="L308" t="s">
        <v>3361</v>
      </c>
      <c r="M308" t="s">
        <v>3305</v>
      </c>
      <c r="N308" s="1">
        <v>44184</v>
      </c>
      <c r="O308">
        <v>11060</v>
      </c>
      <c r="P308" t="s">
        <v>3306</v>
      </c>
    </row>
    <row r="309" spans="1:16">
      <c r="A309" t="s">
        <v>4257</v>
      </c>
      <c r="B309" t="s">
        <v>4258</v>
      </c>
      <c r="C309" t="s">
        <v>3462</v>
      </c>
      <c r="D309" t="s">
        <v>3301</v>
      </c>
      <c r="E309" t="s">
        <v>3343</v>
      </c>
      <c r="F309">
        <v>2450</v>
      </c>
      <c r="G309">
        <v>600</v>
      </c>
      <c r="H309" t="s">
        <v>4259</v>
      </c>
      <c r="I309">
        <v>718</v>
      </c>
      <c r="J309">
        <v>4.9000000000000004</v>
      </c>
      <c r="K309">
        <v>3207</v>
      </c>
      <c r="L309" t="s">
        <v>3304</v>
      </c>
      <c r="M309" t="s">
        <v>3305</v>
      </c>
      <c r="N309" s="1">
        <v>44769</v>
      </c>
      <c r="O309">
        <v>1850</v>
      </c>
      <c r="P309" t="s">
        <v>3324</v>
      </c>
    </row>
    <row r="310" spans="1:16">
      <c r="A310" t="s">
        <v>4260</v>
      </c>
      <c r="B310" t="s">
        <v>4261</v>
      </c>
      <c r="C310" t="s">
        <v>3430</v>
      </c>
      <c r="D310" t="s">
        <v>3301</v>
      </c>
      <c r="E310" t="s">
        <v>3348</v>
      </c>
      <c r="F310">
        <v>39520</v>
      </c>
      <c r="G310">
        <v>9610</v>
      </c>
      <c r="H310" t="s">
        <v>3373</v>
      </c>
      <c r="I310">
        <v>339</v>
      </c>
      <c r="J310">
        <v>4.4000000000000004</v>
      </c>
      <c r="K310">
        <v>1949</v>
      </c>
      <c r="L310" t="s">
        <v>3361</v>
      </c>
      <c r="M310" t="s">
        <v>3378</v>
      </c>
      <c r="N310" s="1">
        <v>44153</v>
      </c>
      <c r="O310">
        <v>29910</v>
      </c>
      <c r="P310" t="s">
        <v>3306</v>
      </c>
    </row>
    <row r="311" spans="1:16">
      <c r="A311" t="s">
        <v>4262</v>
      </c>
      <c r="B311" t="s">
        <v>4263</v>
      </c>
      <c r="C311" t="s">
        <v>3300</v>
      </c>
      <c r="D311" t="s">
        <v>3353</v>
      </c>
      <c r="E311" t="s">
        <v>3354</v>
      </c>
      <c r="F311">
        <v>480</v>
      </c>
      <c r="G311">
        <v>250</v>
      </c>
      <c r="H311" t="s">
        <v>3840</v>
      </c>
      <c r="I311">
        <v>214</v>
      </c>
      <c r="J311">
        <v>3.3</v>
      </c>
      <c r="K311">
        <v>555</v>
      </c>
      <c r="L311" t="s">
        <v>3361</v>
      </c>
      <c r="M311" t="s">
        <v>3305</v>
      </c>
      <c r="N311" s="1">
        <v>43908</v>
      </c>
      <c r="O311">
        <v>230</v>
      </c>
      <c r="P311" t="s">
        <v>3324</v>
      </c>
    </row>
    <row r="312" spans="1:16">
      <c r="A312" t="s">
        <v>4264</v>
      </c>
      <c r="B312" t="s">
        <v>4265</v>
      </c>
      <c r="C312" t="s">
        <v>3628</v>
      </c>
      <c r="D312" t="s">
        <v>3353</v>
      </c>
      <c r="E312" t="s">
        <v>3359</v>
      </c>
      <c r="F312">
        <v>3890</v>
      </c>
      <c r="G312">
        <v>3180</v>
      </c>
      <c r="H312" t="s">
        <v>4266</v>
      </c>
      <c r="I312">
        <v>429</v>
      </c>
      <c r="J312">
        <v>4.9000000000000004</v>
      </c>
      <c r="K312">
        <v>3391</v>
      </c>
      <c r="L312" t="s">
        <v>3312</v>
      </c>
      <c r="M312" t="s">
        <v>3305</v>
      </c>
      <c r="N312" s="1">
        <v>44904</v>
      </c>
      <c r="O312">
        <v>710</v>
      </c>
      <c r="P312" t="s">
        <v>3324</v>
      </c>
    </row>
    <row r="313" spans="1:16">
      <c r="A313" t="s">
        <v>4267</v>
      </c>
      <c r="B313" t="s">
        <v>4268</v>
      </c>
      <c r="C313" t="s">
        <v>3441</v>
      </c>
      <c r="D313" t="s">
        <v>3353</v>
      </c>
      <c r="E313" t="s">
        <v>3364</v>
      </c>
      <c r="F313">
        <v>7460</v>
      </c>
      <c r="G313">
        <v>2450</v>
      </c>
      <c r="H313" t="s">
        <v>4269</v>
      </c>
      <c r="I313">
        <v>166</v>
      </c>
      <c r="J313">
        <v>3.8</v>
      </c>
      <c r="K313">
        <v>273</v>
      </c>
      <c r="L313" t="s">
        <v>3361</v>
      </c>
      <c r="M313" t="s">
        <v>3305</v>
      </c>
      <c r="N313" s="1">
        <v>44535</v>
      </c>
      <c r="O313">
        <v>5010</v>
      </c>
      <c r="P313" t="s">
        <v>3330</v>
      </c>
    </row>
    <row r="314" spans="1:16">
      <c r="A314" t="s">
        <v>4270</v>
      </c>
      <c r="B314" t="s">
        <v>4271</v>
      </c>
      <c r="C314" t="s">
        <v>3637</v>
      </c>
      <c r="D314" t="s">
        <v>3353</v>
      </c>
      <c r="E314" t="s">
        <v>3368</v>
      </c>
      <c r="F314">
        <v>3770</v>
      </c>
      <c r="G314">
        <v>1060</v>
      </c>
      <c r="H314" t="s">
        <v>4272</v>
      </c>
      <c r="I314">
        <v>749</v>
      </c>
      <c r="J314">
        <v>3</v>
      </c>
      <c r="K314">
        <v>762</v>
      </c>
      <c r="L314" t="s">
        <v>3361</v>
      </c>
      <c r="M314" t="s">
        <v>3305</v>
      </c>
      <c r="N314" s="1">
        <v>45443</v>
      </c>
      <c r="O314">
        <v>2710</v>
      </c>
      <c r="P314" t="s">
        <v>3324</v>
      </c>
    </row>
    <row r="315" spans="1:16">
      <c r="A315" t="s">
        <v>4273</v>
      </c>
      <c r="B315" t="s">
        <v>4274</v>
      </c>
      <c r="C315" t="s">
        <v>3381</v>
      </c>
      <c r="D315" t="s">
        <v>3353</v>
      </c>
      <c r="E315" t="s">
        <v>3372</v>
      </c>
      <c r="F315">
        <v>1170</v>
      </c>
      <c r="G315">
        <v>920</v>
      </c>
      <c r="H315" t="s">
        <v>3616</v>
      </c>
      <c r="I315">
        <v>444</v>
      </c>
      <c r="J315">
        <v>3.1</v>
      </c>
      <c r="K315">
        <v>829</v>
      </c>
      <c r="L315" t="s">
        <v>3361</v>
      </c>
      <c r="M315" t="s">
        <v>3305</v>
      </c>
      <c r="N315" s="1">
        <v>44244</v>
      </c>
      <c r="O315">
        <v>250</v>
      </c>
      <c r="P315" t="s">
        <v>3324</v>
      </c>
    </row>
    <row r="316" spans="1:16">
      <c r="A316" t="s">
        <v>4275</v>
      </c>
      <c r="B316" t="s">
        <v>4276</v>
      </c>
      <c r="C316" t="s">
        <v>3396</v>
      </c>
      <c r="D316" t="s">
        <v>3353</v>
      </c>
      <c r="E316" t="s">
        <v>3376</v>
      </c>
      <c r="F316">
        <v>1450</v>
      </c>
      <c r="G316">
        <v>350</v>
      </c>
      <c r="H316" t="s">
        <v>4277</v>
      </c>
      <c r="I316">
        <v>304</v>
      </c>
      <c r="J316">
        <v>3.3</v>
      </c>
      <c r="K316">
        <v>406</v>
      </c>
      <c r="L316" t="s">
        <v>3312</v>
      </c>
      <c r="M316" t="s">
        <v>3305</v>
      </c>
      <c r="N316" s="1">
        <v>45476</v>
      </c>
      <c r="O316">
        <v>1100</v>
      </c>
      <c r="P316" t="s">
        <v>3324</v>
      </c>
    </row>
    <row r="317" spans="1:16">
      <c r="A317" t="s">
        <v>4278</v>
      </c>
      <c r="B317" t="s">
        <v>4279</v>
      </c>
      <c r="C317" t="s">
        <v>3650</v>
      </c>
      <c r="D317" t="s">
        <v>3353</v>
      </c>
      <c r="E317" t="s">
        <v>3382</v>
      </c>
      <c r="F317">
        <v>2050</v>
      </c>
      <c r="G317">
        <v>360</v>
      </c>
      <c r="H317" t="s">
        <v>3474</v>
      </c>
      <c r="I317">
        <v>301</v>
      </c>
      <c r="J317">
        <v>4.5999999999999996</v>
      </c>
      <c r="K317">
        <v>4916</v>
      </c>
      <c r="L317" t="s">
        <v>3312</v>
      </c>
      <c r="M317" t="s">
        <v>3305</v>
      </c>
      <c r="N317" s="1">
        <v>43571</v>
      </c>
      <c r="O317">
        <v>1690</v>
      </c>
      <c r="P317" t="s">
        <v>3324</v>
      </c>
    </row>
    <row r="318" spans="1:16">
      <c r="A318" t="s">
        <v>4280</v>
      </c>
      <c r="B318" t="s">
        <v>4281</v>
      </c>
      <c r="C318" t="s">
        <v>3727</v>
      </c>
      <c r="D318" t="s">
        <v>3387</v>
      </c>
      <c r="E318" t="s">
        <v>3388</v>
      </c>
      <c r="F318">
        <v>9260</v>
      </c>
      <c r="G318">
        <v>7810</v>
      </c>
      <c r="H318" t="s">
        <v>4017</v>
      </c>
      <c r="I318">
        <v>118</v>
      </c>
      <c r="J318">
        <v>3.5</v>
      </c>
      <c r="K318">
        <v>3256</v>
      </c>
      <c r="L318" t="s">
        <v>3312</v>
      </c>
      <c r="M318" t="s">
        <v>3305</v>
      </c>
      <c r="N318" s="1">
        <v>44551</v>
      </c>
      <c r="O318">
        <v>1450</v>
      </c>
      <c r="P318" t="s">
        <v>3330</v>
      </c>
    </row>
    <row r="319" spans="1:16">
      <c r="A319" t="s">
        <v>4282</v>
      </c>
      <c r="B319" t="s">
        <v>4283</v>
      </c>
      <c r="C319" t="s">
        <v>3425</v>
      </c>
      <c r="D319" t="s">
        <v>3387</v>
      </c>
      <c r="E319" t="s">
        <v>3392</v>
      </c>
      <c r="F319">
        <v>4010</v>
      </c>
      <c r="G319">
        <v>2260</v>
      </c>
      <c r="H319" t="s">
        <v>3344</v>
      </c>
      <c r="I319">
        <v>390</v>
      </c>
      <c r="J319">
        <v>3.6</v>
      </c>
      <c r="K319">
        <v>3651</v>
      </c>
      <c r="L319" t="s">
        <v>3304</v>
      </c>
      <c r="M319" t="s">
        <v>3305</v>
      </c>
      <c r="N319" s="1">
        <v>45370</v>
      </c>
      <c r="O319">
        <v>1750</v>
      </c>
      <c r="P319" t="s">
        <v>3324</v>
      </c>
    </row>
    <row r="320" spans="1:16">
      <c r="A320" t="s">
        <v>4284</v>
      </c>
      <c r="B320" t="s">
        <v>4285</v>
      </c>
      <c r="C320" t="s">
        <v>3469</v>
      </c>
      <c r="D320" t="s">
        <v>3387</v>
      </c>
      <c r="E320" t="s">
        <v>3397</v>
      </c>
      <c r="F320">
        <v>550</v>
      </c>
      <c r="G320">
        <v>260</v>
      </c>
      <c r="H320" t="s">
        <v>3945</v>
      </c>
      <c r="I320">
        <v>770</v>
      </c>
      <c r="J320">
        <v>4.3</v>
      </c>
      <c r="K320">
        <v>792</v>
      </c>
      <c r="L320" t="s">
        <v>3304</v>
      </c>
      <c r="M320" t="s">
        <v>3305</v>
      </c>
      <c r="N320" s="1">
        <v>45161</v>
      </c>
      <c r="O320">
        <v>290</v>
      </c>
      <c r="P320" t="s">
        <v>3324</v>
      </c>
    </row>
    <row r="321" spans="1:16">
      <c r="A321" t="s">
        <v>4286</v>
      </c>
      <c r="B321" t="s">
        <v>4287</v>
      </c>
      <c r="C321" t="s">
        <v>3352</v>
      </c>
      <c r="D321" t="s">
        <v>3402</v>
      </c>
      <c r="E321" t="s">
        <v>3403</v>
      </c>
      <c r="F321">
        <v>2000</v>
      </c>
      <c r="G321">
        <v>1390</v>
      </c>
      <c r="H321" t="s">
        <v>4288</v>
      </c>
      <c r="I321">
        <v>535</v>
      </c>
      <c r="J321">
        <v>3.7</v>
      </c>
      <c r="K321">
        <v>4386</v>
      </c>
      <c r="L321" t="s">
        <v>3312</v>
      </c>
      <c r="M321" t="s">
        <v>3305</v>
      </c>
      <c r="N321" s="1">
        <v>44431</v>
      </c>
      <c r="O321">
        <v>610</v>
      </c>
      <c r="P321" t="s">
        <v>3324</v>
      </c>
    </row>
    <row r="322" spans="1:16">
      <c r="A322" t="s">
        <v>4289</v>
      </c>
      <c r="B322" t="s">
        <v>4290</v>
      </c>
      <c r="C322" t="s">
        <v>3487</v>
      </c>
      <c r="D322" t="s">
        <v>3301</v>
      </c>
      <c r="E322" t="s">
        <v>3407</v>
      </c>
      <c r="F322">
        <v>34580</v>
      </c>
      <c r="G322">
        <v>4640</v>
      </c>
      <c r="H322" t="s">
        <v>4291</v>
      </c>
      <c r="I322">
        <v>514</v>
      </c>
      <c r="J322">
        <v>4.0999999999999996</v>
      </c>
      <c r="K322">
        <v>4233</v>
      </c>
      <c r="L322" t="s">
        <v>3335</v>
      </c>
      <c r="M322" t="s">
        <v>3305</v>
      </c>
      <c r="N322" s="1">
        <v>45305</v>
      </c>
      <c r="O322">
        <v>29940</v>
      </c>
      <c r="P322" t="s">
        <v>3306</v>
      </c>
    </row>
    <row r="323" spans="1:16">
      <c r="A323" t="s">
        <v>4292</v>
      </c>
      <c r="B323" t="s">
        <v>4293</v>
      </c>
      <c r="C323" t="s">
        <v>3553</v>
      </c>
      <c r="D323" t="s">
        <v>3301</v>
      </c>
      <c r="E323" t="s">
        <v>3411</v>
      </c>
      <c r="F323">
        <v>24540</v>
      </c>
      <c r="G323">
        <v>6200</v>
      </c>
      <c r="H323" t="s">
        <v>4294</v>
      </c>
      <c r="I323">
        <v>433</v>
      </c>
      <c r="J323">
        <v>3</v>
      </c>
      <c r="K323">
        <v>3566</v>
      </c>
      <c r="L323" t="s">
        <v>3335</v>
      </c>
      <c r="M323" t="s">
        <v>3378</v>
      </c>
      <c r="N323" s="1">
        <v>44071</v>
      </c>
      <c r="O323">
        <v>18340</v>
      </c>
      <c r="P323" t="s">
        <v>3306</v>
      </c>
    </row>
    <row r="324" spans="1:16">
      <c r="A324" t="s">
        <v>4295</v>
      </c>
      <c r="B324" t="s">
        <v>4296</v>
      </c>
      <c r="C324" t="s">
        <v>3593</v>
      </c>
      <c r="D324" t="s">
        <v>3301</v>
      </c>
      <c r="E324" t="s">
        <v>3416</v>
      </c>
      <c r="F324">
        <v>117820</v>
      </c>
      <c r="G324">
        <v>16780</v>
      </c>
      <c r="H324" t="s">
        <v>4297</v>
      </c>
      <c r="I324">
        <v>89</v>
      </c>
      <c r="J324">
        <v>3.7</v>
      </c>
      <c r="K324">
        <v>3255</v>
      </c>
      <c r="L324" t="s">
        <v>3361</v>
      </c>
      <c r="M324" t="s">
        <v>3305</v>
      </c>
      <c r="N324" s="1">
        <v>45594</v>
      </c>
      <c r="O324">
        <v>101040</v>
      </c>
      <c r="P324" t="s">
        <v>3313</v>
      </c>
    </row>
    <row r="325" spans="1:16">
      <c r="A325" t="s">
        <v>4298</v>
      </c>
      <c r="B325" t="s">
        <v>4299</v>
      </c>
      <c r="C325" t="s">
        <v>3498</v>
      </c>
      <c r="D325" t="s">
        <v>3353</v>
      </c>
      <c r="E325" t="s">
        <v>3421</v>
      </c>
      <c r="F325">
        <v>9060</v>
      </c>
      <c r="G325">
        <v>6700</v>
      </c>
      <c r="H325" t="s">
        <v>4300</v>
      </c>
      <c r="I325">
        <v>429</v>
      </c>
      <c r="J325">
        <v>3</v>
      </c>
      <c r="K325">
        <v>1225</v>
      </c>
      <c r="L325" t="s">
        <v>3335</v>
      </c>
      <c r="M325" t="s">
        <v>3305</v>
      </c>
      <c r="N325" s="1">
        <v>43876</v>
      </c>
      <c r="O325">
        <v>2360</v>
      </c>
      <c r="P325" t="s">
        <v>3330</v>
      </c>
    </row>
    <row r="326" spans="1:16">
      <c r="A326" t="s">
        <v>4301</v>
      </c>
      <c r="B326" t="s">
        <v>4302</v>
      </c>
      <c r="C326" t="s">
        <v>3637</v>
      </c>
      <c r="D326" t="s">
        <v>3353</v>
      </c>
      <c r="E326" t="s">
        <v>3426</v>
      </c>
      <c r="F326">
        <v>9770</v>
      </c>
      <c r="G326">
        <v>7810</v>
      </c>
      <c r="H326" t="s">
        <v>4303</v>
      </c>
      <c r="I326">
        <v>352</v>
      </c>
      <c r="J326">
        <v>4.7</v>
      </c>
      <c r="K326">
        <v>2163</v>
      </c>
      <c r="L326" t="s">
        <v>3312</v>
      </c>
      <c r="M326" t="s">
        <v>3305</v>
      </c>
      <c r="N326" s="1">
        <v>45403</v>
      </c>
      <c r="O326">
        <v>1960</v>
      </c>
      <c r="P326" t="s">
        <v>3330</v>
      </c>
    </row>
    <row r="327" spans="1:16">
      <c r="A327" t="s">
        <v>4304</v>
      </c>
      <c r="B327" t="s">
        <v>4305</v>
      </c>
      <c r="C327" t="s">
        <v>3776</v>
      </c>
      <c r="D327" t="s">
        <v>3301</v>
      </c>
      <c r="E327" t="s">
        <v>3302</v>
      </c>
      <c r="F327">
        <v>26860</v>
      </c>
      <c r="G327">
        <v>18160</v>
      </c>
      <c r="H327" t="s">
        <v>3417</v>
      </c>
      <c r="I327">
        <v>39</v>
      </c>
      <c r="J327">
        <v>3.7</v>
      </c>
      <c r="K327">
        <v>2715</v>
      </c>
      <c r="L327" t="s">
        <v>3335</v>
      </c>
      <c r="M327" t="s">
        <v>3305</v>
      </c>
      <c r="N327" s="1">
        <v>45412</v>
      </c>
      <c r="O327">
        <v>8700</v>
      </c>
      <c r="P327" t="s">
        <v>3306</v>
      </c>
    </row>
    <row r="328" spans="1:16">
      <c r="A328" t="s">
        <v>4306</v>
      </c>
      <c r="B328" t="s">
        <v>4307</v>
      </c>
      <c r="C328" t="s">
        <v>3615</v>
      </c>
      <c r="D328" t="s">
        <v>3301</v>
      </c>
      <c r="E328" t="s">
        <v>3310</v>
      </c>
      <c r="F328">
        <v>132140</v>
      </c>
      <c r="G328">
        <v>57720</v>
      </c>
      <c r="H328" t="s">
        <v>4308</v>
      </c>
      <c r="I328">
        <v>318</v>
      </c>
      <c r="J328">
        <v>3.4</v>
      </c>
      <c r="K328">
        <v>4027</v>
      </c>
      <c r="L328" t="s">
        <v>3304</v>
      </c>
      <c r="M328" t="s">
        <v>3378</v>
      </c>
      <c r="N328" s="1">
        <v>44399</v>
      </c>
      <c r="O328">
        <v>74420</v>
      </c>
      <c r="P328" t="s">
        <v>3313</v>
      </c>
    </row>
    <row r="329" spans="1:16">
      <c r="A329" t="s">
        <v>4309</v>
      </c>
      <c r="B329" t="s">
        <v>4310</v>
      </c>
      <c r="C329" t="s">
        <v>3704</v>
      </c>
      <c r="D329" t="s">
        <v>3301</v>
      </c>
      <c r="E329" t="s">
        <v>3317</v>
      </c>
      <c r="F329">
        <v>47310</v>
      </c>
      <c r="G329">
        <v>31880</v>
      </c>
      <c r="H329" t="s">
        <v>4311</v>
      </c>
      <c r="I329">
        <v>426</v>
      </c>
      <c r="J329">
        <v>4.0999999999999996</v>
      </c>
      <c r="K329">
        <v>731</v>
      </c>
      <c r="L329" t="s">
        <v>3335</v>
      </c>
      <c r="M329" t="s">
        <v>3305</v>
      </c>
      <c r="N329" s="1">
        <v>45133</v>
      </c>
      <c r="O329">
        <v>15430</v>
      </c>
      <c r="P329" t="s">
        <v>3306</v>
      </c>
    </row>
    <row r="330" spans="1:16">
      <c r="A330" t="s">
        <v>4312</v>
      </c>
      <c r="B330" t="s">
        <v>4313</v>
      </c>
      <c r="C330" t="s">
        <v>3420</v>
      </c>
      <c r="D330" t="s">
        <v>3301</v>
      </c>
      <c r="E330" t="s">
        <v>3322</v>
      </c>
      <c r="F330">
        <v>4180</v>
      </c>
      <c r="G330">
        <v>2410</v>
      </c>
      <c r="H330" t="s">
        <v>3463</v>
      </c>
      <c r="I330">
        <v>162</v>
      </c>
      <c r="J330">
        <v>2.9</v>
      </c>
      <c r="K330">
        <v>4151</v>
      </c>
      <c r="L330" t="s">
        <v>3312</v>
      </c>
      <c r="M330" t="s">
        <v>3305</v>
      </c>
      <c r="N330" s="1">
        <v>45613</v>
      </c>
      <c r="O330">
        <v>1770</v>
      </c>
      <c r="P330" t="s">
        <v>3324</v>
      </c>
    </row>
    <row r="331" spans="1:16">
      <c r="A331" t="s">
        <v>4314</v>
      </c>
      <c r="B331" t="s">
        <v>4315</v>
      </c>
      <c r="C331" t="s">
        <v>3327</v>
      </c>
      <c r="D331" t="s">
        <v>3301</v>
      </c>
      <c r="E331" t="s">
        <v>3328</v>
      </c>
      <c r="F331">
        <v>6880</v>
      </c>
      <c r="G331">
        <v>650</v>
      </c>
      <c r="H331" t="s">
        <v>3533</v>
      </c>
      <c r="I331">
        <v>255</v>
      </c>
      <c r="J331">
        <v>2.9</v>
      </c>
      <c r="K331">
        <v>414</v>
      </c>
      <c r="L331" t="s">
        <v>3361</v>
      </c>
      <c r="M331" t="s">
        <v>3305</v>
      </c>
      <c r="N331" s="1">
        <v>44588</v>
      </c>
      <c r="O331">
        <v>6230</v>
      </c>
      <c r="P331" t="s">
        <v>3330</v>
      </c>
    </row>
    <row r="332" spans="1:16">
      <c r="A332" t="s">
        <v>4316</v>
      </c>
      <c r="B332" t="s">
        <v>4317</v>
      </c>
      <c r="C332" t="s">
        <v>3769</v>
      </c>
      <c r="D332" t="s">
        <v>3301</v>
      </c>
      <c r="E332" t="s">
        <v>3333</v>
      </c>
      <c r="F332">
        <v>21520</v>
      </c>
      <c r="G332">
        <v>2430</v>
      </c>
      <c r="H332" t="s">
        <v>4318</v>
      </c>
      <c r="I332">
        <v>697</v>
      </c>
      <c r="J332">
        <v>2.9</v>
      </c>
      <c r="K332">
        <v>3051</v>
      </c>
      <c r="L332" t="s">
        <v>3312</v>
      </c>
      <c r="M332" t="s">
        <v>3305</v>
      </c>
      <c r="N332" s="1">
        <v>44193</v>
      </c>
      <c r="O332">
        <v>19090</v>
      </c>
      <c r="P332" t="s">
        <v>3306</v>
      </c>
    </row>
    <row r="333" spans="1:16">
      <c r="A333" t="s">
        <v>4319</v>
      </c>
      <c r="B333" t="s">
        <v>4320</v>
      </c>
      <c r="C333" t="s">
        <v>3487</v>
      </c>
      <c r="D333" t="s">
        <v>3301</v>
      </c>
      <c r="E333" t="s">
        <v>3338</v>
      </c>
      <c r="F333">
        <v>23560</v>
      </c>
      <c r="G333">
        <v>5960</v>
      </c>
      <c r="H333" t="s">
        <v>4294</v>
      </c>
      <c r="I333">
        <v>264</v>
      </c>
      <c r="J333">
        <v>4.4000000000000004</v>
      </c>
      <c r="K333">
        <v>740</v>
      </c>
      <c r="L333" t="s">
        <v>3361</v>
      </c>
      <c r="M333" t="s">
        <v>3305</v>
      </c>
      <c r="N333" s="1">
        <v>43669</v>
      </c>
      <c r="O333">
        <v>17600</v>
      </c>
      <c r="P333" t="s">
        <v>3306</v>
      </c>
    </row>
    <row r="334" spans="1:16">
      <c r="A334" t="s">
        <v>4321</v>
      </c>
      <c r="B334" t="s">
        <v>4322</v>
      </c>
      <c r="C334" t="s">
        <v>217</v>
      </c>
      <c r="D334" t="s">
        <v>3301</v>
      </c>
      <c r="E334" t="s">
        <v>3343</v>
      </c>
      <c r="F334">
        <v>6300</v>
      </c>
      <c r="G334">
        <v>2440</v>
      </c>
      <c r="H334" t="s">
        <v>4323</v>
      </c>
      <c r="I334">
        <v>693</v>
      </c>
      <c r="J334">
        <v>3.3</v>
      </c>
      <c r="K334">
        <v>3354</v>
      </c>
      <c r="L334" t="s">
        <v>3304</v>
      </c>
      <c r="M334" t="s">
        <v>3305</v>
      </c>
      <c r="N334" s="1">
        <v>43502</v>
      </c>
      <c r="O334">
        <v>3860</v>
      </c>
      <c r="P334" t="s">
        <v>3330</v>
      </c>
    </row>
    <row r="335" spans="1:16">
      <c r="A335" t="s">
        <v>4324</v>
      </c>
      <c r="B335" t="s">
        <v>4325</v>
      </c>
      <c r="C335" t="s">
        <v>3487</v>
      </c>
      <c r="D335" t="s">
        <v>3301</v>
      </c>
      <c r="E335" t="s">
        <v>3348</v>
      </c>
      <c r="F335">
        <v>59480</v>
      </c>
      <c r="G335">
        <v>5550</v>
      </c>
      <c r="H335" t="s">
        <v>4326</v>
      </c>
      <c r="I335">
        <v>229</v>
      </c>
      <c r="J335">
        <v>3.4</v>
      </c>
      <c r="K335">
        <v>2502</v>
      </c>
      <c r="L335" t="s">
        <v>3361</v>
      </c>
      <c r="M335" t="s">
        <v>3305</v>
      </c>
      <c r="N335" s="1">
        <v>45008</v>
      </c>
      <c r="O335">
        <v>53930</v>
      </c>
      <c r="P335" t="s">
        <v>3313</v>
      </c>
    </row>
    <row r="336" spans="1:16">
      <c r="A336" t="s">
        <v>4327</v>
      </c>
      <c r="B336" t="s">
        <v>4328</v>
      </c>
      <c r="C336" t="s">
        <v>3321</v>
      </c>
      <c r="D336" t="s">
        <v>3353</v>
      </c>
      <c r="E336" t="s">
        <v>3354</v>
      </c>
      <c r="F336">
        <v>7940</v>
      </c>
      <c r="G336">
        <v>2660</v>
      </c>
      <c r="H336" t="s">
        <v>4329</v>
      </c>
      <c r="I336">
        <v>693</v>
      </c>
      <c r="J336">
        <v>3.9</v>
      </c>
      <c r="K336">
        <v>3253</v>
      </c>
      <c r="L336" t="s">
        <v>3304</v>
      </c>
      <c r="M336" t="s">
        <v>3305</v>
      </c>
      <c r="N336" s="1">
        <v>44998</v>
      </c>
      <c r="O336">
        <v>5280</v>
      </c>
      <c r="P336" t="s">
        <v>3330</v>
      </c>
    </row>
    <row r="337" spans="1:16">
      <c r="A337" t="s">
        <v>4330</v>
      </c>
      <c r="B337" t="s">
        <v>4331</v>
      </c>
      <c r="C337" t="s">
        <v>3451</v>
      </c>
      <c r="D337" t="s">
        <v>3353</v>
      </c>
      <c r="E337" t="s">
        <v>3359</v>
      </c>
      <c r="F337">
        <v>2610</v>
      </c>
      <c r="G337">
        <v>790</v>
      </c>
      <c r="H337" t="s">
        <v>4332</v>
      </c>
      <c r="I337">
        <v>700</v>
      </c>
      <c r="J337">
        <v>3</v>
      </c>
      <c r="K337">
        <v>522</v>
      </c>
      <c r="L337" t="s">
        <v>3361</v>
      </c>
      <c r="M337" t="s">
        <v>3378</v>
      </c>
      <c r="N337" s="1">
        <v>44797</v>
      </c>
      <c r="O337">
        <v>1820</v>
      </c>
      <c r="P337" t="s">
        <v>3324</v>
      </c>
    </row>
    <row r="338" spans="1:16">
      <c r="A338" t="s">
        <v>4333</v>
      </c>
      <c r="B338" t="s">
        <v>4334</v>
      </c>
      <c r="C338" t="s">
        <v>3615</v>
      </c>
      <c r="D338" t="s">
        <v>3353</v>
      </c>
      <c r="E338" t="s">
        <v>3364</v>
      </c>
      <c r="F338">
        <v>2230</v>
      </c>
      <c r="G338">
        <v>1660</v>
      </c>
      <c r="H338" t="s">
        <v>4335</v>
      </c>
      <c r="I338">
        <v>783</v>
      </c>
      <c r="J338">
        <v>3.3</v>
      </c>
      <c r="K338">
        <v>465</v>
      </c>
      <c r="L338" t="s">
        <v>3312</v>
      </c>
      <c r="M338" t="s">
        <v>3305</v>
      </c>
      <c r="N338" s="1">
        <v>44039</v>
      </c>
      <c r="O338">
        <v>570</v>
      </c>
      <c r="P338" t="s">
        <v>3324</v>
      </c>
    </row>
    <row r="339" spans="1:16">
      <c r="A339" t="s">
        <v>4336</v>
      </c>
      <c r="B339" t="s">
        <v>4337</v>
      </c>
      <c r="C339" t="s">
        <v>3628</v>
      </c>
      <c r="D339" t="s">
        <v>3353</v>
      </c>
      <c r="E339" t="s">
        <v>3368</v>
      </c>
      <c r="F339">
        <v>2820</v>
      </c>
      <c r="G339">
        <v>2260</v>
      </c>
      <c r="H339" t="s">
        <v>3601</v>
      </c>
      <c r="I339">
        <v>428</v>
      </c>
      <c r="J339">
        <v>3.7</v>
      </c>
      <c r="K339">
        <v>289</v>
      </c>
      <c r="L339" t="s">
        <v>3335</v>
      </c>
      <c r="M339" t="s">
        <v>3305</v>
      </c>
      <c r="N339" s="1">
        <v>44376</v>
      </c>
      <c r="O339">
        <v>560</v>
      </c>
      <c r="P339" t="s">
        <v>3324</v>
      </c>
    </row>
    <row r="340" spans="1:16">
      <c r="A340" t="s">
        <v>4338</v>
      </c>
      <c r="B340" t="s">
        <v>4339</v>
      </c>
      <c r="C340" t="s">
        <v>3539</v>
      </c>
      <c r="D340" t="s">
        <v>3353</v>
      </c>
      <c r="E340" t="s">
        <v>3372</v>
      </c>
      <c r="F340">
        <v>1970</v>
      </c>
      <c r="G340">
        <v>1340</v>
      </c>
      <c r="H340" t="s">
        <v>4340</v>
      </c>
      <c r="I340">
        <v>307</v>
      </c>
      <c r="J340">
        <v>4.7</v>
      </c>
      <c r="K340">
        <v>4573</v>
      </c>
      <c r="L340" t="s">
        <v>3335</v>
      </c>
      <c r="M340" t="s">
        <v>3305</v>
      </c>
      <c r="N340" s="1">
        <v>45394</v>
      </c>
      <c r="O340">
        <v>630</v>
      </c>
      <c r="P340" t="s">
        <v>3324</v>
      </c>
    </row>
    <row r="341" spans="1:16">
      <c r="A341" t="s">
        <v>4341</v>
      </c>
      <c r="B341" t="s">
        <v>4342</v>
      </c>
      <c r="C341" t="s">
        <v>3704</v>
      </c>
      <c r="D341" t="s">
        <v>3353</v>
      </c>
      <c r="E341" t="s">
        <v>3376</v>
      </c>
      <c r="F341">
        <v>470</v>
      </c>
      <c r="G341">
        <v>230</v>
      </c>
      <c r="H341" t="s">
        <v>3826</v>
      </c>
      <c r="I341">
        <v>670</v>
      </c>
      <c r="J341">
        <v>3</v>
      </c>
      <c r="K341">
        <v>2910</v>
      </c>
      <c r="L341" t="s">
        <v>3335</v>
      </c>
      <c r="M341" t="s">
        <v>3305</v>
      </c>
      <c r="N341" s="1">
        <v>44723</v>
      </c>
      <c r="O341">
        <v>240</v>
      </c>
      <c r="P341" t="s">
        <v>3324</v>
      </c>
    </row>
    <row r="342" spans="1:16">
      <c r="A342" t="s">
        <v>4343</v>
      </c>
      <c r="B342" t="s">
        <v>4344</v>
      </c>
      <c r="C342" t="s">
        <v>3396</v>
      </c>
      <c r="D342" t="s">
        <v>3353</v>
      </c>
      <c r="E342" t="s">
        <v>3382</v>
      </c>
      <c r="F342">
        <v>2700</v>
      </c>
      <c r="G342">
        <v>780</v>
      </c>
      <c r="H342" t="s">
        <v>4345</v>
      </c>
      <c r="I342">
        <v>474</v>
      </c>
      <c r="J342">
        <v>4.7</v>
      </c>
      <c r="K342">
        <v>3854</v>
      </c>
      <c r="L342" t="s">
        <v>3304</v>
      </c>
      <c r="M342" t="s">
        <v>3305</v>
      </c>
      <c r="N342" s="1">
        <v>43757</v>
      </c>
      <c r="O342">
        <v>1920</v>
      </c>
      <c r="P342" t="s">
        <v>3324</v>
      </c>
    </row>
    <row r="343" spans="1:16">
      <c r="A343" t="s">
        <v>4346</v>
      </c>
      <c r="B343" t="s">
        <v>4347</v>
      </c>
      <c r="C343" t="s">
        <v>3487</v>
      </c>
      <c r="D343" t="s">
        <v>3387</v>
      </c>
      <c r="E343" t="s">
        <v>3388</v>
      </c>
      <c r="F343">
        <v>12650</v>
      </c>
      <c r="G343">
        <v>7150</v>
      </c>
      <c r="H343" t="s">
        <v>4348</v>
      </c>
      <c r="I343">
        <v>542</v>
      </c>
      <c r="J343">
        <v>3.5</v>
      </c>
      <c r="K343">
        <v>442</v>
      </c>
      <c r="L343" t="s">
        <v>3335</v>
      </c>
      <c r="M343" t="s">
        <v>3305</v>
      </c>
      <c r="N343" s="1">
        <v>44286</v>
      </c>
      <c r="O343">
        <v>5500</v>
      </c>
      <c r="P343" t="s">
        <v>3330</v>
      </c>
    </row>
    <row r="344" spans="1:16">
      <c r="A344" t="s">
        <v>4349</v>
      </c>
      <c r="B344" t="s">
        <v>4350</v>
      </c>
      <c r="C344" t="s">
        <v>3386</v>
      </c>
      <c r="D344" t="s">
        <v>3387</v>
      </c>
      <c r="E344" t="s">
        <v>3392</v>
      </c>
      <c r="F344">
        <v>3670</v>
      </c>
      <c r="G344">
        <v>2150</v>
      </c>
      <c r="H344" t="s">
        <v>3905</v>
      </c>
      <c r="I344">
        <v>732</v>
      </c>
      <c r="J344">
        <v>3.2</v>
      </c>
      <c r="K344">
        <v>662</v>
      </c>
      <c r="L344" t="s">
        <v>3312</v>
      </c>
      <c r="M344" t="s">
        <v>3305</v>
      </c>
      <c r="N344" s="1">
        <v>44190</v>
      </c>
      <c r="O344">
        <v>1520</v>
      </c>
      <c r="P344" t="s">
        <v>3324</v>
      </c>
    </row>
    <row r="345" spans="1:16">
      <c r="A345" t="s">
        <v>4351</v>
      </c>
      <c r="B345" t="s">
        <v>4352</v>
      </c>
      <c r="C345" t="s">
        <v>3754</v>
      </c>
      <c r="D345" t="s">
        <v>3387</v>
      </c>
      <c r="E345" t="s">
        <v>3397</v>
      </c>
      <c r="F345">
        <v>2150</v>
      </c>
      <c r="G345">
        <v>740</v>
      </c>
      <c r="H345" t="s">
        <v>4353</v>
      </c>
      <c r="I345">
        <v>214</v>
      </c>
      <c r="J345">
        <v>4.5</v>
      </c>
      <c r="K345">
        <v>1381</v>
      </c>
      <c r="L345" t="s">
        <v>3335</v>
      </c>
      <c r="M345" t="s">
        <v>3305</v>
      </c>
      <c r="N345" s="1">
        <v>43826</v>
      </c>
      <c r="O345">
        <v>1410</v>
      </c>
      <c r="P345" t="s">
        <v>3324</v>
      </c>
    </row>
    <row r="346" spans="1:16">
      <c r="A346" t="s">
        <v>4354</v>
      </c>
      <c r="B346" t="s">
        <v>4355</v>
      </c>
      <c r="C346" t="s">
        <v>3704</v>
      </c>
      <c r="D346" t="s">
        <v>3402</v>
      </c>
      <c r="E346" t="s">
        <v>3403</v>
      </c>
      <c r="F346">
        <v>8030</v>
      </c>
      <c r="G346">
        <v>3900</v>
      </c>
      <c r="H346" t="s">
        <v>3508</v>
      </c>
      <c r="I346">
        <v>439</v>
      </c>
      <c r="J346">
        <v>4.9000000000000004</v>
      </c>
      <c r="K346">
        <v>3140</v>
      </c>
      <c r="L346" t="s">
        <v>3304</v>
      </c>
      <c r="M346" t="s">
        <v>3305</v>
      </c>
      <c r="N346" s="1">
        <v>44282</v>
      </c>
      <c r="O346">
        <v>4130</v>
      </c>
      <c r="P346" t="s">
        <v>3330</v>
      </c>
    </row>
    <row r="347" spans="1:16">
      <c r="A347" t="s">
        <v>4356</v>
      </c>
      <c r="B347" t="s">
        <v>4357</v>
      </c>
      <c r="C347" t="s">
        <v>3628</v>
      </c>
      <c r="D347" t="s">
        <v>3301</v>
      </c>
      <c r="E347" t="s">
        <v>3407</v>
      </c>
      <c r="F347">
        <v>29800</v>
      </c>
      <c r="G347">
        <v>20900</v>
      </c>
      <c r="H347" t="s">
        <v>3866</v>
      </c>
      <c r="I347">
        <v>195</v>
      </c>
      <c r="J347">
        <v>2.8</v>
      </c>
      <c r="K347">
        <v>33</v>
      </c>
      <c r="L347" t="s">
        <v>3335</v>
      </c>
      <c r="M347" t="s">
        <v>3305</v>
      </c>
      <c r="N347" s="1">
        <v>44876</v>
      </c>
      <c r="O347">
        <v>8900</v>
      </c>
      <c r="P347" t="s">
        <v>3306</v>
      </c>
    </row>
    <row r="348" spans="1:16">
      <c r="A348" t="s">
        <v>4358</v>
      </c>
      <c r="B348" t="s">
        <v>4359</v>
      </c>
      <c r="C348" t="s">
        <v>3455</v>
      </c>
      <c r="D348" t="s">
        <v>3301</v>
      </c>
      <c r="E348" t="s">
        <v>3411</v>
      </c>
      <c r="F348">
        <v>73970</v>
      </c>
      <c r="G348">
        <v>44080</v>
      </c>
      <c r="H348" t="s">
        <v>3557</v>
      </c>
      <c r="I348">
        <v>313</v>
      </c>
      <c r="J348">
        <v>3.2</v>
      </c>
      <c r="K348">
        <v>374</v>
      </c>
      <c r="L348" t="s">
        <v>3361</v>
      </c>
      <c r="M348" t="s">
        <v>3378</v>
      </c>
      <c r="N348" s="1">
        <v>45333</v>
      </c>
      <c r="O348">
        <v>29890</v>
      </c>
      <c r="P348" t="s">
        <v>3313</v>
      </c>
    </row>
    <row r="349" spans="1:16">
      <c r="A349" t="s">
        <v>4360</v>
      </c>
      <c r="B349" t="s">
        <v>4361</v>
      </c>
      <c r="C349" t="s">
        <v>3628</v>
      </c>
      <c r="D349" t="s">
        <v>3301</v>
      </c>
      <c r="E349" t="s">
        <v>3416</v>
      </c>
      <c r="F349">
        <v>56280</v>
      </c>
      <c r="G349">
        <v>36420</v>
      </c>
      <c r="H349" t="s">
        <v>4362</v>
      </c>
      <c r="I349">
        <v>703</v>
      </c>
      <c r="J349">
        <v>5</v>
      </c>
      <c r="K349">
        <v>2807</v>
      </c>
      <c r="L349" t="s">
        <v>3312</v>
      </c>
      <c r="M349" t="s">
        <v>3305</v>
      </c>
      <c r="N349" s="1">
        <v>44237</v>
      </c>
      <c r="O349">
        <v>19860</v>
      </c>
      <c r="P349" t="s">
        <v>3313</v>
      </c>
    </row>
    <row r="350" spans="1:16">
      <c r="A350" t="s">
        <v>4363</v>
      </c>
      <c r="B350" t="s">
        <v>4364</v>
      </c>
      <c r="C350" t="s">
        <v>217</v>
      </c>
      <c r="D350" t="s">
        <v>3353</v>
      </c>
      <c r="E350" t="s">
        <v>3421</v>
      </c>
      <c r="F350">
        <v>4170</v>
      </c>
      <c r="G350">
        <v>3280</v>
      </c>
      <c r="H350" t="s">
        <v>4365</v>
      </c>
      <c r="I350">
        <v>134</v>
      </c>
      <c r="J350">
        <v>3.3</v>
      </c>
      <c r="K350">
        <v>179</v>
      </c>
      <c r="L350" t="s">
        <v>3335</v>
      </c>
      <c r="M350" t="s">
        <v>3305</v>
      </c>
      <c r="N350" s="1">
        <v>43619</v>
      </c>
      <c r="O350">
        <v>890</v>
      </c>
      <c r="P350" t="s">
        <v>3324</v>
      </c>
    </row>
    <row r="351" spans="1:16">
      <c r="A351" t="s">
        <v>4366</v>
      </c>
      <c r="B351" t="s">
        <v>4367</v>
      </c>
      <c r="C351" t="s">
        <v>3462</v>
      </c>
      <c r="D351" t="s">
        <v>3353</v>
      </c>
      <c r="E351" t="s">
        <v>3426</v>
      </c>
      <c r="F351">
        <v>9760</v>
      </c>
      <c r="G351">
        <v>5700</v>
      </c>
      <c r="H351" t="s">
        <v>4368</v>
      </c>
      <c r="I351">
        <v>49</v>
      </c>
      <c r="J351">
        <v>4.0999999999999996</v>
      </c>
      <c r="K351">
        <v>392</v>
      </c>
      <c r="L351" t="s">
        <v>3304</v>
      </c>
      <c r="M351" t="s">
        <v>3305</v>
      </c>
      <c r="N351" s="1">
        <v>43546</v>
      </c>
      <c r="O351">
        <v>4060</v>
      </c>
      <c r="P351" t="s">
        <v>3330</v>
      </c>
    </row>
    <row r="352" spans="1:16">
      <c r="A352" t="s">
        <v>4369</v>
      </c>
      <c r="B352" t="s">
        <v>4370</v>
      </c>
      <c r="C352" t="s">
        <v>3401</v>
      </c>
      <c r="D352" t="s">
        <v>3301</v>
      </c>
      <c r="E352" t="s">
        <v>3302</v>
      </c>
      <c r="F352">
        <v>57840</v>
      </c>
      <c r="G352">
        <v>13100</v>
      </c>
      <c r="H352" t="s">
        <v>4371</v>
      </c>
      <c r="I352">
        <v>560</v>
      </c>
      <c r="J352">
        <v>3.4</v>
      </c>
      <c r="K352">
        <v>1254</v>
      </c>
      <c r="L352" t="s">
        <v>3335</v>
      </c>
      <c r="M352" t="s">
        <v>3305</v>
      </c>
      <c r="N352" s="1">
        <v>43504</v>
      </c>
      <c r="O352">
        <v>44740</v>
      </c>
      <c r="P352" t="s">
        <v>3313</v>
      </c>
    </row>
    <row r="353" spans="1:16">
      <c r="A353" t="s">
        <v>4372</v>
      </c>
      <c r="B353" t="s">
        <v>4373</v>
      </c>
      <c r="C353" t="s">
        <v>3455</v>
      </c>
      <c r="D353" t="s">
        <v>3301</v>
      </c>
      <c r="E353" t="s">
        <v>3310</v>
      </c>
      <c r="F353">
        <v>93200</v>
      </c>
      <c r="G353">
        <v>35690</v>
      </c>
      <c r="H353" t="s">
        <v>4374</v>
      </c>
      <c r="I353">
        <v>637</v>
      </c>
      <c r="J353">
        <v>4.0999999999999996</v>
      </c>
      <c r="K353">
        <v>1123</v>
      </c>
      <c r="L353" t="s">
        <v>3312</v>
      </c>
      <c r="M353" t="s">
        <v>3305</v>
      </c>
      <c r="N353" s="1">
        <v>43895</v>
      </c>
      <c r="O353">
        <v>57510</v>
      </c>
      <c r="P353" t="s">
        <v>3313</v>
      </c>
    </row>
    <row r="354" spans="1:16">
      <c r="A354" t="s">
        <v>4375</v>
      </c>
      <c r="B354" t="s">
        <v>4376</v>
      </c>
      <c r="C354" t="s">
        <v>3611</v>
      </c>
      <c r="D354" t="s">
        <v>3301</v>
      </c>
      <c r="E354" t="s">
        <v>3317</v>
      </c>
      <c r="F354">
        <v>26940</v>
      </c>
      <c r="G354">
        <v>20860</v>
      </c>
      <c r="H354" t="s">
        <v>4377</v>
      </c>
      <c r="I354">
        <v>108</v>
      </c>
      <c r="J354">
        <v>3.9</v>
      </c>
      <c r="K354">
        <v>4988</v>
      </c>
      <c r="L354" t="s">
        <v>3335</v>
      </c>
      <c r="M354" t="s">
        <v>3305</v>
      </c>
      <c r="N354" s="1">
        <v>45608</v>
      </c>
      <c r="O354">
        <v>6080</v>
      </c>
      <c r="P354" t="s">
        <v>3306</v>
      </c>
    </row>
    <row r="355" spans="1:16">
      <c r="A355" t="s">
        <v>4378</v>
      </c>
      <c r="B355" t="s">
        <v>4379</v>
      </c>
      <c r="C355" t="s">
        <v>3491</v>
      </c>
      <c r="D355" t="s">
        <v>3301</v>
      </c>
      <c r="E355" t="s">
        <v>3322</v>
      </c>
      <c r="F355">
        <v>11010</v>
      </c>
      <c r="G355">
        <v>940</v>
      </c>
      <c r="H355" t="s">
        <v>4380</v>
      </c>
      <c r="I355">
        <v>561</v>
      </c>
      <c r="J355">
        <v>3.9</v>
      </c>
      <c r="K355">
        <v>1701</v>
      </c>
      <c r="L355" t="s">
        <v>3312</v>
      </c>
      <c r="M355" t="s">
        <v>3305</v>
      </c>
      <c r="N355" s="1">
        <v>43477</v>
      </c>
      <c r="O355">
        <v>10070</v>
      </c>
      <c r="P355" t="s">
        <v>3330</v>
      </c>
    </row>
    <row r="356" spans="1:16">
      <c r="A356" t="s">
        <v>4381</v>
      </c>
      <c r="B356" t="s">
        <v>4382</v>
      </c>
      <c r="C356" t="s">
        <v>3316</v>
      </c>
      <c r="D356" t="s">
        <v>3301</v>
      </c>
      <c r="E356" t="s">
        <v>3328</v>
      </c>
      <c r="F356">
        <v>19110</v>
      </c>
      <c r="G356">
        <v>11140</v>
      </c>
      <c r="H356" t="s">
        <v>4383</v>
      </c>
      <c r="I356">
        <v>505</v>
      </c>
      <c r="J356">
        <v>3.1</v>
      </c>
      <c r="K356">
        <v>737</v>
      </c>
      <c r="L356" t="s">
        <v>3304</v>
      </c>
      <c r="M356" t="s">
        <v>3305</v>
      </c>
      <c r="N356" s="1">
        <v>43880</v>
      </c>
      <c r="O356">
        <v>7970</v>
      </c>
      <c r="P356" t="s">
        <v>3330</v>
      </c>
    </row>
    <row r="357" spans="1:16">
      <c r="A357" t="s">
        <v>4384</v>
      </c>
      <c r="B357" t="s">
        <v>4385</v>
      </c>
      <c r="C357" t="s">
        <v>3469</v>
      </c>
      <c r="D357" t="s">
        <v>3301</v>
      </c>
      <c r="E357" t="s">
        <v>3333</v>
      </c>
      <c r="F357">
        <v>10400</v>
      </c>
      <c r="G357">
        <v>4730</v>
      </c>
      <c r="H357" t="s">
        <v>4386</v>
      </c>
      <c r="I357">
        <v>475</v>
      </c>
      <c r="J357">
        <v>2.9</v>
      </c>
      <c r="K357">
        <v>1431</v>
      </c>
      <c r="L357" t="s">
        <v>3304</v>
      </c>
      <c r="M357" t="s">
        <v>3305</v>
      </c>
      <c r="N357" s="1">
        <v>44941</v>
      </c>
      <c r="O357">
        <v>5670</v>
      </c>
      <c r="P357" t="s">
        <v>3330</v>
      </c>
    </row>
    <row r="358" spans="1:16">
      <c r="A358" t="s">
        <v>4387</v>
      </c>
      <c r="B358" t="s">
        <v>4388</v>
      </c>
      <c r="C358" t="s">
        <v>3539</v>
      </c>
      <c r="D358" t="s">
        <v>3301</v>
      </c>
      <c r="E358" t="s">
        <v>3338</v>
      </c>
      <c r="F358">
        <v>8590</v>
      </c>
      <c r="G358">
        <v>1380</v>
      </c>
      <c r="H358" t="s">
        <v>4389</v>
      </c>
      <c r="I358">
        <v>776</v>
      </c>
      <c r="J358">
        <v>4.8</v>
      </c>
      <c r="K358">
        <v>79</v>
      </c>
      <c r="L358" t="s">
        <v>3335</v>
      </c>
      <c r="M358" t="s">
        <v>3305</v>
      </c>
      <c r="N358" s="1">
        <v>44164</v>
      </c>
      <c r="O358">
        <v>7210</v>
      </c>
      <c r="P358" t="s">
        <v>3330</v>
      </c>
    </row>
    <row r="359" spans="1:16">
      <c r="A359" t="s">
        <v>4390</v>
      </c>
      <c r="B359" t="s">
        <v>4391</v>
      </c>
      <c r="C359" t="s">
        <v>3386</v>
      </c>
      <c r="D359" t="s">
        <v>3301</v>
      </c>
      <c r="E359" t="s">
        <v>3343</v>
      </c>
      <c r="F359">
        <v>3200</v>
      </c>
      <c r="G359">
        <v>980</v>
      </c>
      <c r="H359" t="s">
        <v>3998</v>
      </c>
      <c r="I359">
        <v>381</v>
      </c>
      <c r="J359">
        <v>4.5999999999999996</v>
      </c>
      <c r="K359">
        <v>1498</v>
      </c>
      <c r="L359" t="s">
        <v>3304</v>
      </c>
      <c r="M359" t="s">
        <v>3305</v>
      </c>
      <c r="N359" s="1">
        <v>45335</v>
      </c>
      <c r="O359">
        <v>2220</v>
      </c>
      <c r="P359" t="s">
        <v>3324</v>
      </c>
    </row>
    <row r="360" spans="1:16">
      <c r="A360" t="s">
        <v>4392</v>
      </c>
      <c r="B360" t="s">
        <v>4393</v>
      </c>
      <c r="C360" t="s">
        <v>3615</v>
      </c>
      <c r="D360" t="s">
        <v>3301</v>
      </c>
      <c r="E360" t="s">
        <v>3348</v>
      </c>
      <c r="F360">
        <v>49520</v>
      </c>
      <c r="G360">
        <v>15930</v>
      </c>
      <c r="H360" t="s">
        <v>4394</v>
      </c>
      <c r="I360">
        <v>115</v>
      </c>
      <c r="J360">
        <v>3.1</v>
      </c>
      <c r="K360">
        <v>480</v>
      </c>
      <c r="L360" t="s">
        <v>3335</v>
      </c>
      <c r="M360" t="s">
        <v>3305</v>
      </c>
      <c r="N360" s="1">
        <v>45443</v>
      </c>
      <c r="O360">
        <v>33590</v>
      </c>
      <c r="P360" t="s">
        <v>3306</v>
      </c>
    </row>
    <row r="361" spans="1:16">
      <c r="A361" t="s">
        <v>4395</v>
      </c>
      <c r="B361" t="s">
        <v>4396</v>
      </c>
      <c r="C361" t="s">
        <v>3327</v>
      </c>
      <c r="D361" t="s">
        <v>3353</v>
      </c>
      <c r="E361" t="s">
        <v>3354</v>
      </c>
      <c r="F361">
        <v>10310</v>
      </c>
      <c r="G361">
        <v>3290</v>
      </c>
      <c r="H361" t="s">
        <v>4397</v>
      </c>
      <c r="I361">
        <v>797</v>
      </c>
      <c r="J361">
        <v>3.6</v>
      </c>
      <c r="K361">
        <v>236</v>
      </c>
      <c r="L361" t="s">
        <v>3335</v>
      </c>
      <c r="M361" t="s">
        <v>3305</v>
      </c>
      <c r="N361" s="1">
        <v>45465</v>
      </c>
      <c r="O361">
        <v>7020</v>
      </c>
      <c r="P361" t="s">
        <v>3330</v>
      </c>
    </row>
    <row r="362" spans="1:16">
      <c r="A362" t="s">
        <v>4398</v>
      </c>
      <c r="B362" t="s">
        <v>4399</v>
      </c>
      <c r="C362" t="s">
        <v>3473</v>
      </c>
      <c r="D362" t="s">
        <v>3353</v>
      </c>
      <c r="E362" t="s">
        <v>3359</v>
      </c>
      <c r="F362">
        <v>820</v>
      </c>
      <c r="G362">
        <v>450</v>
      </c>
      <c r="H362" t="s">
        <v>3524</v>
      </c>
      <c r="I362">
        <v>670</v>
      </c>
      <c r="J362">
        <v>3.5</v>
      </c>
      <c r="K362">
        <v>4299</v>
      </c>
      <c r="L362" t="s">
        <v>3335</v>
      </c>
      <c r="M362" t="s">
        <v>3378</v>
      </c>
      <c r="N362" s="1">
        <v>44851</v>
      </c>
      <c r="O362">
        <v>370</v>
      </c>
      <c r="P362" t="s">
        <v>3324</v>
      </c>
    </row>
    <row r="363" spans="1:16">
      <c r="A363" t="s">
        <v>4400</v>
      </c>
      <c r="B363" t="s">
        <v>4401</v>
      </c>
      <c r="C363" t="s">
        <v>3358</v>
      </c>
      <c r="D363" t="s">
        <v>3353</v>
      </c>
      <c r="E363" t="s">
        <v>3364</v>
      </c>
      <c r="F363">
        <v>4540</v>
      </c>
      <c r="G363">
        <v>3310</v>
      </c>
      <c r="H363" t="s">
        <v>4402</v>
      </c>
      <c r="I363">
        <v>744</v>
      </c>
      <c r="J363">
        <v>3.3</v>
      </c>
      <c r="K363">
        <v>2832</v>
      </c>
      <c r="L363" t="s">
        <v>3312</v>
      </c>
      <c r="M363" t="s">
        <v>3305</v>
      </c>
      <c r="N363" s="1">
        <v>43689</v>
      </c>
      <c r="O363">
        <v>1230</v>
      </c>
      <c r="P363" t="s">
        <v>3324</v>
      </c>
    </row>
    <row r="364" spans="1:16">
      <c r="A364" t="s">
        <v>4403</v>
      </c>
      <c r="B364" t="s">
        <v>4404</v>
      </c>
      <c r="C364" t="s">
        <v>3316</v>
      </c>
      <c r="D364" t="s">
        <v>3353</v>
      </c>
      <c r="E364" t="s">
        <v>3368</v>
      </c>
      <c r="F364">
        <v>4540</v>
      </c>
      <c r="G364">
        <v>2430</v>
      </c>
      <c r="H364" t="s">
        <v>4405</v>
      </c>
      <c r="I364">
        <v>169</v>
      </c>
      <c r="J364">
        <v>3</v>
      </c>
      <c r="K364">
        <v>4027</v>
      </c>
      <c r="L364" t="s">
        <v>3361</v>
      </c>
      <c r="M364" t="s">
        <v>3305</v>
      </c>
      <c r="N364" s="1">
        <v>44605</v>
      </c>
      <c r="O364">
        <v>2110</v>
      </c>
      <c r="P364" t="s">
        <v>3324</v>
      </c>
    </row>
    <row r="365" spans="1:16">
      <c r="A365" t="s">
        <v>4406</v>
      </c>
      <c r="B365" t="s">
        <v>4407</v>
      </c>
      <c r="C365" t="s">
        <v>3401</v>
      </c>
      <c r="D365" t="s">
        <v>3353</v>
      </c>
      <c r="E365" t="s">
        <v>3372</v>
      </c>
      <c r="F365">
        <v>3130</v>
      </c>
      <c r="G365">
        <v>1850</v>
      </c>
      <c r="H365" t="s">
        <v>3349</v>
      </c>
      <c r="I365">
        <v>412</v>
      </c>
      <c r="J365">
        <v>4.5999999999999996</v>
      </c>
      <c r="K365">
        <v>645</v>
      </c>
      <c r="L365" t="s">
        <v>3312</v>
      </c>
      <c r="M365" t="s">
        <v>3305</v>
      </c>
      <c r="N365" s="1">
        <v>45301</v>
      </c>
      <c r="O365">
        <v>1280</v>
      </c>
      <c r="P365" t="s">
        <v>3324</v>
      </c>
    </row>
    <row r="366" spans="1:16">
      <c r="A366" t="s">
        <v>4408</v>
      </c>
      <c r="B366" t="s">
        <v>4409</v>
      </c>
      <c r="C366" t="s">
        <v>3425</v>
      </c>
      <c r="D366" t="s">
        <v>3353</v>
      </c>
      <c r="E366" t="s">
        <v>3376</v>
      </c>
      <c r="F366">
        <v>340</v>
      </c>
      <c r="G366">
        <v>190</v>
      </c>
      <c r="H366" t="s">
        <v>4410</v>
      </c>
      <c r="I366">
        <v>763</v>
      </c>
      <c r="J366">
        <v>4.2</v>
      </c>
      <c r="K366">
        <v>840</v>
      </c>
      <c r="L366" t="s">
        <v>3312</v>
      </c>
      <c r="M366" t="s">
        <v>3305</v>
      </c>
      <c r="N366" s="1">
        <v>43466</v>
      </c>
      <c r="O366">
        <v>150</v>
      </c>
      <c r="P366" t="s">
        <v>3324</v>
      </c>
    </row>
    <row r="367" spans="1:16">
      <c r="A367" t="s">
        <v>4411</v>
      </c>
      <c r="B367" t="s">
        <v>4412</v>
      </c>
      <c r="C367" t="s">
        <v>3425</v>
      </c>
      <c r="D367" t="s">
        <v>3353</v>
      </c>
      <c r="E367" t="s">
        <v>3382</v>
      </c>
      <c r="F367">
        <v>1550</v>
      </c>
      <c r="G367">
        <v>1220</v>
      </c>
      <c r="H367" t="s">
        <v>4365</v>
      </c>
      <c r="I367">
        <v>575</v>
      </c>
      <c r="J367">
        <v>3.3</v>
      </c>
      <c r="K367">
        <v>3737</v>
      </c>
      <c r="L367" t="s">
        <v>3361</v>
      </c>
      <c r="M367" t="s">
        <v>3305</v>
      </c>
      <c r="N367" s="1">
        <v>43688</v>
      </c>
      <c r="O367">
        <v>330</v>
      </c>
      <c r="P367" t="s">
        <v>3324</v>
      </c>
    </row>
    <row r="368" spans="1:16">
      <c r="A368" t="s">
        <v>4413</v>
      </c>
      <c r="B368" t="s">
        <v>4414</v>
      </c>
      <c r="C368" t="s">
        <v>3667</v>
      </c>
      <c r="D368" t="s">
        <v>3387</v>
      </c>
      <c r="E368" t="s">
        <v>3388</v>
      </c>
      <c r="F368">
        <v>14070</v>
      </c>
      <c r="G368">
        <v>8650</v>
      </c>
      <c r="H368" t="s">
        <v>3781</v>
      </c>
      <c r="I368">
        <v>733</v>
      </c>
      <c r="J368">
        <v>4.2</v>
      </c>
      <c r="K368">
        <v>3707</v>
      </c>
      <c r="L368" t="s">
        <v>3304</v>
      </c>
      <c r="M368" t="s">
        <v>3305</v>
      </c>
      <c r="N368" s="1">
        <v>44374</v>
      </c>
      <c r="O368">
        <v>5420</v>
      </c>
      <c r="P368" t="s">
        <v>3330</v>
      </c>
    </row>
    <row r="369" spans="1:16">
      <c r="A369" t="s">
        <v>4415</v>
      </c>
      <c r="B369" t="s">
        <v>4416</v>
      </c>
      <c r="C369" t="s">
        <v>3316</v>
      </c>
      <c r="D369" t="s">
        <v>3387</v>
      </c>
      <c r="E369" t="s">
        <v>3392</v>
      </c>
      <c r="F369">
        <v>4890</v>
      </c>
      <c r="G369">
        <v>3740</v>
      </c>
      <c r="H369" t="s">
        <v>3796</v>
      </c>
      <c r="I369">
        <v>534</v>
      </c>
      <c r="J369">
        <v>3.6</v>
      </c>
      <c r="K369">
        <v>870</v>
      </c>
      <c r="L369" t="s">
        <v>3304</v>
      </c>
      <c r="M369" t="s">
        <v>3305</v>
      </c>
      <c r="N369" s="1">
        <v>45482</v>
      </c>
      <c r="O369">
        <v>1150</v>
      </c>
      <c r="P369" t="s">
        <v>3324</v>
      </c>
    </row>
    <row r="370" spans="1:16">
      <c r="A370" t="s">
        <v>4417</v>
      </c>
      <c r="B370" t="s">
        <v>4418</v>
      </c>
      <c r="C370" t="s">
        <v>3704</v>
      </c>
      <c r="D370" t="s">
        <v>3387</v>
      </c>
      <c r="E370" t="s">
        <v>3397</v>
      </c>
      <c r="F370">
        <v>2800</v>
      </c>
      <c r="G370">
        <v>580</v>
      </c>
      <c r="H370" t="s">
        <v>4419</v>
      </c>
      <c r="I370">
        <v>192</v>
      </c>
      <c r="J370">
        <v>3.1</v>
      </c>
      <c r="K370">
        <v>3218</v>
      </c>
      <c r="L370" t="s">
        <v>3335</v>
      </c>
      <c r="M370" t="s">
        <v>3305</v>
      </c>
      <c r="N370" s="1">
        <v>44246</v>
      </c>
      <c r="O370">
        <v>2220</v>
      </c>
      <c r="P370" t="s">
        <v>3324</v>
      </c>
    </row>
    <row r="371" spans="1:16">
      <c r="A371" t="s">
        <v>4420</v>
      </c>
      <c r="B371" t="s">
        <v>4421</v>
      </c>
      <c r="C371" t="s">
        <v>3381</v>
      </c>
      <c r="D371" t="s">
        <v>3402</v>
      </c>
      <c r="E371" t="s">
        <v>3403</v>
      </c>
      <c r="F371">
        <v>7790</v>
      </c>
      <c r="G371">
        <v>980</v>
      </c>
      <c r="H371" t="s">
        <v>4422</v>
      </c>
      <c r="I371">
        <v>648</v>
      </c>
      <c r="J371">
        <v>4.5999999999999996</v>
      </c>
      <c r="K371">
        <v>4823</v>
      </c>
      <c r="L371" t="s">
        <v>3304</v>
      </c>
      <c r="M371" t="s">
        <v>3305</v>
      </c>
      <c r="N371" s="1">
        <v>45311</v>
      </c>
      <c r="O371">
        <v>6810</v>
      </c>
      <c r="P371" t="s">
        <v>3330</v>
      </c>
    </row>
    <row r="372" spans="1:16">
      <c r="A372" t="s">
        <v>4423</v>
      </c>
      <c r="B372" t="s">
        <v>4424</v>
      </c>
      <c r="C372" t="s">
        <v>3498</v>
      </c>
      <c r="D372" t="s">
        <v>3301</v>
      </c>
      <c r="E372" t="s">
        <v>3407</v>
      </c>
      <c r="F372">
        <v>9410</v>
      </c>
      <c r="G372">
        <v>7590</v>
      </c>
      <c r="H372" t="s">
        <v>4425</v>
      </c>
      <c r="I372">
        <v>4</v>
      </c>
      <c r="J372">
        <v>4</v>
      </c>
      <c r="K372">
        <v>397</v>
      </c>
      <c r="L372" t="s">
        <v>3312</v>
      </c>
      <c r="M372" t="s">
        <v>3305</v>
      </c>
      <c r="N372" s="1">
        <v>45444</v>
      </c>
      <c r="O372">
        <v>1820</v>
      </c>
      <c r="P372" t="s">
        <v>3330</v>
      </c>
    </row>
    <row r="373" spans="1:16">
      <c r="A373" t="s">
        <v>4426</v>
      </c>
      <c r="B373" t="s">
        <v>4427</v>
      </c>
      <c r="C373" t="s">
        <v>3611</v>
      </c>
      <c r="D373" t="s">
        <v>3301</v>
      </c>
      <c r="E373" t="s">
        <v>3411</v>
      </c>
      <c r="F373">
        <v>24830</v>
      </c>
      <c r="G373">
        <v>7200</v>
      </c>
      <c r="H373" t="s">
        <v>4428</v>
      </c>
      <c r="I373">
        <v>396</v>
      </c>
      <c r="J373">
        <v>4.2</v>
      </c>
      <c r="K373">
        <v>4965</v>
      </c>
      <c r="L373" t="s">
        <v>3361</v>
      </c>
      <c r="M373" t="s">
        <v>3305</v>
      </c>
      <c r="N373" s="1">
        <v>45041</v>
      </c>
      <c r="O373">
        <v>17630</v>
      </c>
      <c r="P373" t="s">
        <v>3306</v>
      </c>
    </row>
    <row r="374" spans="1:16">
      <c r="A374" t="s">
        <v>4429</v>
      </c>
      <c r="B374" t="s">
        <v>4430</v>
      </c>
      <c r="C374" t="s">
        <v>3396</v>
      </c>
      <c r="D374" t="s">
        <v>3301</v>
      </c>
      <c r="E374" t="s">
        <v>3416</v>
      </c>
      <c r="F374">
        <v>64150</v>
      </c>
      <c r="G374">
        <v>30470</v>
      </c>
      <c r="H374" t="s">
        <v>4431</v>
      </c>
      <c r="I374">
        <v>301</v>
      </c>
      <c r="J374">
        <v>3.8</v>
      </c>
      <c r="K374">
        <v>1092</v>
      </c>
      <c r="L374" t="s">
        <v>3335</v>
      </c>
      <c r="M374" t="s">
        <v>3305</v>
      </c>
      <c r="N374" s="1">
        <v>45564</v>
      </c>
      <c r="O374">
        <v>33680</v>
      </c>
      <c r="P374" t="s">
        <v>3313</v>
      </c>
    </row>
    <row r="375" spans="1:16">
      <c r="A375" t="s">
        <v>4432</v>
      </c>
      <c r="B375" t="s">
        <v>4433</v>
      </c>
      <c r="C375" t="s">
        <v>3455</v>
      </c>
      <c r="D375" t="s">
        <v>3353</v>
      </c>
      <c r="E375" t="s">
        <v>3421</v>
      </c>
      <c r="F375">
        <v>12570</v>
      </c>
      <c r="G375">
        <v>9370</v>
      </c>
      <c r="H375" t="s">
        <v>3608</v>
      </c>
      <c r="I375">
        <v>647</v>
      </c>
      <c r="J375">
        <v>3.3</v>
      </c>
      <c r="K375">
        <v>1717</v>
      </c>
      <c r="L375" t="s">
        <v>3361</v>
      </c>
      <c r="M375" t="s">
        <v>3305</v>
      </c>
      <c r="N375" s="1">
        <v>44009</v>
      </c>
      <c r="O375">
        <v>3200</v>
      </c>
      <c r="P375" t="s">
        <v>3330</v>
      </c>
    </row>
    <row r="376" spans="1:16">
      <c r="A376" t="s">
        <v>4434</v>
      </c>
      <c r="B376" t="s">
        <v>4435</v>
      </c>
      <c r="C376" t="s">
        <v>3381</v>
      </c>
      <c r="D376" t="s">
        <v>3353</v>
      </c>
      <c r="E376" t="s">
        <v>3426</v>
      </c>
      <c r="F376">
        <v>9890</v>
      </c>
      <c r="G376">
        <v>6290</v>
      </c>
      <c r="H376" t="s">
        <v>4436</v>
      </c>
      <c r="I376">
        <v>652</v>
      </c>
      <c r="J376">
        <v>3.5</v>
      </c>
      <c r="K376">
        <v>945</v>
      </c>
      <c r="L376" t="s">
        <v>3361</v>
      </c>
      <c r="M376" t="s">
        <v>3305</v>
      </c>
      <c r="N376" s="1">
        <v>45175</v>
      </c>
      <c r="O376">
        <v>3600</v>
      </c>
      <c r="P376" t="s">
        <v>3330</v>
      </c>
    </row>
    <row r="377" spans="1:16">
      <c r="A377" t="s">
        <v>4437</v>
      </c>
      <c r="B377" t="s">
        <v>4438</v>
      </c>
      <c r="C377" t="s">
        <v>3539</v>
      </c>
      <c r="D377" t="s">
        <v>3301</v>
      </c>
      <c r="E377" t="s">
        <v>3302</v>
      </c>
      <c r="F377">
        <v>9670</v>
      </c>
      <c r="G377">
        <v>7140</v>
      </c>
      <c r="H377" t="s">
        <v>4439</v>
      </c>
      <c r="I377">
        <v>109</v>
      </c>
      <c r="J377">
        <v>2.9</v>
      </c>
      <c r="K377">
        <v>1190</v>
      </c>
      <c r="L377" t="s">
        <v>3304</v>
      </c>
      <c r="M377" t="s">
        <v>3305</v>
      </c>
      <c r="N377" s="1">
        <v>44284</v>
      </c>
      <c r="O377">
        <v>2530</v>
      </c>
      <c r="P377" t="s">
        <v>3330</v>
      </c>
    </row>
    <row r="378" spans="1:16">
      <c r="A378" t="s">
        <v>4440</v>
      </c>
      <c r="B378" t="s">
        <v>4441</v>
      </c>
      <c r="C378" t="s">
        <v>3615</v>
      </c>
      <c r="D378" t="s">
        <v>3301</v>
      </c>
      <c r="E378" t="s">
        <v>3310</v>
      </c>
      <c r="F378">
        <v>57840</v>
      </c>
      <c r="G378">
        <v>22800</v>
      </c>
      <c r="H378" t="s">
        <v>4442</v>
      </c>
      <c r="I378">
        <v>63</v>
      </c>
      <c r="J378">
        <v>4.3</v>
      </c>
      <c r="K378">
        <v>2417</v>
      </c>
      <c r="L378" t="s">
        <v>3335</v>
      </c>
      <c r="M378" t="s">
        <v>3305</v>
      </c>
      <c r="N378" s="1">
        <v>43598</v>
      </c>
      <c r="O378">
        <v>35040</v>
      </c>
      <c r="P378" t="s">
        <v>3313</v>
      </c>
    </row>
    <row r="379" spans="1:16">
      <c r="A379" t="s">
        <v>4443</v>
      </c>
      <c r="B379" t="s">
        <v>4444</v>
      </c>
      <c r="C379" t="s">
        <v>3321</v>
      </c>
      <c r="D379" t="s">
        <v>3301</v>
      </c>
      <c r="E379" t="s">
        <v>3317</v>
      </c>
      <c r="F379">
        <v>41400</v>
      </c>
      <c r="G379">
        <v>32330</v>
      </c>
      <c r="H379" t="s">
        <v>4445</v>
      </c>
      <c r="I379">
        <v>662</v>
      </c>
      <c r="J379">
        <v>4</v>
      </c>
      <c r="K379">
        <v>1946</v>
      </c>
      <c r="L379" t="s">
        <v>3361</v>
      </c>
      <c r="M379" t="s">
        <v>3305</v>
      </c>
      <c r="N379" s="1">
        <v>43658</v>
      </c>
      <c r="O379">
        <v>9070</v>
      </c>
      <c r="P379" t="s">
        <v>3306</v>
      </c>
    </row>
    <row r="380" spans="1:16">
      <c r="A380" t="s">
        <v>4446</v>
      </c>
      <c r="B380" t="s">
        <v>4447</v>
      </c>
      <c r="C380" t="s">
        <v>3462</v>
      </c>
      <c r="D380" t="s">
        <v>3301</v>
      </c>
      <c r="E380" t="s">
        <v>3322</v>
      </c>
      <c r="F380">
        <v>20990</v>
      </c>
      <c r="G380">
        <v>2060</v>
      </c>
      <c r="H380" t="s">
        <v>4448</v>
      </c>
      <c r="I380">
        <v>13</v>
      </c>
      <c r="J380">
        <v>4.4000000000000004</v>
      </c>
      <c r="K380">
        <v>1663</v>
      </c>
      <c r="L380" t="s">
        <v>3312</v>
      </c>
      <c r="M380" t="s">
        <v>3305</v>
      </c>
      <c r="N380" s="1">
        <v>44972</v>
      </c>
      <c r="O380">
        <v>18930</v>
      </c>
      <c r="P380" t="s">
        <v>3306</v>
      </c>
    </row>
    <row r="381" spans="1:16">
      <c r="A381" t="s">
        <v>4449</v>
      </c>
      <c r="B381" t="s">
        <v>4450</v>
      </c>
      <c r="C381" t="s">
        <v>3352</v>
      </c>
      <c r="D381" t="s">
        <v>3301</v>
      </c>
      <c r="E381" t="s">
        <v>3328</v>
      </c>
      <c r="F381">
        <v>6740</v>
      </c>
      <c r="G381">
        <v>1760</v>
      </c>
      <c r="H381" t="s">
        <v>4451</v>
      </c>
      <c r="I381">
        <v>301</v>
      </c>
      <c r="J381">
        <v>3.8</v>
      </c>
      <c r="K381">
        <v>610</v>
      </c>
      <c r="L381" t="s">
        <v>3335</v>
      </c>
      <c r="M381" t="s">
        <v>3378</v>
      </c>
      <c r="N381" s="1">
        <v>45570</v>
      </c>
      <c r="O381">
        <v>4980</v>
      </c>
      <c r="P381" t="s">
        <v>3330</v>
      </c>
    </row>
    <row r="382" spans="1:16">
      <c r="A382" t="s">
        <v>4452</v>
      </c>
      <c r="B382" t="s">
        <v>4453</v>
      </c>
      <c r="C382" t="s">
        <v>3473</v>
      </c>
      <c r="D382" t="s">
        <v>3301</v>
      </c>
      <c r="E382" t="s">
        <v>3333</v>
      </c>
      <c r="F382">
        <v>9840</v>
      </c>
      <c r="G382">
        <v>4960</v>
      </c>
      <c r="H382" t="s">
        <v>4454</v>
      </c>
      <c r="I382">
        <v>270</v>
      </c>
      <c r="J382">
        <v>3.1</v>
      </c>
      <c r="K382">
        <v>4784</v>
      </c>
      <c r="L382" t="s">
        <v>3361</v>
      </c>
      <c r="M382" t="s">
        <v>3305</v>
      </c>
      <c r="N382" s="1">
        <v>45376</v>
      </c>
      <c r="O382">
        <v>4880</v>
      </c>
      <c r="P382" t="s">
        <v>3330</v>
      </c>
    </row>
    <row r="383" spans="1:16">
      <c r="A383" t="s">
        <v>4455</v>
      </c>
      <c r="B383" t="s">
        <v>4456</v>
      </c>
      <c r="C383" t="s">
        <v>3381</v>
      </c>
      <c r="D383" t="s">
        <v>3301</v>
      </c>
      <c r="E383" t="s">
        <v>3338</v>
      </c>
      <c r="F383">
        <v>22140</v>
      </c>
      <c r="G383">
        <v>2270</v>
      </c>
      <c r="H383" t="s">
        <v>4457</v>
      </c>
      <c r="I383">
        <v>792</v>
      </c>
      <c r="J383">
        <v>4.9000000000000004</v>
      </c>
      <c r="K383">
        <v>2467</v>
      </c>
      <c r="L383" t="s">
        <v>3312</v>
      </c>
      <c r="M383" t="s">
        <v>3305</v>
      </c>
      <c r="N383" s="1">
        <v>44932</v>
      </c>
      <c r="O383">
        <v>19870</v>
      </c>
      <c r="P383" t="s">
        <v>3306</v>
      </c>
    </row>
    <row r="384" spans="1:16">
      <c r="A384" t="s">
        <v>4458</v>
      </c>
      <c r="B384" t="s">
        <v>4459</v>
      </c>
      <c r="C384" t="s">
        <v>3437</v>
      </c>
      <c r="D384" t="s">
        <v>3301</v>
      </c>
      <c r="E384" t="s">
        <v>3343</v>
      </c>
      <c r="F384">
        <v>2500</v>
      </c>
      <c r="G384">
        <v>1670</v>
      </c>
      <c r="H384" t="s">
        <v>4460</v>
      </c>
      <c r="I384">
        <v>69</v>
      </c>
      <c r="J384">
        <v>4.5</v>
      </c>
      <c r="K384">
        <v>1305</v>
      </c>
      <c r="L384" t="s">
        <v>3312</v>
      </c>
      <c r="M384" t="s">
        <v>3305</v>
      </c>
      <c r="N384" s="1">
        <v>45118</v>
      </c>
      <c r="O384">
        <v>830</v>
      </c>
      <c r="P384" t="s">
        <v>3324</v>
      </c>
    </row>
    <row r="385" spans="1:16">
      <c r="A385" t="s">
        <v>4461</v>
      </c>
      <c r="B385" t="s">
        <v>4462</v>
      </c>
      <c r="C385" t="s">
        <v>3425</v>
      </c>
      <c r="D385" t="s">
        <v>3301</v>
      </c>
      <c r="E385" t="s">
        <v>3348</v>
      </c>
      <c r="F385">
        <v>50470</v>
      </c>
      <c r="G385">
        <v>26750</v>
      </c>
      <c r="H385" t="s">
        <v>4463</v>
      </c>
      <c r="I385">
        <v>339</v>
      </c>
      <c r="J385">
        <v>3.6</v>
      </c>
      <c r="K385">
        <v>1789</v>
      </c>
      <c r="L385" t="s">
        <v>3312</v>
      </c>
      <c r="M385" t="s">
        <v>3378</v>
      </c>
      <c r="N385" s="1">
        <v>43502</v>
      </c>
      <c r="O385">
        <v>23720</v>
      </c>
      <c r="P385" t="s">
        <v>3313</v>
      </c>
    </row>
    <row r="386" spans="1:16">
      <c r="A386" t="s">
        <v>4464</v>
      </c>
      <c r="B386" t="s">
        <v>4465</v>
      </c>
      <c r="C386" t="s">
        <v>3473</v>
      </c>
      <c r="D386" t="s">
        <v>3353</v>
      </c>
      <c r="E386" t="s">
        <v>3354</v>
      </c>
      <c r="F386">
        <v>4240</v>
      </c>
      <c r="G386">
        <v>2810</v>
      </c>
      <c r="H386" t="s">
        <v>4466</v>
      </c>
      <c r="I386">
        <v>628</v>
      </c>
      <c r="J386">
        <v>4.8</v>
      </c>
      <c r="K386">
        <v>1997</v>
      </c>
      <c r="L386" t="s">
        <v>3304</v>
      </c>
      <c r="M386" t="s">
        <v>3305</v>
      </c>
      <c r="N386" s="1">
        <v>44780</v>
      </c>
      <c r="O386">
        <v>1430</v>
      </c>
      <c r="P386" t="s">
        <v>3324</v>
      </c>
    </row>
    <row r="387" spans="1:16">
      <c r="A387" t="s">
        <v>4467</v>
      </c>
      <c r="B387" t="s">
        <v>4468</v>
      </c>
      <c r="C387" t="s">
        <v>3462</v>
      </c>
      <c r="D387" t="s">
        <v>3353</v>
      </c>
      <c r="E387" t="s">
        <v>3359</v>
      </c>
      <c r="F387">
        <v>4720</v>
      </c>
      <c r="G387">
        <v>3140</v>
      </c>
      <c r="H387" t="s">
        <v>3459</v>
      </c>
      <c r="I387">
        <v>289</v>
      </c>
      <c r="J387">
        <v>2.9</v>
      </c>
      <c r="K387">
        <v>4234</v>
      </c>
      <c r="L387" t="s">
        <v>3361</v>
      </c>
      <c r="M387" t="s">
        <v>3305</v>
      </c>
      <c r="N387" s="1">
        <v>45549</v>
      </c>
      <c r="O387">
        <v>1580</v>
      </c>
      <c r="P387" t="s">
        <v>3324</v>
      </c>
    </row>
    <row r="388" spans="1:16">
      <c r="A388" t="s">
        <v>4469</v>
      </c>
      <c r="B388" t="s">
        <v>4470</v>
      </c>
      <c r="C388" t="s">
        <v>3597</v>
      </c>
      <c r="D388" t="s">
        <v>3353</v>
      </c>
      <c r="E388" t="s">
        <v>3364</v>
      </c>
      <c r="F388">
        <v>6340</v>
      </c>
      <c r="G388">
        <v>2180</v>
      </c>
      <c r="H388" t="s">
        <v>4353</v>
      </c>
      <c r="I388">
        <v>328</v>
      </c>
      <c r="J388">
        <v>3.9</v>
      </c>
      <c r="K388">
        <v>786</v>
      </c>
      <c r="L388" t="s">
        <v>3335</v>
      </c>
      <c r="M388" t="s">
        <v>3378</v>
      </c>
      <c r="N388" s="1">
        <v>45650</v>
      </c>
      <c r="O388">
        <v>4160</v>
      </c>
      <c r="P388" t="s">
        <v>3330</v>
      </c>
    </row>
    <row r="389" spans="1:16">
      <c r="A389" t="s">
        <v>4471</v>
      </c>
      <c r="B389" t="s">
        <v>4472</v>
      </c>
      <c r="C389" t="s">
        <v>3316</v>
      </c>
      <c r="D389" t="s">
        <v>3353</v>
      </c>
      <c r="E389" t="s">
        <v>3368</v>
      </c>
      <c r="F389">
        <v>2440</v>
      </c>
      <c r="G389">
        <v>1800</v>
      </c>
      <c r="H389" t="s">
        <v>4439</v>
      </c>
      <c r="I389">
        <v>434</v>
      </c>
      <c r="J389">
        <v>4.5999999999999996</v>
      </c>
      <c r="K389">
        <v>1684</v>
      </c>
      <c r="L389" t="s">
        <v>3312</v>
      </c>
      <c r="M389" t="s">
        <v>3305</v>
      </c>
      <c r="N389" s="1">
        <v>43761</v>
      </c>
      <c r="O389">
        <v>640</v>
      </c>
      <c r="P389" t="s">
        <v>3324</v>
      </c>
    </row>
    <row r="390" spans="1:16">
      <c r="A390" t="s">
        <v>4473</v>
      </c>
      <c r="B390" t="s">
        <v>4474</v>
      </c>
      <c r="C390" t="s">
        <v>3420</v>
      </c>
      <c r="D390" t="s">
        <v>3353</v>
      </c>
      <c r="E390" t="s">
        <v>3372</v>
      </c>
      <c r="F390">
        <v>2380</v>
      </c>
      <c r="G390">
        <v>1770</v>
      </c>
      <c r="H390" t="s">
        <v>4335</v>
      </c>
      <c r="I390">
        <v>339</v>
      </c>
      <c r="J390">
        <v>2.9</v>
      </c>
      <c r="K390">
        <v>600</v>
      </c>
      <c r="L390" t="s">
        <v>3304</v>
      </c>
      <c r="M390" t="s">
        <v>3305</v>
      </c>
      <c r="N390" s="1">
        <v>44497</v>
      </c>
      <c r="O390">
        <v>610</v>
      </c>
      <c r="P390" t="s">
        <v>3324</v>
      </c>
    </row>
    <row r="391" spans="1:16">
      <c r="A391" t="s">
        <v>4475</v>
      </c>
      <c r="B391" t="s">
        <v>4476</v>
      </c>
      <c r="C391" t="s">
        <v>3451</v>
      </c>
      <c r="D391" t="s">
        <v>3353</v>
      </c>
      <c r="E391" t="s">
        <v>3376</v>
      </c>
      <c r="F391">
        <v>630</v>
      </c>
      <c r="G391">
        <v>270</v>
      </c>
      <c r="H391" t="s">
        <v>4030</v>
      </c>
      <c r="I391">
        <v>397</v>
      </c>
      <c r="J391">
        <v>3.8</v>
      </c>
      <c r="K391">
        <v>3313</v>
      </c>
      <c r="L391" t="s">
        <v>3312</v>
      </c>
      <c r="M391" t="s">
        <v>3305</v>
      </c>
      <c r="N391" s="1">
        <v>45061</v>
      </c>
      <c r="O391">
        <v>360</v>
      </c>
      <c r="P391" t="s">
        <v>3324</v>
      </c>
    </row>
    <row r="392" spans="1:16">
      <c r="A392" t="s">
        <v>4477</v>
      </c>
      <c r="B392" t="s">
        <v>4478</v>
      </c>
      <c r="C392" t="s">
        <v>3539</v>
      </c>
      <c r="D392" t="s">
        <v>3353</v>
      </c>
      <c r="E392" t="s">
        <v>3382</v>
      </c>
      <c r="F392">
        <v>2930</v>
      </c>
      <c r="G392">
        <v>1660</v>
      </c>
      <c r="H392" t="s">
        <v>4180</v>
      </c>
      <c r="I392">
        <v>633</v>
      </c>
      <c r="J392">
        <v>2.9</v>
      </c>
      <c r="K392">
        <v>4797</v>
      </c>
      <c r="L392" t="s">
        <v>3304</v>
      </c>
      <c r="M392" t="s">
        <v>3305</v>
      </c>
      <c r="N392" s="1">
        <v>43763</v>
      </c>
      <c r="O392">
        <v>1270</v>
      </c>
      <c r="P392" t="s">
        <v>3324</v>
      </c>
    </row>
    <row r="393" spans="1:16">
      <c r="A393" t="s">
        <v>4479</v>
      </c>
      <c r="B393" t="s">
        <v>4480</v>
      </c>
      <c r="C393" t="s">
        <v>3321</v>
      </c>
      <c r="D393" t="s">
        <v>3387</v>
      </c>
      <c r="E393" t="s">
        <v>3388</v>
      </c>
      <c r="F393">
        <v>14390</v>
      </c>
      <c r="G393">
        <v>5840</v>
      </c>
      <c r="H393" t="s">
        <v>4481</v>
      </c>
      <c r="I393">
        <v>621</v>
      </c>
      <c r="J393">
        <v>3</v>
      </c>
      <c r="K393">
        <v>3585</v>
      </c>
      <c r="L393" t="s">
        <v>3312</v>
      </c>
      <c r="M393" t="s">
        <v>3305</v>
      </c>
      <c r="N393" s="1">
        <v>43592</v>
      </c>
      <c r="O393">
        <v>8550</v>
      </c>
      <c r="P393" t="s">
        <v>3330</v>
      </c>
    </row>
    <row r="394" spans="1:16">
      <c r="A394" t="s">
        <v>4482</v>
      </c>
      <c r="B394" t="s">
        <v>4483</v>
      </c>
      <c r="C394" t="s">
        <v>3487</v>
      </c>
      <c r="D394" t="s">
        <v>3387</v>
      </c>
      <c r="E394" t="s">
        <v>3392</v>
      </c>
      <c r="F394">
        <v>3620</v>
      </c>
      <c r="G394">
        <v>3030</v>
      </c>
      <c r="H394" t="s">
        <v>4484</v>
      </c>
      <c r="I394">
        <v>400</v>
      </c>
      <c r="J394">
        <v>4.5999999999999996</v>
      </c>
      <c r="K394">
        <v>4470</v>
      </c>
      <c r="L394" t="s">
        <v>3361</v>
      </c>
      <c r="M394" t="s">
        <v>3378</v>
      </c>
      <c r="N394" s="1">
        <v>44056</v>
      </c>
      <c r="O394">
        <v>590</v>
      </c>
      <c r="P394" t="s">
        <v>3324</v>
      </c>
    </row>
    <row r="395" spans="1:16">
      <c r="A395" t="s">
        <v>4485</v>
      </c>
      <c r="B395" t="s">
        <v>4486</v>
      </c>
      <c r="C395" t="s">
        <v>3455</v>
      </c>
      <c r="D395" t="s">
        <v>3387</v>
      </c>
      <c r="E395" t="s">
        <v>3397</v>
      </c>
      <c r="F395">
        <v>2570</v>
      </c>
      <c r="G395">
        <v>1320</v>
      </c>
      <c r="H395" t="s">
        <v>4487</v>
      </c>
      <c r="I395">
        <v>144</v>
      </c>
      <c r="J395">
        <v>3.1</v>
      </c>
      <c r="K395">
        <v>41</v>
      </c>
      <c r="L395" t="s">
        <v>3312</v>
      </c>
      <c r="M395" t="s">
        <v>3305</v>
      </c>
      <c r="N395" s="1">
        <v>43814</v>
      </c>
      <c r="O395">
        <v>1250</v>
      </c>
      <c r="P395" t="s">
        <v>3324</v>
      </c>
    </row>
    <row r="396" spans="1:16">
      <c r="A396" t="s">
        <v>4488</v>
      </c>
      <c r="B396" t="s">
        <v>4489</v>
      </c>
      <c r="C396" t="s">
        <v>3455</v>
      </c>
      <c r="D396" t="s">
        <v>3402</v>
      </c>
      <c r="E396" t="s">
        <v>3403</v>
      </c>
      <c r="F396">
        <v>7760</v>
      </c>
      <c r="G396">
        <v>5890</v>
      </c>
      <c r="H396" t="s">
        <v>3911</v>
      </c>
      <c r="I396">
        <v>524</v>
      </c>
      <c r="J396">
        <v>3.1</v>
      </c>
      <c r="K396">
        <v>1507</v>
      </c>
      <c r="L396" t="s">
        <v>3335</v>
      </c>
      <c r="M396" t="s">
        <v>3305</v>
      </c>
      <c r="N396" s="1">
        <v>44501</v>
      </c>
      <c r="O396">
        <v>1870</v>
      </c>
      <c r="P396" t="s">
        <v>3330</v>
      </c>
    </row>
    <row r="397" spans="1:16">
      <c r="A397" t="s">
        <v>4490</v>
      </c>
      <c r="B397" t="s">
        <v>4491</v>
      </c>
      <c r="C397" t="s">
        <v>3491</v>
      </c>
      <c r="D397" t="s">
        <v>3301</v>
      </c>
      <c r="E397" t="s">
        <v>3407</v>
      </c>
      <c r="F397">
        <v>31200</v>
      </c>
      <c r="G397">
        <v>22090</v>
      </c>
      <c r="H397" t="s">
        <v>4492</v>
      </c>
      <c r="I397">
        <v>55</v>
      </c>
      <c r="J397">
        <v>4.7</v>
      </c>
      <c r="K397">
        <v>4496</v>
      </c>
      <c r="L397" t="s">
        <v>3312</v>
      </c>
      <c r="M397" t="s">
        <v>3305</v>
      </c>
      <c r="N397" s="1">
        <v>43765</v>
      </c>
      <c r="O397">
        <v>9110</v>
      </c>
      <c r="P397" t="s">
        <v>3306</v>
      </c>
    </row>
    <row r="398" spans="1:16">
      <c r="A398" t="s">
        <v>4493</v>
      </c>
      <c r="B398" t="s">
        <v>4494</v>
      </c>
      <c r="C398" t="s">
        <v>3415</v>
      </c>
      <c r="D398" t="s">
        <v>3301</v>
      </c>
      <c r="E398" t="s">
        <v>3411</v>
      </c>
      <c r="F398">
        <v>20870</v>
      </c>
      <c r="G398">
        <v>8730</v>
      </c>
      <c r="H398" t="s">
        <v>3605</v>
      </c>
      <c r="I398">
        <v>743</v>
      </c>
      <c r="J398">
        <v>4.0999999999999996</v>
      </c>
      <c r="K398">
        <v>2710</v>
      </c>
      <c r="L398" t="s">
        <v>3361</v>
      </c>
      <c r="M398" t="s">
        <v>3305</v>
      </c>
      <c r="N398" s="1">
        <v>44426</v>
      </c>
      <c r="O398">
        <v>12140</v>
      </c>
      <c r="P398" t="s">
        <v>3306</v>
      </c>
    </row>
    <row r="399" spans="1:16">
      <c r="A399" t="s">
        <v>4495</v>
      </c>
      <c r="B399" t="s">
        <v>4496</v>
      </c>
      <c r="C399" t="s">
        <v>3637</v>
      </c>
      <c r="D399" t="s">
        <v>3301</v>
      </c>
      <c r="E399" t="s">
        <v>3416</v>
      </c>
      <c r="F399">
        <v>37360</v>
      </c>
      <c r="G399">
        <v>18410</v>
      </c>
      <c r="H399" t="s">
        <v>4087</v>
      </c>
      <c r="I399">
        <v>497</v>
      </c>
      <c r="J399">
        <v>3.8</v>
      </c>
      <c r="K399">
        <v>2504</v>
      </c>
      <c r="L399" t="s">
        <v>3335</v>
      </c>
      <c r="M399" t="s">
        <v>3305</v>
      </c>
      <c r="N399" s="1">
        <v>44958</v>
      </c>
      <c r="O399">
        <v>18950</v>
      </c>
      <c r="P399" t="s">
        <v>3306</v>
      </c>
    </row>
    <row r="400" spans="1:16">
      <c r="A400" t="s">
        <v>4497</v>
      </c>
      <c r="B400" t="s">
        <v>4498</v>
      </c>
      <c r="C400" t="s">
        <v>3754</v>
      </c>
      <c r="D400" t="s">
        <v>3353</v>
      </c>
      <c r="E400" t="s">
        <v>3421</v>
      </c>
      <c r="F400">
        <v>5630</v>
      </c>
      <c r="G400">
        <v>2320</v>
      </c>
      <c r="H400" t="s">
        <v>4499</v>
      </c>
      <c r="I400">
        <v>226</v>
      </c>
      <c r="J400">
        <v>4.4000000000000004</v>
      </c>
      <c r="K400">
        <v>3572</v>
      </c>
      <c r="L400" t="s">
        <v>3361</v>
      </c>
      <c r="M400" t="s">
        <v>3305</v>
      </c>
      <c r="N400" s="1">
        <v>44016</v>
      </c>
      <c r="O400">
        <v>3310</v>
      </c>
      <c r="P400" t="s">
        <v>3330</v>
      </c>
    </row>
    <row r="401" spans="1:16">
      <c r="A401" t="s">
        <v>4500</v>
      </c>
      <c r="B401" t="s">
        <v>4501</v>
      </c>
      <c r="C401" t="s">
        <v>3539</v>
      </c>
      <c r="D401" t="s">
        <v>3353</v>
      </c>
      <c r="E401" t="s">
        <v>3426</v>
      </c>
      <c r="F401">
        <v>8300</v>
      </c>
      <c r="G401">
        <v>3540</v>
      </c>
      <c r="H401" t="s">
        <v>4502</v>
      </c>
      <c r="I401">
        <v>793</v>
      </c>
      <c r="J401">
        <v>3.5</v>
      </c>
      <c r="K401">
        <v>4519</v>
      </c>
      <c r="L401" t="s">
        <v>3304</v>
      </c>
      <c r="M401" t="s">
        <v>3305</v>
      </c>
      <c r="N401" s="1">
        <v>43801</v>
      </c>
      <c r="O401">
        <v>4760</v>
      </c>
      <c r="P401" t="s">
        <v>3330</v>
      </c>
    </row>
    <row r="402" spans="1:16">
      <c r="A402" t="s">
        <v>4503</v>
      </c>
      <c r="B402" t="s">
        <v>4504</v>
      </c>
      <c r="C402" t="s">
        <v>3615</v>
      </c>
      <c r="D402" t="s">
        <v>3301</v>
      </c>
      <c r="E402" t="s">
        <v>3302</v>
      </c>
      <c r="F402">
        <v>42500</v>
      </c>
      <c r="G402">
        <v>29040</v>
      </c>
      <c r="H402" t="s">
        <v>4505</v>
      </c>
      <c r="I402">
        <v>641</v>
      </c>
      <c r="J402">
        <v>3</v>
      </c>
      <c r="K402">
        <v>617</v>
      </c>
      <c r="L402" t="s">
        <v>3304</v>
      </c>
      <c r="M402" t="s">
        <v>3305</v>
      </c>
      <c r="N402" s="1">
        <v>43593</v>
      </c>
      <c r="O402">
        <v>13460</v>
      </c>
      <c r="P402" t="s">
        <v>3306</v>
      </c>
    </row>
    <row r="403" spans="1:16">
      <c r="A403" t="s">
        <v>4506</v>
      </c>
      <c r="B403" t="s">
        <v>4507</v>
      </c>
      <c r="C403" t="s">
        <v>3604</v>
      </c>
      <c r="D403" t="s">
        <v>3301</v>
      </c>
      <c r="E403" t="s">
        <v>3310</v>
      </c>
      <c r="F403">
        <v>102340</v>
      </c>
      <c r="G403">
        <v>45890</v>
      </c>
      <c r="H403" t="s">
        <v>4508</v>
      </c>
      <c r="I403">
        <v>37</v>
      </c>
      <c r="J403">
        <v>4</v>
      </c>
      <c r="K403">
        <v>4452</v>
      </c>
      <c r="L403" t="s">
        <v>3312</v>
      </c>
      <c r="M403" t="s">
        <v>3305</v>
      </c>
      <c r="N403" s="1">
        <v>44074</v>
      </c>
      <c r="O403">
        <v>56450</v>
      </c>
      <c r="P403" t="s">
        <v>3313</v>
      </c>
    </row>
    <row r="404" spans="1:16">
      <c r="A404" t="s">
        <v>4509</v>
      </c>
      <c r="B404" t="s">
        <v>4510</v>
      </c>
      <c r="C404" t="s">
        <v>3769</v>
      </c>
      <c r="D404" t="s">
        <v>3301</v>
      </c>
      <c r="E404" t="s">
        <v>3317</v>
      </c>
      <c r="F404">
        <v>50140</v>
      </c>
      <c r="G404">
        <v>16770</v>
      </c>
      <c r="H404" t="s">
        <v>4511</v>
      </c>
      <c r="I404">
        <v>475</v>
      </c>
      <c r="J404">
        <v>3.9</v>
      </c>
      <c r="K404">
        <v>741</v>
      </c>
      <c r="L404" t="s">
        <v>3312</v>
      </c>
      <c r="M404" t="s">
        <v>3305</v>
      </c>
      <c r="N404" s="1">
        <v>43509</v>
      </c>
      <c r="O404">
        <v>33370</v>
      </c>
      <c r="P404" t="s">
        <v>3313</v>
      </c>
    </row>
    <row r="405" spans="1:16">
      <c r="A405" t="s">
        <v>4512</v>
      </c>
      <c r="B405" t="s">
        <v>4513</v>
      </c>
      <c r="C405" t="s">
        <v>3477</v>
      </c>
      <c r="D405" t="s">
        <v>3301</v>
      </c>
      <c r="E405" t="s">
        <v>3322</v>
      </c>
      <c r="F405">
        <v>11370</v>
      </c>
      <c r="G405">
        <v>8720</v>
      </c>
      <c r="H405" t="s">
        <v>3492</v>
      </c>
      <c r="I405">
        <v>143</v>
      </c>
      <c r="J405">
        <v>3.8</v>
      </c>
      <c r="K405">
        <v>1467</v>
      </c>
      <c r="L405" t="s">
        <v>3335</v>
      </c>
      <c r="M405" t="s">
        <v>3305</v>
      </c>
      <c r="N405" s="1">
        <v>45446</v>
      </c>
      <c r="O405">
        <v>2650</v>
      </c>
      <c r="P405" t="s">
        <v>3330</v>
      </c>
    </row>
    <row r="406" spans="1:16">
      <c r="A406" t="s">
        <v>4514</v>
      </c>
      <c r="B406" t="s">
        <v>4515</v>
      </c>
      <c r="C406" t="s">
        <v>3321</v>
      </c>
      <c r="D406" t="s">
        <v>3301</v>
      </c>
      <c r="E406" t="s">
        <v>3328</v>
      </c>
      <c r="F406">
        <v>16280</v>
      </c>
      <c r="G406">
        <v>3980</v>
      </c>
      <c r="H406" t="s">
        <v>4516</v>
      </c>
      <c r="I406">
        <v>64</v>
      </c>
      <c r="J406">
        <v>3.4</v>
      </c>
      <c r="K406">
        <v>1917</v>
      </c>
      <c r="L406" t="s">
        <v>3304</v>
      </c>
      <c r="M406" t="s">
        <v>3305</v>
      </c>
      <c r="N406" s="1">
        <v>45587</v>
      </c>
      <c r="O406">
        <v>12300</v>
      </c>
      <c r="P406" t="s">
        <v>3330</v>
      </c>
    </row>
    <row r="407" spans="1:16">
      <c r="A407" t="s">
        <v>4517</v>
      </c>
      <c r="B407" t="s">
        <v>4518</v>
      </c>
      <c r="C407" t="s">
        <v>3769</v>
      </c>
      <c r="D407" t="s">
        <v>3301</v>
      </c>
      <c r="E407" t="s">
        <v>3333</v>
      </c>
      <c r="F407">
        <v>2220</v>
      </c>
      <c r="G407">
        <v>480</v>
      </c>
      <c r="H407" t="s">
        <v>4519</v>
      </c>
      <c r="I407">
        <v>664</v>
      </c>
      <c r="J407">
        <v>3.5</v>
      </c>
      <c r="K407">
        <v>4271</v>
      </c>
      <c r="L407" t="s">
        <v>3361</v>
      </c>
      <c r="M407" t="s">
        <v>3305</v>
      </c>
      <c r="N407" s="1">
        <v>44544</v>
      </c>
      <c r="O407">
        <v>1740</v>
      </c>
      <c r="P407" t="s">
        <v>3324</v>
      </c>
    </row>
    <row r="408" spans="1:16">
      <c r="A408" t="s">
        <v>4520</v>
      </c>
      <c r="B408" t="s">
        <v>4521</v>
      </c>
      <c r="C408" t="s">
        <v>3604</v>
      </c>
      <c r="D408" t="s">
        <v>3301</v>
      </c>
      <c r="E408" t="s">
        <v>3338</v>
      </c>
      <c r="F408">
        <v>25680</v>
      </c>
      <c r="G408">
        <v>13000</v>
      </c>
      <c r="H408" t="s">
        <v>3894</v>
      </c>
      <c r="I408">
        <v>374</v>
      </c>
      <c r="J408">
        <v>4.0999999999999996</v>
      </c>
      <c r="K408">
        <v>637</v>
      </c>
      <c r="L408" t="s">
        <v>3361</v>
      </c>
      <c r="M408" t="s">
        <v>3305</v>
      </c>
      <c r="N408" s="1">
        <v>44378</v>
      </c>
      <c r="O408">
        <v>12680</v>
      </c>
      <c r="P408" t="s">
        <v>3306</v>
      </c>
    </row>
    <row r="409" spans="1:16">
      <c r="A409" t="s">
        <v>4522</v>
      </c>
      <c r="B409" t="s">
        <v>4523</v>
      </c>
      <c r="C409" t="s">
        <v>3358</v>
      </c>
      <c r="D409" t="s">
        <v>3301</v>
      </c>
      <c r="E409" t="s">
        <v>3343</v>
      </c>
      <c r="F409">
        <v>4990</v>
      </c>
      <c r="G409">
        <v>3850</v>
      </c>
      <c r="H409" t="s">
        <v>3661</v>
      </c>
      <c r="I409">
        <v>493</v>
      </c>
      <c r="J409">
        <v>4.8</v>
      </c>
      <c r="K409">
        <v>54</v>
      </c>
      <c r="L409" t="s">
        <v>3335</v>
      </c>
      <c r="M409" t="s">
        <v>3305</v>
      </c>
      <c r="N409" s="1">
        <v>44408</v>
      </c>
      <c r="O409">
        <v>1140</v>
      </c>
      <c r="P409" t="s">
        <v>3324</v>
      </c>
    </row>
    <row r="410" spans="1:16">
      <c r="A410" t="s">
        <v>4524</v>
      </c>
      <c r="B410" t="s">
        <v>4525</v>
      </c>
      <c r="C410" t="s">
        <v>3437</v>
      </c>
      <c r="D410" t="s">
        <v>3301</v>
      </c>
      <c r="E410" t="s">
        <v>3348</v>
      </c>
      <c r="F410">
        <v>16850</v>
      </c>
      <c r="G410">
        <v>8060</v>
      </c>
      <c r="H410" t="s">
        <v>4526</v>
      </c>
      <c r="I410">
        <v>161</v>
      </c>
      <c r="J410">
        <v>3.6</v>
      </c>
      <c r="K410">
        <v>969</v>
      </c>
      <c r="L410" t="s">
        <v>3335</v>
      </c>
      <c r="M410" t="s">
        <v>3305</v>
      </c>
      <c r="N410" s="1">
        <v>44818</v>
      </c>
      <c r="O410">
        <v>8790</v>
      </c>
      <c r="P410" t="s">
        <v>3330</v>
      </c>
    </row>
    <row r="411" spans="1:16">
      <c r="A411" t="s">
        <v>4527</v>
      </c>
      <c r="B411" t="s">
        <v>4528</v>
      </c>
      <c r="C411" t="s">
        <v>3628</v>
      </c>
      <c r="D411" t="s">
        <v>3353</v>
      </c>
      <c r="E411" t="s">
        <v>3354</v>
      </c>
      <c r="F411">
        <v>8140</v>
      </c>
      <c r="G411">
        <v>4100</v>
      </c>
      <c r="H411" t="s">
        <v>4454</v>
      </c>
      <c r="I411">
        <v>215</v>
      </c>
      <c r="J411">
        <v>4.0999999999999996</v>
      </c>
      <c r="K411">
        <v>3366</v>
      </c>
      <c r="L411" t="s">
        <v>3304</v>
      </c>
      <c r="M411" t="s">
        <v>3305</v>
      </c>
      <c r="N411" s="1">
        <v>43989</v>
      </c>
      <c r="O411">
        <v>4040</v>
      </c>
      <c r="P411" t="s">
        <v>3330</v>
      </c>
    </row>
    <row r="412" spans="1:16">
      <c r="A412" t="s">
        <v>4529</v>
      </c>
      <c r="B412" t="s">
        <v>4530</v>
      </c>
      <c r="C412" t="s">
        <v>3327</v>
      </c>
      <c r="D412" t="s">
        <v>3353</v>
      </c>
      <c r="E412" t="s">
        <v>3359</v>
      </c>
      <c r="F412">
        <v>5460</v>
      </c>
      <c r="G412">
        <v>4380</v>
      </c>
      <c r="H412" t="s">
        <v>3962</v>
      </c>
      <c r="I412">
        <v>40</v>
      </c>
      <c r="J412">
        <v>4.8</v>
      </c>
      <c r="K412">
        <v>1203</v>
      </c>
      <c r="L412" t="s">
        <v>3304</v>
      </c>
      <c r="M412" t="s">
        <v>3305</v>
      </c>
      <c r="N412" s="1">
        <v>44203</v>
      </c>
      <c r="O412">
        <v>1080</v>
      </c>
      <c r="P412" t="s">
        <v>3330</v>
      </c>
    </row>
    <row r="413" spans="1:16">
      <c r="A413" t="s">
        <v>4531</v>
      </c>
      <c r="B413" t="s">
        <v>4532</v>
      </c>
      <c r="C413" t="s">
        <v>3358</v>
      </c>
      <c r="D413" t="s">
        <v>3353</v>
      </c>
      <c r="E413" t="s">
        <v>3364</v>
      </c>
      <c r="F413">
        <v>6220</v>
      </c>
      <c r="G413">
        <v>750</v>
      </c>
      <c r="H413" t="s">
        <v>4533</v>
      </c>
      <c r="I413">
        <v>736</v>
      </c>
      <c r="J413">
        <v>4.4000000000000004</v>
      </c>
      <c r="K413">
        <v>2322</v>
      </c>
      <c r="L413" t="s">
        <v>3304</v>
      </c>
      <c r="M413" t="s">
        <v>3305</v>
      </c>
      <c r="N413" s="1">
        <v>45396</v>
      </c>
      <c r="O413">
        <v>5470</v>
      </c>
      <c r="P413" t="s">
        <v>3330</v>
      </c>
    </row>
    <row r="414" spans="1:16">
      <c r="A414" t="s">
        <v>4534</v>
      </c>
      <c r="B414" t="s">
        <v>4535</v>
      </c>
      <c r="C414" t="s">
        <v>3487</v>
      </c>
      <c r="D414" t="s">
        <v>3353</v>
      </c>
      <c r="E414" t="s">
        <v>3368</v>
      </c>
      <c r="F414">
        <v>1870</v>
      </c>
      <c r="G414">
        <v>770</v>
      </c>
      <c r="H414" t="s">
        <v>4499</v>
      </c>
      <c r="I414">
        <v>638</v>
      </c>
      <c r="J414">
        <v>4.3</v>
      </c>
      <c r="K414">
        <v>2166</v>
      </c>
      <c r="L414" t="s">
        <v>3335</v>
      </c>
      <c r="M414" t="s">
        <v>3305</v>
      </c>
      <c r="N414" s="1">
        <v>44869</v>
      </c>
      <c r="O414">
        <v>1100</v>
      </c>
      <c r="P414" t="s">
        <v>3324</v>
      </c>
    </row>
    <row r="415" spans="1:16">
      <c r="A415" t="s">
        <v>4536</v>
      </c>
      <c r="B415" t="s">
        <v>4537</v>
      </c>
      <c r="C415" t="s">
        <v>3498</v>
      </c>
      <c r="D415" t="s">
        <v>3353</v>
      </c>
      <c r="E415" t="s">
        <v>3372</v>
      </c>
      <c r="F415">
        <v>1440</v>
      </c>
      <c r="G415">
        <v>690</v>
      </c>
      <c r="H415" t="s">
        <v>4538</v>
      </c>
      <c r="I415">
        <v>394</v>
      </c>
      <c r="J415">
        <v>3.1</v>
      </c>
      <c r="K415">
        <v>135</v>
      </c>
      <c r="L415" t="s">
        <v>3335</v>
      </c>
      <c r="M415" t="s">
        <v>3305</v>
      </c>
      <c r="N415" s="1">
        <v>45531</v>
      </c>
      <c r="O415">
        <v>750</v>
      </c>
      <c r="P415" t="s">
        <v>3324</v>
      </c>
    </row>
    <row r="416" spans="1:16">
      <c r="A416" t="s">
        <v>4539</v>
      </c>
      <c r="B416" t="s">
        <v>4540</v>
      </c>
      <c r="C416" t="s">
        <v>3539</v>
      </c>
      <c r="D416" t="s">
        <v>3353</v>
      </c>
      <c r="E416" t="s">
        <v>3376</v>
      </c>
      <c r="F416">
        <v>300</v>
      </c>
      <c r="G416">
        <v>100</v>
      </c>
      <c r="H416" t="s">
        <v>4541</v>
      </c>
      <c r="I416">
        <v>487</v>
      </c>
      <c r="J416">
        <v>4.8</v>
      </c>
      <c r="K416">
        <v>4913</v>
      </c>
      <c r="L416" t="s">
        <v>3304</v>
      </c>
      <c r="M416" t="s">
        <v>3305</v>
      </c>
      <c r="N416" s="1">
        <v>45642</v>
      </c>
      <c r="O416">
        <v>200</v>
      </c>
      <c r="P416" t="s">
        <v>3324</v>
      </c>
    </row>
    <row r="417" spans="1:16">
      <c r="A417" t="s">
        <v>4542</v>
      </c>
      <c r="B417" t="s">
        <v>4543</v>
      </c>
      <c r="C417" t="s">
        <v>3611</v>
      </c>
      <c r="D417" t="s">
        <v>3353</v>
      </c>
      <c r="E417" t="s">
        <v>3382</v>
      </c>
      <c r="F417">
        <v>3000</v>
      </c>
      <c r="G417">
        <v>450</v>
      </c>
      <c r="H417" t="s">
        <v>4544</v>
      </c>
      <c r="I417">
        <v>617</v>
      </c>
      <c r="J417">
        <v>4</v>
      </c>
      <c r="K417">
        <v>9</v>
      </c>
      <c r="L417" t="s">
        <v>3312</v>
      </c>
      <c r="M417" t="s">
        <v>3305</v>
      </c>
      <c r="N417" s="1">
        <v>44983</v>
      </c>
      <c r="O417">
        <v>2550</v>
      </c>
      <c r="P417" t="s">
        <v>3324</v>
      </c>
    </row>
    <row r="418" spans="1:16">
      <c r="A418" t="s">
        <v>4545</v>
      </c>
      <c r="B418" t="s">
        <v>4546</v>
      </c>
      <c r="C418" t="s">
        <v>3776</v>
      </c>
      <c r="D418" t="s">
        <v>3387</v>
      </c>
      <c r="E418" t="s">
        <v>3388</v>
      </c>
      <c r="F418">
        <v>14640</v>
      </c>
      <c r="G418">
        <v>8800</v>
      </c>
      <c r="H418" t="s">
        <v>4547</v>
      </c>
      <c r="I418">
        <v>787</v>
      </c>
      <c r="J418">
        <v>3.6</v>
      </c>
      <c r="K418">
        <v>4825</v>
      </c>
      <c r="L418" t="s">
        <v>3304</v>
      </c>
      <c r="M418" t="s">
        <v>3305</v>
      </c>
      <c r="N418" s="1">
        <v>44508</v>
      </c>
      <c r="O418">
        <v>5840</v>
      </c>
      <c r="P418" t="s">
        <v>3330</v>
      </c>
    </row>
    <row r="419" spans="1:16">
      <c r="A419" t="s">
        <v>4548</v>
      </c>
      <c r="B419" t="s">
        <v>4549</v>
      </c>
      <c r="C419" t="s">
        <v>3487</v>
      </c>
      <c r="D419" t="s">
        <v>3387</v>
      </c>
      <c r="E419" t="s">
        <v>3392</v>
      </c>
      <c r="F419">
        <v>7400</v>
      </c>
      <c r="G419">
        <v>3730</v>
      </c>
      <c r="H419" t="s">
        <v>4454</v>
      </c>
      <c r="I419">
        <v>418</v>
      </c>
      <c r="J419">
        <v>3.4</v>
      </c>
      <c r="K419">
        <v>44</v>
      </c>
      <c r="L419" t="s">
        <v>3304</v>
      </c>
      <c r="M419" t="s">
        <v>3305</v>
      </c>
      <c r="N419" s="1">
        <v>43948</v>
      </c>
      <c r="O419">
        <v>3670</v>
      </c>
      <c r="P419" t="s">
        <v>3330</v>
      </c>
    </row>
    <row r="420" spans="1:16">
      <c r="A420" t="s">
        <v>4550</v>
      </c>
      <c r="B420" t="s">
        <v>4551</v>
      </c>
      <c r="C420" t="s">
        <v>3358</v>
      </c>
      <c r="D420" t="s">
        <v>3387</v>
      </c>
      <c r="E420" t="s">
        <v>3397</v>
      </c>
      <c r="F420">
        <v>1140</v>
      </c>
      <c r="G420">
        <v>880</v>
      </c>
      <c r="H420" t="s">
        <v>3661</v>
      </c>
      <c r="I420">
        <v>323</v>
      </c>
      <c r="J420">
        <v>3.7</v>
      </c>
      <c r="K420">
        <v>873</v>
      </c>
      <c r="L420" t="s">
        <v>3335</v>
      </c>
      <c r="M420" t="s">
        <v>3305</v>
      </c>
      <c r="N420" s="1">
        <v>44504</v>
      </c>
      <c r="O420">
        <v>260</v>
      </c>
      <c r="P420" t="s">
        <v>3324</v>
      </c>
    </row>
    <row r="421" spans="1:16">
      <c r="A421" t="s">
        <v>4552</v>
      </c>
      <c r="B421" t="s">
        <v>4553</v>
      </c>
      <c r="C421" t="s">
        <v>3469</v>
      </c>
      <c r="D421" t="s">
        <v>3402</v>
      </c>
      <c r="E421" t="s">
        <v>3403</v>
      </c>
      <c r="F421">
        <v>6990</v>
      </c>
      <c r="G421">
        <v>5610</v>
      </c>
      <c r="H421" t="s">
        <v>4554</v>
      </c>
      <c r="I421">
        <v>282</v>
      </c>
      <c r="J421">
        <v>5</v>
      </c>
      <c r="K421">
        <v>3255</v>
      </c>
      <c r="L421" t="s">
        <v>3335</v>
      </c>
      <c r="M421" t="s">
        <v>3305</v>
      </c>
      <c r="N421" s="1">
        <v>45442</v>
      </c>
      <c r="O421">
        <v>1380</v>
      </c>
      <c r="P421" t="s">
        <v>3330</v>
      </c>
    </row>
    <row r="422" spans="1:16">
      <c r="A422" t="s">
        <v>4555</v>
      </c>
      <c r="B422" t="s">
        <v>4556</v>
      </c>
      <c r="C422" t="s">
        <v>3553</v>
      </c>
      <c r="D422" t="s">
        <v>3301</v>
      </c>
      <c r="E422" t="s">
        <v>3407</v>
      </c>
      <c r="F422">
        <v>20850</v>
      </c>
      <c r="G422">
        <v>7660</v>
      </c>
      <c r="H422" t="s">
        <v>4241</v>
      </c>
      <c r="I422">
        <v>314</v>
      </c>
      <c r="J422">
        <v>4.0999999999999996</v>
      </c>
      <c r="K422">
        <v>3261</v>
      </c>
      <c r="L422" t="s">
        <v>3335</v>
      </c>
      <c r="M422" t="s">
        <v>3305</v>
      </c>
      <c r="N422" s="1">
        <v>43953</v>
      </c>
      <c r="O422">
        <v>13190</v>
      </c>
      <c r="P422" t="s">
        <v>3306</v>
      </c>
    </row>
    <row r="423" spans="1:16">
      <c r="A423" t="s">
        <v>4557</v>
      </c>
      <c r="B423" t="s">
        <v>4558</v>
      </c>
      <c r="C423" t="s">
        <v>3420</v>
      </c>
      <c r="D423" t="s">
        <v>3301</v>
      </c>
      <c r="E423" t="s">
        <v>3411</v>
      </c>
      <c r="F423">
        <v>29210</v>
      </c>
      <c r="G423">
        <v>8780</v>
      </c>
      <c r="H423" t="s">
        <v>4559</v>
      </c>
      <c r="I423">
        <v>219</v>
      </c>
      <c r="J423">
        <v>3.9</v>
      </c>
      <c r="K423">
        <v>2772</v>
      </c>
      <c r="L423" t="s">
        <v>3304</v>
      </c>
      <c r="M423" t="s">
        <v>3305</v>
      </c>
      <c r="N423" s="1">
        <v>43487</v>
      </c>
      <c r="O423">
        <v>20430</v>
      </c>
      <c r="P423" t="s">
        <v>3306</v>
      </c>
    </row>
    <row r="424" spans="1:16">
      <c r="A424" t="s">
        <v>4560</v>
      </c>
      <c r="B424" t="s">
        <v>4561</v>
      </c>
      <c r="C424" t="s">
        <v>3425</v>
      </c>
      <c r="D424" t="s">
        <v>3301</v>
      </c>
      <c r="E424" t="s">
        <v>3416</v>
      </c>
      <c r="F424">
        <v>69060</v>
      </c>
      <c r="G424">
        <v>13780</v>
      </c>
      <c r="H424" t="s">
        <v>4562</v>
      </c>
      <c r="I424">
        <v>65</v>
      </c>
      <c r="J424">
        <v>3.4</v>
      </c>
      <c r="K424">
        <v>3037</v>
      </c>
      <c r="L424" t="s">
        <v>3304</v>
      </c>
      <c r="M424" t="s">
        <v>3305</v>
      </c>
      <c r="N424" s="1">
        <v>45040</v>
      </c>
      <c r="O424">
        <v>55280</v>
      </c>
      <c r="P424" t="s">
        <v>3313</v>
      </c>
    </row>
    <row r="425" spans="1:16">
      <c r="A425" t="s">
        <v>4563</v>
      </c>
      <c r="B425" t="s">
        <v>4564</v>
      </c>
      <c r="C425" t="s">
        <v>3342</v>
      </c>
      <c r="D425" t="s">
        <v>3353</v>
      </c>
      <c r="E425" t="s">
        <v>3421</v>
      </c>
      <c r="F425">
        <v>12160</v>
      </c>
      <c r="G425">
        <v>1240</v>
      </c>
      <c r="H425" t="s">
        <v>4565</v>
      </c>
      <c r="I425">
        <v>792</v>
      </c>
      <c r="J425">
        <v>4.5999999999999996</v>
      </c>
      <c r="K425">
        <v>4049</v>
      </c>
      <c r="L425" t="s">
        <v>3312</v>
      </c>
      <c r="M425" t="s">
        <v>3305</v>
      </c>
      <c r="N425" s="1">
        <v>45588</v>
      </c>
      <c r="O425">
        <v>10920</v>
      </c>
      <c r="P425" t="s">
        <v>3330</v>
      </c>
    </row>
    <row r="426" spans="1:16">
      <c r="A426" t="s">
        <v>4566</v>
      </c>
      <c r="B426" t="s">
        <v>4567</v>
      </c>
      <c r="C426" t="s">
        <v>3415</v>
      </c>
      <c r="D426" t="s">
        <v>3353</v>
      </c>
      <c r="E426" t="s">
        <v>3426</v>
      </c>
      <c r="F426">
        <v>9360</v>
      </c>
      <c r="G426">
        <v>4820</v>
      </c>
      <c r="H426" t="s">
        <v>4568</v>
      </c>
      <c r="I426">
        <v>715</v>
      </c>
      <c r="J426">
        <v>3.3</v>
      </c>
      <c r="K426">
        <v>1388</v>
      </c>
      <c r="L426" t="s">
        <v>3304</v>
      </c>
      <c r="M426" t="s">
        <v>3305</v>
      </c>
      <c r="N426" s="1">
        <v>43467</v>
      </c>
      <c r="O426">
        <v>4540</v>
      </c>
      <c r="P426" t="s">
        <v>3330</v>
      </c>
    </row>
    <row r="427" spans="1:16">
      <c r="A427" t="s">
        <v>4569</v>
      </c>
      <c r="B427" t="s">
        <v>4570</v>
      </c>
      <c r="C427" t="s">
        <v>217</v>
      </c>
      <c r="D427" t="s">
        <v>3301</v>
      </c>
      <c r="E427" t="s">
        <v>3302</v>
      </c>
      <c r="F427">
        <v>54280</v>
      </c>
      <c r="G427">
        <v>30900</v>
      </c>
      <c r="H427" t="s">
        <v>4571</v>
      </c>
      <c r="I427">
        <v>415</v>
      </c>
      <c r="J427">
        <v>4.0999999999999996</v>
      </c>
      <c r="K427">
        <v>4241</v>
      </c>
      <c r="L427" t="s">
        <v>3304</v>
      </c>
      <c r="M427" t="s">
        <v>3305</v>
      </c>
      <c r="N427" s="1">
        <v>43747</v>
      </c>
      <c r="O427">
        <v>23380</v>
      </c>
      <c r="P427" t="s">
        <v>3313</v>
      </c>
    </row>
    <row r="428" spans="1:16">
      <c r="A428" t="s">
        <v>4572</v>
      </c>
      <c r="B428" t="s">
        <v>4573</v>
      </c>
      <c r="C428" t="s">
        <v>3425</v>
      </c>
      <c r="D428" t="s">
        <v>3301</v>
      </c>
      <c r="E428" t="s">
        <v>3310</v>
      </c>
      <c r="F428">
        <v>133760</v>
      </c>
      <c r="G428">
        <v>91280</v>
      </c>
      <c r="H428" t="s">
        <v>4574</v>
      </c>
      <c r="I428">
        <v>596</v>
      </c>
      <c r="J428">
        <v>3.6</v>
      </c>
      <c r="K428">
        <v>2265</v>
      </c>
      <c r="L428" t="s">
        <v>3335</v>
      </c>
      <c r="M428" t="s">
        <v>3305</v>
      </c>
      <c r="N428" s="1">
        <v>44262</v>
      </c>
      <c r="O428">
        <v>42480</v>
      </c>
      <c r="P428" t="s">
        <v>3313</v>
      </c>
    </row>
    <row r="429" spans="1:16">
      <c r="A429" t="s">
        <v>4575</v>
      </c>
      <c r="B429" t="s">
        <v>4576</v>
      </c>
      <c r="C429" t="s">
        <v>3498</v>
      </c>
      <c r="D429" t="s">
        <v>3301</v>
      </c>
      <c r="E429" t="s">
        <v>3317</v>
      </c>
      <c r="F429">
        <v>46220</v>
      </c>
      <c r="G429">
        <v>13740</v>
      </c>
      <c r="H429" t="s">
        <v>4577</v>
      </c>
      <c r="I429">
        <v>416</v>
      </c>
      <c r="J429">
        <v>3.9</v>
      </c>
      <c r="K429">
        <v>4576</v>
      </c>
      <c r="L429" t="s">
        <v>3304</v>
      </c>
      <c r="M429" t="s">
        <v>3305</v>
      </c>
      <c r="N429" s="1">
        <v>44858</v>
      </c>
      <c r="O429">
        <v>32480</v>
      </c>
      <c r="P429" t="s">
        <v>3306</v>
      </c>
    </row>
    <row r="430" spans="1:16">
      <c r="A430" t="s">
        <v>4578</v>
      </c>
      <c r="B430" t="s">
        <v>4579</v>
      </c>
      <c r="C430" t="s">
        <v>3473</v>
      </c>
      <c r="D430" t="s">
        <v>3301</v>
      </c>
      <c r="E430" t="s">
        <v>3322</v>
      </c>
      <c r="F430">
        <v>16890</v>
      </c>
      <c r="G430">
        <v>11670</v>
      </c>
      <c r="H430" t="s">
        <v>3658</v>
      </c>
      <c r="I430">
        <v>453</v>
      </c>
      <c r="J430">
        <v>4.9000000000000004</v>
      </c>
      <c r="K430">
        <v>4613</v>
      </c>
      <c r="L430" t="s">
        <v>3312</v>
      </c>
      <c r="M430" t="s">
        <v>3305</v>
      </c>
      <c r="N430" s="1">
        <v>44857</v>
      </c>
      <c r="O430">
        <v>5220</v>
      </c>
      <c r="P430" t="s">
        <v>3330</v>
      </c>
    </row>
    <row r="431" spans="1:16">
      <c r="A431" t="s">
        <v>4580</v>
      </c>
      <c r="B431" t="s">
        <v>4581</v>
      </c>
      <c r="C431" t="s">
        <v>3504</v>
      </c>
      <c r="D431" t="s">
        <v>3301</v>
      </c>
      <c r="E431" t="s">
        <v>3328</v>
      </c>
      <c r="F431">
        <v>1200</v>
      </c>
      <c r="G431">
        <v>670</v>
      </c>
      <c r="H431" t="s">
        <v>3625</v>
      </c>
      <c r="I431">
        <v>119</v>
      </c>
      <c r="J431">
        <v>3.4</v>
      </c>
      <c r="K431">
        <v>3134</v>
      </c>
      <c r="L431" t="s">
        <v>3335</v>
      </c>
      <c r="M431" t="s">
        <v>3305</v>
      </c>
      <c r="N431" s="1">
        <v>44407</v>
      </c>
      <c r="O431">
        <v>530</v>
      </c>
      <c r="P431" t="s">
        <v>3324</v>
      </c>
    </row>
    <row r="432" spans="1:16">
      <c r="A432" t="s">
        <v>4582</v>
      </c>
      <c r="B432" t="s">
        <v>4583</v>
      </c>
      <c r="C432" t="s">
        <v>3754</v>
      </c>
      <c r="D432" t="s">
        <v>3301</v>
      </c>
      <c r="E432" t="s">
        <v>3333</v>
      </c>
      <c r="F432">
        <v>18250</v>
      </c>
      <c r="G432">
        <v>560</v>
      </c>
      <c r="H432" t="s">
        <v>4584</v>
      </c>
      <c r="I432">
        <v>717</v>
      </c>
      <c r="J432">
        <v>4.5999999999999996</v>
      </c>
      <c r="K432">
        <v>2033</v>
      </c>
      <c r="L432" t="s">
        <v>3361</v>
      </c>
      <c r="M432" t="s">
        <v>3305</v>
      </c>
      <c r="N432" s="1">
        <v>44866</v>
      </c>
      <c r="O432">
        <v>17690</v>
      </c>
      <c r="P432" t="s">
        <v>3330</v>
      </c>
    </row>
    <row r="433" spans="1:16">
      <c r="A433" t="s">
        <v>4585</v>
      </c>
      <c r="B433" t="s">
        <v>4586</v>
      </c>
      <c r="C433" t="s">
        <v>3437</v>
      </c>
      <c r="D433" t="s">
        <v>3301</v>
      </c>
      <c r="E433" t="s">
        <v>3338</v>
      </c>
      <c r="F433">
        <v>21570</v>
      </c>
      <c r="G433">
        <v>12180</v>
      </c>
      <c r="H433" t="s">
        <v>4348</v>
      </c>
      <c r="I433">
        <v>223</v>
      </c>
      <c r="J433">
        <v>4.8</v>
      </c>
      <c r="K433">
        <v>2204</v>
      </c>
      <c r="L433" t="s">
        <v>3335</v>
      </c>
      <c r="M433" t="s">
        <v>3378</v>
      </c>
      <c r="N433" s="1">
        <v>44244</v>
      </c>
      <c r="O433">
        <v>9390</v>
      </c>
      <c r="P433" t="s">
        <v>3306</v>
      </c>
    </row>
    <row r="434" spans="1:16">
      <c r="A434" t="s">
        <v>4587</v>
      </c>
      <c r="B434" t="s">
        <v>4588</v>
      </c>
      <c r="C434" t="s">
        <v>3654</v>
      </c>
      <c r="D434" t="s">
        <v>3301</v>
      </c>
      <c r="E434" t="s">
        <v>3343</v>
      </c>
      <c r="F434">
        <v>2980</v>
      </c>
      <c r="G434">
        <v>2390</v>
      </c>
      <c r="H434" t="s">
        <v>3962</v>
      </c>
      <c r="I434">
        <v>271</v>
      </c>
      <c r="J434">
        <v>3.3</v>
      </c>
      <c r="K434">
        <v>1661</v>
      </c>
      <c r="L434" t="s">
        <v>3335</v>
      </c>
      <c r="M434" t="s">
        <v>3305</v>
      </c>
      <c r="N434" s="1">
        <v>44924</v>
      </c>
      <c r="O434">
        <v>590</v>
      </c>
      <c r="P434" t="s">
        <v>3324</v>
      </c>
    </row>
    <row r="435" spans="1:16">
      <c r="A435" t="s">
        <v>4589</v>
      </c>
      <c r="B435" t="s">
        <v>4590</v>
      </c>
      <c r="C435" t="s">
        <v>3650</v>
      </c>
      <c r="D435" t="s">
        <v>3301</v>
      </c>
      <c r="E435" t="s">
        <v>3348</v>
      </c>
      <c r="F435">
        <v>51290</v>
      </c>
      <c r="G435">
        <v>37290</v>
      </c>
      <c r="H435" t="s">
        <v>3698</v>
      </c>
      <c r="I435">
        <v>628</v>
      </c>
      <c r="J435">
        <v>2.8</v>
      </c>
      <c r="K435">
        <v>4435</v>
      </c>
      <c r="L435" t="s">
        <v>3304</v>
      </c>
      <c r="M435" t="s">
        <v>3305</v>
      </c>
      <c r="N435" s="1">
        <v>44986</v>
      </c>
      <c r="O435">
        <v>14000</v>
      </c>
      <c r="P435" t="s">
        <v>3313</v>
      </c>
    </row>
    <row r="436" spans="1:16">
      <c r="A436" t="s">
        <v>4591</v>
      </c>
      <c r="B436" t="s">
        <v>4592</v>
      </c>
      <c r="C436" t="s">
        <v>3430</v>
      </c>
      <c r="D436" t="s">
        <v>3353</v>
      </c>
      <c r="E436" t="s">
        <v>3354</v>
      </c>
      <c r="F436">
        <v>4800</v>
      </c>
      <c r="G436">
        <v>2190</v>
      </c>
      <c r="H436" t="s">
        <v>4593</v>
      </c>
      <c r="I436">
        <v>187</v>
      </c>
      <c r="J436">
        <v>5</v>
      </c>
      <c r="K436">
        <v>4187</v>
      </c>
      <c r="L436" t="s">
        <v>3361</v>
      </c>
      <c r="M436" t="s">
        <v>3305</v>
      </c>
      <c r="N436" s="1">
        <v>43991</v>
      </c>
      <c r="O436">
        <v>2610</v>
      </c>
      <c r="P436" t="s">
        <v>3324</v>
      </c>
    </row>
    <row r="437" spans="1:16">
      <c r="A437" t="s">
        <v>4594</v>
      </c>
      <c r="B437" t="s">
        <v>4595</v>
      </c>
      <c r="C437" t="s">
        <v>3401</v>
      </c>
      <c r="D437" t="s">
        <v>3353</v>
      </c>
      <c r="E437" t="s">
        <v>3359</v>
      </c>
      <c r="F437">
        <v>8000</v>
      </c>
      <c r="G437">
        <v>4610</v>
      </c>
      <c r="H437" t="s">
        <v>4596</v>
      </c>
      <c r="I437">
        <v>33</v>
      </c>
      <c r="J437">
        <v>3.9</v>
      </c>
      <c r="K437">
        <v>3225</v>
      </c>
      <c r="L437" t="s">
        <v>3335</v>
      </c>
      <c r="M437" t="s">
        <v>3305</v>
      </c>
      <c r="N437" s="1">
        <v>43959</v>
      </c>
      <c r="O437">
        <v>3390</v>
      </c>
      <c r="P437" t="s">
        <v>3330</v>
      </c>
    </row>
    <row r="438" spans="1:16">
      <c r="A438" t="s">
        <v>4597</v>
      </c>
      <c r="B438" t="s">
        <v>4598</v>
      </c>
      <c r="C438" t="s">
        <v>3685</v>
      </c>
      <c r="D438" t="s">
        <v>3353</v>
      </c>
      <c r="E438" t="s">
        <v>3364</v>
      </c>
      <c r="F438">
        <v>6640</v>
      </c>
      <c r="G438">
        <v>670</v>
      </c>
      <c r="H438" t="s">
        <v>4599</v>
      </c>
      <c r="I438">
        <v>12</v>
      </c>
      <c r="J438">
        <v>4.3</v>
      </c>
      <c r="K438">
        <v>3108</v>
      </c>
      <c r="L438" t="s">
        <v>3304</v>
      </c>
      <c r="M438" t="s">
        <v>3305</v>
      </c>
      <c r="N438" s="1">
        <v>44529</v>
      </c>
      <c r="O438">
        <v>5970</v>
      </c>
      <c r="P438" t="s">
        <v>3330</v>
      </c>
    </row>
    <row r="439" spans="1:16">
      <c r="A439" t="s">
        <v>4600</v>
      </c>
      <c r="B439" t="s">
        <v>4601</v>
      </c>
      <c r="C439" t="s">
        <v>3553</v>
      </c>
      <c r="D439" t="s">
        <v>3353</v>
      </c>
      <c r="E439" t="s">
        <v>3368</v>
      </c>
      <c r="F439">
        <v>2900</v>
      </c>
      <c r="G439">
        <v>2330</v>
      </c>
      <c r="H439" t="s">
        <v>4554</v>
      </c>
      <c r="I439">
        <v>627</v>
      </c>
      <c r="J439">
        <v>3.6</v>
      </c>
      <c r="K439">
        <v>1506</v>
      </c>
      <c r="L439" t="s">
        <v>3312</v>
      </c>
      <c r="M439" t="s">
        <v>3305</v>
      </c>
      <c r="N439" s="1">
        <v>45182</v>
      </c>
      <c r="O439">
        <v>570</v>
      </c>
      <c r="P439" t="s">
        <v>3324</v>
      </c>
    </row>
    <row r="440" spans="1:16">
      <c r="A440" t="s">
        <v>4602</v>
      </c>
      <c r="B440" t="s">
        <v>4603</v>
      </c>
      <c r="C440" t="s">
        <v>3685</v>
      </c>
      <c r="D440" t="s">
        <v>3353</v>
      </c>
      <c r="E440" t="s">
        <v>3372</v>
      </c>
      <c r="F440">
        <v>1640</v>
      </c>
      <c r="G440">
        <v>1220</v>
      </c>
      <c r="H440" t="s">
        <v>4335</v>
      </c>
      <c r="I440">
        <v>184</v>
      </c>
      <c r="J440">
        <v>4.0999999999999996</v>
      </c>
      <c r="K440">
        <v>4717</v>
      </c>
      <c r="L440" t="s">
        <v>3335</v>
      </c>
      <c r="M440" t="s">
        <v>3305</v>
      </c>
      <c r="N440" s="1">
        <v>44571</v>
      </c>
      <c r="O440">
        <v>420</v>
      </c>
      <c r="P440" t="s">
        <v>3324</v>
      </c>
    </row>
    <row r="441" spans="1:16">
      <c r="A441" t="s">
        <v>4604</v>
      </c>
      <c r="B441" t="s">
        <v>4605</v>
      </c>
      <c r="C441" t="s">
        <v>3347</v>
      </c>
      <c r="D441" t="s">
        <v>3353</v>
      </c>
      <c r="E441" t="s">
        <v>3376</v>
      </c>
      <c r="F441">
        <v>500</v>
      </c>
      <c r="G441">
        <v>130</v>
      </c>
      <c r="H441" t="s">
        <v>4606</v>
      </c>
      <c r="I441">
        <v>756</v>
      </c>
      <c r="J441">
        <v>3.1</v>
      </c>
      <c r="K441">
        <v>79</v>
      </c>
      <c r="L441" t="s">
        <v>3335</v>
      </c>
      <c r="M441" t="s">
        <v>3305</v>
      </c>
      <c r="N441" s="1">
        <v>44016</v>
      </c>
      <c r="O441">
        <v>370</v>
      </c>
      <c r="P441" t="s">
        <v>3324</v>
      </c>
    </row>
    <row r="442" spans="1:16">
      <c r="A442" t="s">
        <v>4607</v>
      </c>
      <c r="B442" t="s">
        <v>4608</v>
      </c>
      <c r="C442" t="s">
        <v>3300</v>
      </c>
      <c r="D442" t="s">
        <v>3353</v>
      </c>
      <c r="E442" t="s">
        <v>3382</v>
      </c>
      <c r="F442">
        <v>1590</v>
      </c>
      <c r="G442">
        <v>1180</v>
      </c>
      <c r="H442" t="s">
        <v>4609</v>
      </c>
      <c r="I442">
        <v>307</v>
      </c>
      <c r="J442">
        <v>3.4</v>
      </c>
      <c r="K442">
        <v>4651</v>
      </c>
      <c r="L442" t="s">
        <v>3304</v>
      </c>
      <c r="M442" t="s">
        <v>3305</v>
      </c>
      <c r="N442" s="1">
        <v>44135</v>
      </c>
      <c r="O442">
        <v>410</v>
      </c>
      <c r="P442" t="s">
        <v>3324</v>
      </c>
    </row>
    <row r="443" spans="1:16">
      <c r="A443" t="s">
        <v>4610</v>
      </c>
      <c r="B443" t="s">
        <v>4611</v>
      </c>
      <c r="C443" t="s">
        <v>3401</v>
      </c>
      <c r="D443" t="s">
        <v>3387</v>
      </c>
      <c r="E443" t="s">
        <v>3388</v>
      </c>
      <c r="F443">
        <v>11820</v>
      </c>
      <c r="G443">
        <v>2480</v>
      </c>
      <c r="H443" t="s">
        <v>4612</v>
      </c>
      <c r="I443">
        <v>460</v>
      </c>
      <c r="J443">
        <v>4.4000000000000004</v>
      </c>
      <c r="K443">
        <v>2128</v>
      </c>
      <c r="L443" t="s">
        <v>3361</v>
      </c>
      <c r="M443" t="s">
        <v>3305</v>
      </c>
      <c r="N443" s="1">
        <v>44521</v>
      </c>
      <c r="O443">
        <v>9340</v>
      </c>
      <c r="P443" t="s">
        <v>3330</v>
      </c>
    </row>
    <row r="444" spans="1:16">
      <c r="A444" t="s">
        <v>4613</v>
      </c>
      <c r="B444" t="s">
        <v>4614</v>
      </c>
      <c r="C444" t="s">
        <v>3321</v>
      </c>
      <c r="D444" t="s">
        <v>3387</v>
      </c>
      <c r="E444" t="s">
        <v>3392</v>
      </c>
      <c r="F444">
        <v>5380</v>
      </c>
      <c r="G444">
        <v>4280</v>
      </c>
      <c r="H444" t="s">
        <v>4615</v>
      </c>
      <c r="I444">
        <v>620</v>
      </c>
      <c r="J444">
        <v>3.2</v>
      </c>
      <c r="K444">
        <v>4717</v>
      </c>
      <c r="L444" t="s">
        <v>3335</v>
      </c>
      <c r="M444" t="s">
        <v>3378</v>
      </c>
      <c r="N444" s="1">
        <v>44631</v>
      </c>
      <c r="O444">
        <v>1100</v>
      </c>
      <c r="P444" t="s">
        <v>3330</v>
      </c>
    </row>
    <row r="445" spans="1:16">
      <c r="A445" t="s">
        <v>4616</v>
      </c>
      <c r="B445" t="s">
        <v>4617</v>
      </c>
      <c r="C445" t="s">
        <v>3321</v>
      </c>
      <c r="D445" t="s">
        <v>3387</v>
      </c>
      <c r="E445" t="s">
        <v>3397</v>
      </c>
      <c r="F445">
        <v>2130</v>
      </c>
      <c r="G445">
        <v>340</v>
      </c>
      <c r="H445" t="s">
        <v>4163</v>
      </c>
      <c r="I445">
        <v>390</v>
      </c>
      <c r="J445">
        <v>4.2</v>
      </c>
      <c r="K445">
        <v>3799</v>
      </c>
      <c r="L445" t="s">
        <v>3335</v>
      </c>
      <c r="M445" t="s">
        <v>3305</v>
      </c>
      <c r="N445" s="1">
        <v>44847</v>
      </c>
      <c r="O445">
        <v>1790</v>
      </c>
      <c r="P445" t="s">
        <v>3324</v>
      </c>
    </row>
    <row r="446" spans="1:16">
      <c r="A446" t="s">
        <v>4618</v>
      </c>
      <c r="B446" t="s">
        <v>4619</v>
      </c>
      <c r="C446" t="s">
        <v>3396</v>
      </c>
      <c r="D446" t="s">
        <v>3402</v>
      </c>
      <c r="E446" t="s">
        <v>3403</v>
      </c>
      <c r="F446">
        <v>7630</v>
      </c>
      <c r="G446">
        <v>1180</v>
      </c>
      <c r="H446" t="s">
        <v>4620</v>
      </c>
      <c r="I446">
        <v>81</v>
      </c>
      <c r="J446">
        <v>3.2</v>
      </c>
      <c r="K446">
        <v>1869</v>
      </c>
      <c r="L446" t="s">
        <v>3361</v>
      </c>
      <c r="M446" t="s">
        <v>3305</v>
      </c>
      <c r="N446" s="1">
        <v>44659</v>
      </c>
      <c r="O446">
        <v>6450</v>
      </c>
      <c r="P446" t="s">
        <v>3330</v>
      </c>
    </row>
    <row r="447" spans="1:16">
      <c r="A447" t="s">
        <v>4621</v>
      </c>
      <c r="B447" t="s">
        <v>4622</v>
      </c>
      <c r="C447" t="s">
        <v>3381</v>
      </c>
      <c r="D447" t="s">
        <v>3301</v>
      </c>
      <c r="E447" t="s">
        <v>3407</v>
      </c>
      <c r="F447">
        <v>17960</v>
      </c>
      <c r="G447">
        <v>7940</v>
      </c>
      <c r="H447" t="s">
        <v>4623</v>
      </c>
      <c r="I447">
        <v>455</v>
      </c>
      <c r="J447">
        <v>4.5</v>
      </c>
      <c r="K447">
        <v>2975</v>
      </c>
      <c r="L447" t="s">
        <v>3312</v>
      </c>
      <c r="M447" t="s">
        <v>3305</v>
      </c>
      <c r="N447" s="1">
        <v>44219</v>
      </c>
      <c r="O447">
        <v>10020</v>
      </c>
      <c r="P447" t="s">
        <v>3330</v>
      </c>
    </row>
    <row r="448" spans="1:16">
      <c r="A448" t="s">
        <v>4624</v>
      </c>
      <c r="B448" t="s">
        <v>4625</v>
      </c>
      <c r="C448" t="s">
        <v>3309</v>
      </c>
      <c r="D448" t="s">
        <v>3301</v>
      </c>
      <c r="E448" t="s">
        <v>3411</v>
      </c>
      <c r="F448">
        <v>40980</v>
      </c>
      <c r="G448">
        <v>29880</v>
      </c>
      <c r="H448" t="s">
        <v>4402</v>
      </c>
      <c r="I448">
        <v>717</v>
      </c>
      <c r="J448">
        <v>4.4000000000000004</v>
      </c>
      <c r="K448">
        <v>1725</v>
      </c>
      <c r="L448" t="s">
        <v>3335</v>
      </c>
      <c r="M448" t="s">
        <v>3305</v>
      </c>
      <c r="N448" s="1">
        <v>43857</v>
      </c>
      <c r="O448">
        <v>11100</v>
      </c>
      <c r="P448" t="s">
        <v>3306</v>
      </c>
    </row>
    <row r="449" spans="1:16">
      <c r="A449" t="s">
        <v>4626</v>
      </c>
      <c r="B449" t="s">
        <v>4627</v>
      </c>
      <c r="C449" t="s">
        <v>3437</v>
      </c>
      <c r="D449" t="s">
        <v>3301</v>
      </c>
      <c r="E449" t="s">
        <v>3416</v>
      </c>
      <c r="F449">
        <v>15460</v>
      </c>
      <c r="G449">
        <v>11250</v>
      </c>
      <c r="H449" t="s">
        <v>4628</v>
      </c>
      <c r="I449">
        <v>536</v>
      </c>
      <c r="J449">
        <v>4.5</v>
      </c>
      <c r="K449">
        <v>681</v>
      </c>
      <c r="L449" t="s">
        <v>3304</v>
      </c>
      <c r="M449" t="s">
        <v>3305</v>
      </c>
      <c r="N449" s="1">
        <v>44102</v>
      </c>
      <c r="O449">
        <v>4210</v>
      </c>
      <c r="P449" t="s">
        <v>3330</v>
      </c>
    </row>
    <row r="450" spans="1:16">
      <c r="A450" t="s">
        <v>4629</v>
      </c>
      <c r="B450" t="s">
        <v>4630</v>
      </c>
      <c r="C450" t="s">
        <v>3425</v>
      </c>
      <c r="D450" t="s">
        <v>3353</v>
      </c>
      <c r="E450" t="s">
        <v>3421</v>
      </c>
      <c r="F450">
        <v>4260</v>
      </c>
      <c r="G450">
        <v>1310</v>
      </c>
      <c r="H450" t="s">
        <v>4631</v>
      </c>
      <c r="I450">
        <v>755</v>
      </c>
      <c r="J450">
        <v>3.4</v>
      </c>
      <c r="K450">
        <v>1035</v>
      </c>
      <c r="L450" t="s">
        <v>3335</v>
      </c>
      <c r="M450" t="s">
        <v>3305</v>
      </c>
      <c r="N450" s="1">
        <v>44164</v>
      </c>
      <c r="O450">
        <v>2950</v>
      </c>
      <c r="P450" t="s">
        <v>3324</v>
      </c>
    </row>
    <row r="451" spans="1:16">
      <c r="A451" t="s">
        <v>4632</v>
      </c>
      <c r="B451" t="s">
        <v>4633</v>
      </c>
      <c r="C451" t="s">
        <v>3309</v>
      </c>
      <c r="D451" t="s">
        <v>3353</v>
      </c>
      <c r="E451" t="s">
        <v>3426</v>
      </c>
      <c r="F451">
        <v>8800</v>
      </c>
      <c r="G451">
        <v>4430</v>
      </c>
      <c r="H451" t="s">
        <v>3692</v>
      </c>
      <c r="I451">
        <v>553</v>
      </c>
      <c r="J451">
        <v>4.9000000000000004</v>
      </c>
      <c r="K451">
        <v>4493</v>
      </c>
      <c r="L451" t="s">
        <v>3312</v>
      </c>
      <c r="M451" t="s">
        <v>3305</v>
      </c>
      <c r="N451" s="1">
        <v>44191</v>
      </c>
      <c r="O451">
        <v>4370</v>
      </c>
      <c r="P451" t="s">
        <v>3330</v>
      </c>
    </row>
    <row r="452" spans="1:16">
      <c r="A452" t="s">
        <v>4634</v>
      </c>
      <c r="B452" t="s">
        <v>4635</v>
      </c>
      <c r="C452" t="s">
        <v>3604</v>
      </c>
      <c r="D452" t="s">
        <v>3301</v>
      </c>
      <c r="E452" t="s">
        <v>3302</v>
      </c>
      <c r="F452">
        <v>91340</v>
      </c>
      <c r="G452">
        <v>62490</v>
      </c>
      <c r="H452" t="s">
        <v>4636</v>
      </c>
      <c r="I452">
        <v>577</v>
      </c>
      <c r="J452">
        <v>3.8</v>
      </c>
      <c r="K452">
        <v>4372</v>
      </c>
      <c r="L452" t="s">
        <v>3361</v>
      </c>
      <c r="M452" t="s">
        <v>3378</v>
      </c>
      <c r="N452" s="1">
        <v>45438</v>
      </c>
      <c r="O452">
        <v>28850</v>
      </c>
      <c r="P452" t="s">
        <v>3313</v>
      </c>
    </row>
    <row r="453" spans="1:16">
      <c r="A453" t="s">
        <v>4637</v>
      </c>
      <c r="B453" t="s">
        <v>4638</v>
      </c>
      <c r="C453" t="s">
        <v>3441</v>
      </c>
      <c r="D453" t="s">
        <v>3301</v>
      </c>
      <c r="E453" t="s">
        <v>3310</v>
      </c>
      <c r="F453">
        <v>65350</v>
      </c>
      <c r="G453">
        <v>41970</v>
      </c>
      <c r="H453" t="s">
        <v>3566</v>
      </c>
      <c r="I453">
        <v>422</v>
      </c>
      <c r="J453">
        <v>3.4</v>
      </c>
      <c r="K453">
        <v>2486</v>
      </c>
      <c r="L453" t="s">
        <v>3304</v>
      </c>
      <c r="M453" t="s">
        <v>3305</v>
      </c>
      <c r="N453" s="1">
        <v>44024</v>
      </c>
      <c r="O453">
        <v>23380</v>
      </c>
      <c r="P453" t="s">
        <v>3313</v>
      </c>
    </row>
    <row r="454" spans="1:16">
      <c r="A454" t="s">
        <v>4639</v>
      </c>
      <c r="B454" t="s">
        <v>4640</v>
      </c>
      <c r="C454" t="s">
        <v>3321</v>
      </c>
      <c r="D454" t="s">
        <v>3301</v>
      </c>
      <c r="E454" t="s">
        <v>3317</v>
      </c>
      <c r="F454">
        <v>13090</v>
      </c>
      <c r="G454">
        <v>10820</v>
      </c>
      <c r="H454" t="s">
        <v>3965</v>
      </c>
      <c r="I454">
        <v>503</v>
      </c>
      <c r="J454">
        <v>4.9000000000000004</v>
      </c>
      <c r="K454">
        <v>3908</v>
      </c>
      <c r="L454" t="s">
        <v>3361</v>
      </c>
      <c r="M454" t="s">
        <v>3305</v>
      </c>
      <c r="N454" s="1">
        <v>45229</v>
      </c>
      <c r="O454">
        <v>2270</v>
      </c>
      <c r="P454" t="s">
        <v>3330</v>
      </c>
    </row>
    <row r="455" spans="1:16">
      <c r="A455" t="s">
        <v>4641</v>
      </c>
      <c r="B455" t="s">
        <v>4642</v>
      </c>
      <c r="C455" t="s">
        <v>3415</v>
      </c>
      <c r="D455" t="s">
        <v>3301</v>
      </c>
      <c r="E455" t="s">
        <v>3322</v>
      </c>
      <c r="F455">
        <v>24990</v>
      </c>
      <c r="G455">
        <v>6480</v>
      </c>
      <c r="H455" t="s">
        <v>4643</v>
      </c>
      <c r="I455">
        <v>421</v>
      </c>
      <c r="J455">
        <v>4.7</v>
      </c>
      <c r="K455">
        <v>3580</v>
      </c>
      <c r="L455" t="s">
        <v>3312</v>
      </c>
      <c r="M455" t="s">
        <v>3305</v>
      </c>
      <c r="N455" s="1">
        <v>45062</v>
      </c>
      <c r="O455">
        <v>18510</v>
      </c>
      <c r="P455" t="s">
        <v>3306</v>
      </c>
    </row>
    <row r="456" spans="1:16">
      <c r="A456" t="s">
        <v>4644</v>
      </c>
      <c r="B456" t="s">
        <v>4645</v>
      </c>
      <c r="C456" t="s">
        <v>3462</v>
      </c>
      <c r="D456" t="s">
        <v>3301</v>
      </c>
      <c r="E456" t="s">
        <v>3328</v>
      </c>
      <c r="F456">
        <v>14130</v>
      </c>
      <c r="G456">
        <v>10420</v>
      </c>
      <c r="H456" t="s">
        <v>4646</v>
      </c>
      <c r="I456">
        <v>245</v>
      </c>
      <c r="J456">
        <v>3.9</v>
      </c>
      <c r="K456">
        <v>2227</v>
      </c>
      <c r="L456" t="s">
        <v>3361</v>
      </c>
      <c r="M456" t="s">
        <v>3305</v>
      </c>
      <c r="N456" s="1">
        <v>45644</v>
      </c>
      <c r="O456">
        <v>3710</v>
      </c>
      <c r="P456" t="s">
        <v>3330</v>
      </c>
    </row>
    <row r="457" spans="1:16">
      <c r="A457" t="s">
        <v>4647</v>
      </c>
      <c r="B457" t="s">
        <v>4648</v>
      </c>
      <c r="C457" t="s">
        <v>3615</v>
      </c>
      <c r="D457" t="s">
        <v>3301</v>
      </c>
      <c r="E457" t="s">
        <v>3333</v>
      </c>
      <c r="F457">
        <v>6680</v>
      </c>
      <c r="G457">
        <v>1520</v>
      </c>
      <c r="H457" t="s">
        <v>4649</v>
      </c>
      <c r="I457">
        <v>296</v>
      </c>
      <c r="J457">
        <v>3</v>
      </c>
      <c r="K457">
        <v>3730</v>
      </c>
      <c r="L457" t="s">
        <v>3312</v>
      </c>
      <c r="M457" t="s">
        <v>3305</v>
      </c>
      <c r="N457" s="1">
        <v>45481</v>
      </c>
      <c r="O457">
        <v>5160</v>
      </c>
      <c r="P457" t="s">
        <v>3330</v>
      </c>
    </row>
    <row r="458" spans="1:16">
      <c r="A458" t="s">
        <v>4650</v>
      </c>
      <c r="B458" t="s">
        <v>4651</v>
      </c>
      <c r="C458" t="s">
        <v>3491</v>
      </c>
      <c r="D458" t="s">
        <v>3301</v>
      </c>
      <c r="E458" t="s">
        <v>3338</v>
      </c>
      <c r="F458">
        <v>4250</v>
      </c>
      <c r="G458">
        <v>2790</v>
      </c>
      <c r="H458" t="s">
        <v>3829</v>
      </c>
      <c r="I458">
        <v>22</v>
      </c>
      <c r="J458">
        <v>3.2</v>
      </c>
      <c r="K458">
        <v>837</v>
      </c>
      <c r="L458" t="s">
        <v>3361</v>
      </c>
      <c r="M458" t="s">
        <v>3305</v>
      </c>
      <c r="N458" s="1">
        <v>45261</v>
      </c>
      <c r="O458">
        <v>1460</v>
      </c>
      <c r="P458" t="s">
        <v>3324</v>
      </c>
    </row>
    <row r="459" spans="1:16">
      <c r="A459" t="s">
        <v>4652</v>
      </c>
      <c r="B459" t="s">
        <v>4653</v>
      </c>
      <c r="C459" t="s">
        <v>3628</v>
      </c>
      <c r="D459" t="s">
        <v>3301</v>
      </c>
      <c r="E459" t="s">
        <v>3343</v>
      </c>
      <c r="F459">
        <v>2230</v>
      </c>
      <c r="G459">
        <v>630</v>
      </c>
      <c r="H459" t="s">
        <v>4654</v>
      </c>
      <c r="I459">
        <v>505</v>
      </c>
      <c r="J459">
        <v>3.3</v>
      </c>
      <c r="K459">
        <v>3442</v>
      </c>
      <c r="L459" t="s">
        <v>3361</v>
      </c>
      <c r="M459" t="s">
        <v>3305</v>
      </c>
      <c r="N459" s="1">
        <v>45507</v>
      </c>
      <c r="O459">
        <v>1600</v>
      </c>
      <c r="P459" t="s">
        <v>3324</v>
      </c>
    </row>
    <row r="460" spans="1:16">
      <c r="A460" t="s">
        <v>4655</v>
      </c>
      <c r="B460" t="s">
        <v>4656</v>
      </c>
      <c r="C460" t="s">
        <v>3769</v>
      </c>
      <c r="D460" t="s">
        <v>3301</v>
      </c>
      <c r="E460" t="s">
        <v>3348</v>
      </c>
      <c r="F460">
        <v>12260</v>
      </c>
      <c r="G460">
        <v>6200</v>
      </c>
      <c r="H460" t="s">
        <v>3894</v>
      </c>
      <c r="I460">
        <v>57</v>
      </c>
      <c r="J460">
        <v>3.4</v>
      </c>
      <c r="K460">
        <v>3214</v>
      </c>
      <c r="L460" t="s">
        <v>3304</v>
      </c>
      <c r="M460" t="s">
        <v>3305</v>
      </c>
      <c r="N460" s="1">
        <v>44209</v>
      </c>
      <c r="O460">
        <v>6060</v>
      </c>
      <c r="P460" t="s">
        <v>3330</v>
      </c>
    </row>
    <row r="461" spans="1:16">
      <c r="A461" t="s">
        <v>4657</v>
      </c>
      <c r="B461" t="s">
        <v>4658</v>
      </c>
      <c r="C461" t="s">
        <v>3491</v>
      </c>
      <c r="D461" t="s">
        <v>3353</v>
      </c>
      <c r="E461" t="s">
        <v>3354</v>
      </c>
      <c r="F461">
        <v>2300</v>
      </c>
      <c r="G461">
        <v>1750</v>
      </c>
      <c r="H461" t="s">
        <v>4659</v>
      </c>
      <c r="I461">
        <v>731</v>
      </c>
      <c r="J461">
        <v>3.3</v>
      </c>
      <c r="K461">
        <v>3628</v>
      </c>
      <c r="L461" t="s">
        <v>3335</v>
      </c>
      <c r="M461" t="s">
        <v>3305</v>
      </c>
      <c r="N461" s="1">
        <v>43603</v>
      </c>
      <c r="O461">
        <v>550</v>
      </c>
      <c r="P461" t="s">
        <v>3324</v>
      </c>
    </row>
    <row r="462" spans="1:16">
      <c r="A462" t="s">
        <v>4660</v>
      </c>
      <c r="B462" t="s">
        <v>4661</v>
      </c>
      <c r="C462" t="s">
        <v>3491</v>
      </c>
      <c r="D462" t="s">
        <v>3353</v>
      </c>
      <c r="E462" t="s">
        <v>3359</v>
      </c>
      <c r="F462">
        <v>5750</v>
      </c>
      <c r="G462">
        <v>1890</v>
      </c>
      <c r="H462" t="s">
        <v>3622</v>
      </c>
      <c r="I462">
        <v>484</v>
      </c>
      <c r="J462">
        <v>3.7</v>
      </c>
      <c r="K462">
        <v>2556</v>
      </c>
      <c r="L462" t="s">
        <v>3361</v>
      </c>
      <c r="M462" t="s">
        <v>3305</v>
      </c>
      <c r="N462" s="1">
        <v>43638</v>
      </c>
      <c r="O462">
        <v>3860</v>
      </c>
      <c r="P462" t="s">
        <v>3330</v>
      </c>
    </row>
    <row r="463" spans="1:16">
      <c r="A463" t="s">
        <v>4662</v>
      </c>
      <c r="B463" t="s">
        <v>4663</v>
      </c>
      <c r="C463" t="s">
        <v>3420</v>
      </c>
      <c r="D463" t="s">
        <v>3353</v>
      </c>
      <c r="E463" t="s">
        <v>3364</v>
      </c>
      <c r="F463">
        <v>3070</v>
      </c>
      <c r="G463">
        <v>1580</v>
      </c>
      <c r="H463" t="s">
        <v>4568</v>
      </c>
      <c r="I463">
        <v>653</v>
      </c>
      <c r="J463">
        <v>3.5</v>
      </c>
      <c r="K463">
        <v>2952</v>
      </c>
      <c r="L463" t="s">
        <v>3304</v>
      </c>
      <c r="M463" t="s">
        <v>3305</v>
      </c>
      <c r="N463" s="1">
        <v>44358</v>
      </c>
      <c r="O463">
        <v>1490</v>
      </c>
      <c r="P463" t="s">
        <v>3324</v>
      </c>
    </row>
    <row r="464" spans="1:16">
      <c r="A464" t="s">
        <v>4664</v>
      </c>
      <c r="B464" t="s">
        <v>4665</v>
      </c>
      <c r="C464" t="s">
        <v>3473</v>
      </c>
      <c r="D464" t="s">
        <v>3353</v>
      </c>
      <c r="E464" t="s">
        <v>3368</v>
      </c>
      <c r="F464">
        <v>820</v>
      </c>
      <c r="G464">
        <v>480</v>
      </c>
      <c r="H464" t="s">
        <v>4666</v>
      </c>
      <c r="I464">
        <v>282</v>
      </c>
      <c r="J464">
        <v>4.0999999999999996</v>
      </c>
      <c r="K464">
        <v>3242</v>
      </c>
      <c r="L464" t="s">
        <v>3335</v>
      </c>
      <c r="M464" t="s">
        <v>3305</v>
      </c>
      <c r="N464" s="1">
        <v>43638</v>
      </c>
      <c r="O464">
        <v>340</v>
      </c>
      <c r="P464" t="s">
        <v>3324</v>
      </c>
    </row>
    <row r="465" spans="1:16">
      <c r="A465" t="s">
        <v>4667</v>
      </c>
      <c r="B465" t="s">
        <v>4668</v>
      </c>
      <c r="C465" t="s">
        <v>3604</v>
      </c>
      <c r="D465" t="s">
        <v>3353</v>
      </c>
      <c r="E465" t="s">
        <v>3372</v>
      </c>
      <c r="F465">
        <v>2020</v>
      </c>
      <c r="G465">
        <v>480</v>
      </c>
      <c r="H465" t="s">
        <v>4669</v>
      </c>
      <c r="I465">
        <v>254</v>
      </c>
      <c r="J465">
        <v>3.1</v>
      </c>
      <c r="K465">
        <v>748</v>
      </c>
      <c r="L465" t="s">
        <v>3361</v>
      </c>
      <c r="M465" t="s">
        <v>3378</v>
      </c>
      <c r="N465" s="1">
        <v>43711</v>
      </c>
      <c r="O465">
        <v>1540</v>
      </c>
      <c r="P465" t="s">
        <v>3324</v>
      </c>
    </row>
    <row r="466" spans="1:16">
      <c r="A466" t="s">
        <v>4670</v>
      </c>
      <c r="B466" t="s">
        <v>4671</v>
      </c>
      <c r="C466" t="s">
        <v>3401</v>
      </c>
      <c r="D466" t="s">
        <v>3353</v>
      </c>
      <c r="E466" t="s">
        <v>3376</v>
      </c>
      <c r="F466">
        <v>1200</v>
      </c>
      <c r="G466">
        <v>870</v>
      </c>
      <c r="H466" t="s">
        <v>4672</v>
      </c>
      <c r="I466">
        <v>109</v>
      </c>
      <c r="J466">
        <v>3.1</v>
      </c>
      <c r="K466">
        <v>1906</v>
      </c>
      <c r="L466" t="s">
        <v>3361</v>
      </c>
      <c r="M466" t="s">
        <v>3378</v>
      </c>
      <c r="N466" s="1">
        <v>44888</v>
      </c>
      <c r="O466">
        <v>330</v>
      </c>
      <c r="P466" t="s">
        <v>3324</v>
      </c>
    </row>
    <row r="467" spans="1:16">
      <c r="A467" t="s">
        <v>4673</v>
      </c>
      <c r="B467" t="s">
        <v>4674</v>
      </c>
      <c r="C467" t="s">
        <v>3597</v>
      </c>
      <c r="D467" t="s">
        <v>3353</v>
      </c>
      <c r="E467" t="s">
        <v>3382</v>
      </c>
      <c r="F467">
        <v>1850</v>
      </c>
      <c r="G467">
        <v>910</v>
      </c>
      <c r="H467" t="s">
        <v>4675</v>
      </c>
      <c r="I467">
        <v>741</v>
      </c>
      <c r="J467">
        <v>3.1</v>
      </c>
      <c r="K467">
        <v>323</v>
      </c>
      <c r="L467" t="s">
        <v>3312</v>
      </c>
      <c r="M467" t="s">
        <v>3305</v>
      </c>
      <c r="N467" s="1">
        <v>44673</v>
      </c>
      <c r="O467">
        <v>940</v>
      </c>
      <c r="P467" t="s">
        <v>3324</v>
      </c>
    </row>
    <row r="468" spans="1:16">
      <c r="A468" t="s">
        <v>4676</v>
      </c>
      <c r="B468" t="s">
        <v>4677</v>
      </c>
      <c r="C468" t="s">
        <v>3441</v>
      </c>
      <c r="D468" t="s">
        <v>3387</v>
      </c>
      <c r="E468" t="s">
        <v>3388</v>
      </c>
      <c r="F468">
        <v>4560</v>
      </c>
      <c r="G468">
        <v>3130</v>
      </c>
      <c r="H468" t="s">
        <v>4678</v>
      </c>
      <c r="I468">
        <v>356</v>
      </c>
      <c r="J468">
        <v>3.5</v>
      </c>
      <c r="K468">
        <v>3837</v>
      </c>
      <c r="L468" t="s">
        <v>3361</v>
      </c>
      <c r="M468" t="s">
        <v>3305</v>
      </c>
      <c r="N468" s="1">
        <v>44122</v>
      </c>
      <c r="O468">
        <v>1430</v>
      </c>
      <c r="P468" t="s">
        <v>3324</v>
      </c>
    </row>
    <row r="469" spans="1:16">
      <c r="A469" t="s">
        <v>4679</v>
      </c>
      <c r="B469" t="s">
        <v>4680</v>
      </c>
      <c r="C469" t="s">
        <v>3437</v>
      </c>
      <c r="D469" t="s">
        <v>3387</v>
      </c>
      <c r="E469" t="s">
        <v>3392</v>
      </c>
      <c r="F469">
        <v>4920</v>
      </c>
      <c r="G469">
        <v>2580</v>
      </c>
      <c r="H469" t="s">
        <v>4681</v>
      </c>
      <c r="I469">
        <v>554</v>
      </c>
      <c r="J469">
        <v>3.6</v>
      </c>
      <c r="K469">
        <v>5</v>
      </c>
      <c r="L469" t="s">
        <v>3312</v>
      </c>
      <c r="M469" t="s">
        <v>3305</v>
      </c>
      <c r="N469" s="1">
        <v>43542</v>
      </c>
      <c r="O469">
        <v>2340</v>
      </c>
      <c r="P469" t="s">
        <v>3324</v>
      </c>
    </row>
    <row r="470" spans="1:16">
      <c r="A470" t="s">
        <v>4682</v>
      </c>
      <c r="B470" t="s">
        <v>4683</v>
      </c>
      <c r="C470" t="s">
        <v>3430</v>
      </c>
      <c r="D470" t="s">
        <v>3387</v>
      </c>
      <c r="E470" t="s">
        <v>3397</v>
      </c>
      <c r="F470">
        <v>1610</v>
      </c>
      <c r="G470">
        <v>310</v>
      </c>
      <c r="H470" t="s">
        <v>3521</v>
      </c>
      <c r="I470">
        <v>674</v>
      </c>
      <c r="J470">
        <v>4.9000000000000004</v>
      </c>
      <c r="K470">
        <v>3174</v>
      </c>
      <c r="L470" t="s">
        <v>3335</v>
      </c>
      <c r="M470" t="s">
        <v>3305</v>
      </c>
      <c r="N470" s="1">
        <v>45503</v>
      </c>
      <c r="O470">
        <v>1300</v>
      </c>
      <c r="P470" t="s">
        <v>3324</v>
      </c>
    </row>
    <row r="471" spans="1:16">
      <c r="A471" t="s">
        <v>4684</v>
      </c>
      <c r="B471" t="s">
        <v>4685</v>
      </c>
      <c r="C471" t="s">
        <v>3504</v>
      </c>
      <c r="D471" t="s">
        <v>3402</v>
      </c>
      <c r="E471" t="s">
        <v>3403</v>
      </c>
      <c r="F471">
        <v>5640</v>
      </c>
      <c r="G471">
        <v>3240</v>
      </c>
      <c r="H471" t="s">
        <v>4686</v>
      </c>
      <c r="I471">
        <v>419</v>
      </c>
      <c r="J471">
        <v>4.2</v>
      </c>
      <c r="K471">
        <v>904</v>
      </c>
      <c r="L471" t="s">
        <v>3304</v>
      </c>
      <c r="M471" t="s">
        <v>3305</v>
      </c>
      <c r="N471" s="1">
        <v>43739</v>
      </c>
      <c r="O471">
        <v>2400</v>
      </c>
      <c r="P471" t="s">
        <v>3330</v>
      </c>
    </row>
    <row r="472" spans="1:16">
      <c r="A472" t="s">
        <v>4687</v>
      </c>
      <c r="B472" t="s">
        <v>4688</v>
      </c>
      <c r="C472" t="s">
        <v>3776</v>
      </c>
      <c r="D472" t="s">
        <v>3301</v>
      </c>
      <c r="E472" t="s">
        <v>3407</v>
      </c>
      <c r="F472">
        <v>11620</v>
      </c>
      <c r="G472">
        <v>4380</v>
      </c>
      <c r="H472" t="s">
        <v>3629</v>
      </c>
      <c r="I472">
        <v>497</v>
      </c>
      <c r="J472">
        <v>3.2</v>
      </c>
      <c r="K472">
        <v>260</v>
      </c>
      <c r="L472" t="s">
        <v>3312</v>
      </c>
      <c r="M472" t="s">
        <v>3305</v>
      </c>
      <c r="N472" s="1">
        <v>45619</v>
      </c>
      <c r="O472">
        <v>7240</v>
      </c>
      <c r="P472" t="s">
        <v>3330</v>
      </c>
    </row>
    <row r="473" spans="1:16">
      <c r="A473" t="s">
        <v>4689</v>
      </c>
      <c r="B473" t="s">
        <v>4690</v>
      </c>
      <c r="C473" t="s">
        <v>3430</v>
      </c>
      <c r="D473" t="s">
        <v>3301</v>
      </c>
      <c r="E473" t="s">
        <v>3411</v>
      </c>
      <c r="F473">
        <v>56020</v>
      </c>
      <c r="G473">
        <v>19960</v>
      </c>
      <c r="H473" t="s">
        <v>4216</v>
      </c>
      <c r="I473">
        <v>620</v>
      </c>
      <c r="J473">
        <v>4.4000000000000004</v>
      </c>
      <c r="K473">
        <v>107</v>
      </c>
      <c r="L473" t="s">
        <v>3335</v>
      </c>
      <c r="M473" t="s">
        <v>3305</v>
      </c>
      <c r="N473" s="1">
        <v>43793</v>
      </c>
      <c r="O473">
        <v>36060</v>
      </c>
      <c r="P473" t="s">
        <v>3313</v>
      </c>
    </row>
    <row r="474" spans="1:16">
      <c r="A474" t="s">
        <v>4691</v>
      </c>
      <c r="B474" t="s">
        <v>4692</v>
      </c>
      <c r="C474" t="s">
        <v>3498</v>
      </c>
      <c r="D474" t="s">
        <v>3301</v>
      </c>
      <c r="E474" t="s">
        <v>3416</v>
      </c>
      <c r="F474">
        <v>85140</v>
      </c>
      <c r="G474">
        <v>56720</v>
      </c>
      <c r="H474" t="s">
        <v>4104</v>
      </c>
      <c r="I474">
        <v>425</v>
      </c>
      <c r="J474">
        <v>4.5999999999999996</v>
      </c>
      <c r="K474">
        <v>477</v>
      </c>
      <c r="L474" t="s">
        <v>3361</v>
      </c>
      <c r="M474" t="s">
        <v>3305</v>
      </c>
      <c r="N474" s="1">
        <v>43754</v>
      </c>
      <c r="O474">
        <v>28420</v>
      </c>
      <c r="P474" t="s">
        <v>3313</v>
      </c>
    </row>
    <row r="475" spans="1:16">
      <c r="A475" t="s">
        <v>4693</v>
      </c>
      <c r="B475" t="s">
        <v>4694</v>
      </c>
      <c r="C475" t="s">
        <v>3455</v>
      </c>
      <c r="D475" t="s">
        <v>3353</v>
      </c>
      <c r="E475" t="s">
        <v>3421</v>
      </c>
      <c r="F475">
        <v>2090</v>
      </c>
      <c r="G475">
        <v>510</v>
      </c>
      <c r="H475" t="s">
        <v>4516</v>
      </c>
      <c r="I475">
        <v>742</v>
      </c>
      <c r="J475">
        <v>3.3</v>
      </c>
      <c r="K475">
        <v>3156</v>
      </c>
      <c r="L475" t="s">
        <v>3335</v>
      </c>
      <c r="M475" t="s">
        <v>3305</v>
      </c>
      <c r="N475" s="1">
        <v>44484</v>
      </c>
      <c r="O475">
        <v>1580</v>
      </c>
      <c r="P475" t="s">
        <v>3324</v>
      </c>
    </row>
    <row r="476" spans="1:16">
      <c r="A476" t="s">
        <v>4695</v>
      </c>
      <c r="B476" t="s">
        <v>4696</v>
      </c>
      <c r="C476" t="s">
        <v>3327</v>
      </c>
      <c r="D476" t="s">
        <v>3353</v>
      </c>
      <c r="E476" t="s">
        <v>3426</v>
      </c>
      <c r="F476">
        <v>10140</v>
      </c>
      <c r="G476">
        <v>4000</v>
      </c>
      <c r="H476" t="s">
        <v>4442</v>
      </c>
      <c r="I476">
        <v>764</v>
      </c>
      <c r="J476">
        <v>3</v>
      </c>
      <c r="K476">
        <v>4723</v>
      </c>
      <c r="L476" t="s">
        <v>3361</v>
      </c>
      <c r="M476" t="s">
        <v>3305</v>
      </c>
      <c r="N476" s="1">
        <v>45215</v>
      </c>
      <c r="O476">
        <v>6140</v>
      </c>
      <c r="P476" t="s">
        <v>3330</v>
      </c>
    </row>
    <row r="477" spans="1:16">
      <c r="A477" t="s">
        <v>4697</v>
      </c>
      <c r="B477" t="s">
        <v>4698</v>
      </c>
      <c r="C477" t="s">
        <v>3637</v>
      </c>
      <c r="D477" t="s">
        <v>3301</v>
      </c>
      <c r="E477" t="s">
        <v>3302</v>
      </c>
      <c r="F477">
        <v>60630</v>
      </c>
      <c r="G477">
        <v>38080</v>
      </c>
      <c r="H477" t="s">
        <v>3389</v>
      </c>
      <c r="I477">
        <v>345</v>
      </c>
      <c r="J477">
        <v>4.2</v>
      </c>
      <c r="K477">
        <v>4373</v>
      </c>
      <c r="L477" t="s">
        <v>3312</v>
      </c>
      <c r="M477" t="s">
        <v>3378</v>
      </c>
      <c r="N477" s="1">
        <v>44756</v>
      </c>
      <c r="O477">
        <v>22550</v>
      </c>
      <c r="P477" t="s">
        <v>3313</v>
      </c>
    </row>
    <row r="478" spans="1:16">
      <c r="A478" t="s">
        <v>4699</v>
      </c>
      <c r="B478" t="s">
        <v>4700</v>
      </c>
      <c r="C478" t="s">
        <v>3451</v>
      </c>
      <c r="D478" t="s">
        <v>3301</v>
      </c>
      <c r="E478" t="s">
        <v>3310</v>
      </c>
      <c r="F478">
        <v>125160</v>
      </c>
      <c r="G478">
        <v>101000</v>
      </c>
      <c r="H478" t="s">
        <v>4425</v>
      </c>
      <c r="I478">
        <v>440</v>
      </c>
      <c r="J478">
        <v>4.5999999999999996</v>
      </c>
      <c r="K478">
        <v>2649</v>
      </c>
      <c r="L478" t="s">
        <v>3335</v>
      </c>
      <c r="M478" t="s">
        <v>3305</v>
      </c>
      <c r="N478" s="1">
        <v>44342</v>
      </c>
      <c r="O478">
        <v>24160</v>
      </c>
      <c r="P478" t="s">
        <v>3313</v>
      </c>
    </row>
    <row r="479" spans="1:16">
      <c r="A479" t="s">
        <v>4701</v>
      </c>
      <c r="B479" t="s">
        <v>4702</v>
      </c>
      <c r="C479" t="s">
        <v>3462</v>
      </c>
      <c r="D479" t="s">
        <v>3301</v>
      </c>
      <c r="E479" t="s">
        <v>3317</v>
      </c>
      <c r="F479">
        <v>71300</v>
      </c>
      <c r="G479">
        <v>37330</v>
      </c>
      <c r="H479" t="s">
        <v>4681</v>
      </c>
      <c r="I479">
        <v>406</v>
      </c>
      <c r="J479">
        <v>2.8</v>
      </c>
      <c r="K479">
        <v>283</v>
      </c>
      <c r="L479" t="s">
        <v>3361</v>
      </c>
      <c r="M479" t="s">
        <v>3305</v>
      </c>
      <c r="N479" s="1">
        <v>45586</v>
      </c>
      <c r="O479">
        <v>33970</v>
      </c>
      <c r="P479" t="s">
        <v>3313</v>
      </c>
    </row>
    <row r="480" spans="1:16">
      <c r="A480" t="s">
        <v>4703</v>
      </c>
      <c r="B480" t="s">
        <v>4704</v>
      </c>
      <c r="C480" t="s">
        <v>3704</v>
      </c>
      <c r="D480" t="s">
        <v>3301</v>
      </c>
      <c r="E480" t="s">
        <v>3322</v>
      </c>
      <c r="F480">
        <v>15040</v>
      </c>
      <c r="G480">
        <v>3820</v>
      </c>
      <c r="H480" t="s">
        <v>3495</v>
      </c>
      <c r="I480">
        <v>322</v>
      </c>
      <c r="J480">
        <v>2.8</v>
      </c>
      <c r="K480">
        <v>2260</v>
      </c>
      <c r="L480" t="s">
        <v>3335</v>
      </c>
      <c r="M480" t="s">
        <v>3305</v>
      </c>
      <c r="N480" s="1">
        <v>45351</v>
      </c>
      <c r="O480">
        <v>11220</v>
      </c>
      <c r="P480" t="s">
        <v>3330</v>
      </c>
    </row>
    <row r="481" spans="1:16">
      <c r="A481" t="s">
        <v>4705</v>
      </c>
      <c r="B481" t="s">
        <v>4706</v>
      </c>
      <c r="C481" t="s">
        <v>3321</v>
      </c>
      <c r="D481" t="s">
        <v>3301</v>
      </c>
      <c r="E481" t="s">
        <v>3328</v>
      </c>
      <c r="F481">
        <v>12330</v>
      </c>
      <c r="G481">
        <v>9720</v>
      </c>
      <c r="H481" t="s">
        <v>4042</v>
      </c>
      <c r="I481">
        <v>255</v>
      </c>
      <c r="J481">
        <v>3.3</v>
      </c>
      <c r="K481">
        <v>2460</v>
      </c>
      <c r="L481" t="s">
        <v>3304</v>
      </c>
      <c r="M481" t="s">
        <v>3305</v>
      </c>
      <c r="N481" s="1">
        <v>44356</v>
      </c>
      <c r="O481">
        <v>2610</v>
      </c>
      <c r="P481" t="s">
        <v>3330</v>
      </c>
    </row>
    <row r="482" spans="1:16">
      <c r="A482" t="s">
        <v>4707</v>
      </c>
      <c r="B482" t="s">
        <v>4708</v>
      </c>
      <c r="C482" t="s">
        <v>3628</v>
      </c>
      <c r="D482" t="s">
        <v>3301</v>
      </c>
      <c r="E482" t="s">
        <v>3333</v>
      </c>
      <c r="F482">
        <v>6360</v>
      </c>
      <c r="G482">
        <v>4400</v>
      </c>
      <c r="H482" t="s">
        <v>4709</v>
      </c>
      <c r="I482">
        <v>706</v>
      </c>
      <c r="J482">
        <v>4.3</v>
      </c>
      <c r="K482">
        <v>781</v>
      </c>
      <c r="L482" t="s">
        <v>3361</v>
      </c>
      <c r="M482" t="s">
        <v>3305</v>
      </c>
      <c r="N482" s="1">
        <v>45028</v>
      </c>
      <c r="O482">
        <v>1960</v>
      </c>
      <c r="P482" t="s">
        <v>3330</v>
      </c>
    </row>
    <row r="483" spans="1:16">
      <c r="A483" t="s">
        <v>4710</v>
      </c>
      <c r="B483" t="s">
        <v>4711</v>
      </c>
      <c r="C483" t="s">
        <v>3425</v>
      </c>
      <c r="D483" t="s">
        <v>3301</v>
      </c>
      <c r="E483" t="s">
        <v>3338</v>
      </c>
      <c r="F483">
        <v>54550</v>
      </c>
      <c r="G483">
        <v>29060</v>
      </c>
      <c r="H483" t="s">
        <v>4712</v>
      </c>
      <c r="I483">
        <v>426</v>
      </c>
      <c r="J483">
        <v>4.8</v>
      </c>
      <c r="K483">
        <v>987</v>
      </c>
      <c r="L483" t="s">
        <v>3335</v>
      </c>
      <c r="M483" t="s">
        <v>3305</v>
      </c>
      <c r="N483" s="1">
        <v>43512</v>
      </c>
      <c r="O483">
        <v>25490</v>
      </c>
      <c r="P483" t="s">
        <v>3313</v>
      </c>
    </row>
    <row r="484" spans="1:16">
      <c r="A484" t="s">
        <v>4713</v>
      </c>
      <c r="B484" t="s">
        <v>4714</v>
      </c>
      <c r="C484" t="s">
        <v>3300</v>
      </c>
      <c r="D484" t="s">
        <v>3301</v>
      </c>
      <c r="E484" t="s">
        <v>3343</v>
      </c>
      <c r="F484">
        <v>3500</v>
      </c>
      <c r="G484">
        <v>2750</v>
      </c>
      <c r="H484" t="s">
        <v>3616</v>
      </c>
      <c r="I484">
        <v>42</v>
      </c>
      <c r="J484">
        <v>3.5</v>
      </c>
      <c r="K484">
        <v>4627</v>
      </c>
      <c r="L484" t="s">
        <v>3335</v>
      </c>
      <c r="M484" t="s">
        <v>3305</v>
      </c>
      <c r="N484" s="1">
        <v>44370</v>
      </c>
      <c r="O484">
        <v>750</v>
      </c>
      <c r="P484" t="s">
        <v>3324</v>
      </c>
    </row>
    <row r="485" spans="1:16">
      <c r="A485" t="s">
        <v>4715</v>
      </c>
      <c r="B485" t="s">
        <v>4716</v>
      </c>
      <c r="C485" t="s">
        <v>3650</v>
      </c>
      <c r="D485" t="s">
        <v>3301</v>
      </c>
      <c r="E485" t="s">
        <v>3348</v>
      </c>
      <c r="F485">
        <v>56340</v>
      </c>
      <c r="G485">
        <v>38080</v>
      </c>
      <c r="H485" t="s">
        <v>3417</v>
      </c>
      <c r="I485">
        <v>92</v>
      </c>
      <c r="J485">
        <v>3.3</v>
      </c>
      <c r="K485">
        <v>2373</v>
      </c>
      <c r="L485" t="s">
        <v>3312</v>
      </c>
      <c r="M485" t="s">
        <v>3305</v>
      </c>
      <c r="N485" s="1">
        <v>44842</v>
      </c>
      <c r="O485">
        <v>18260</v>
      </c>
      <c r="P485" t="s">
        <v>3313</v>
      </c>
    </row>
    <row r="486" spans="1:16">
      <c r="A486" t="s">
        <v>4717</v>
      </c>
      <c r="B486" t="s">
        <v>4718</v>
      </c>
      <c r="C486" t="s">
        <v>3425</v>
      </c>
      <c r="D486" t="s">
        <v>3353</v>
      </c>
      <c r="E486" t="s">
        <v>3354</v>
      </c>
      <c r="F486">
        <v>1110</v>
      </c>
      <c r="G486">
        <v>740</v>
      </c>
      <c r="H486" t="s">
        <v>4719</v>
      </c>
      <c r="I486">
        <v>408</v>
      </c>
      <c r="J486">
        <v>3.4</v>
      </c>
      <c r="K486">
        <v>3264</v>
      </c>
      <c r="L486" t="s">
        <v>3312</v>
      </c>
      <c r="M486" t="s">
        <v>3305</v>
      </c>
      <c r="N486" s="1">
        <v>44000</v>
      </c>
      <c r="O486">
        <v>370</v>
      </c>
      <c r="P486" t="s">
        <v>3324</v>
      </c>
    </row>
    <row r="487" spans="1:16">
      <c r="A487" t="s">
        <v>4720</v>
      </c>
      <c r="B487" t="s">
        <v>4721</v>
      </c>
      <c r="C487" t="s">
        <v>3352</v>
      </c>
      <c r="D487" t="s">
        <v>3353</v>
      </c>
      <c r="E487" t="s">
        <v>3359</v>
      </c>
      <c r="F487">
        <v>1920</v>
      </c>
      <c r="G487">
        <v>1180</v>
      </c>
      <c r="H487" t="s">
        <v>3781</v>
      </c>
      <c r="I487">
        <v>404</v>
      </c>
      <c r="J487">
        <v>4.2</v>
      </c>
      <c r="K487">
        <v>1606</v>
      </c>
      <c r="L487" t="s">
        <v>3335</v>
      </c>
      <c r="M487" t="s">
        <v>3305</v>
      </c>
      <c r="N487" s="1">
        <v>44556</v>
      </c>
      <c r="O487">
        <v>740</v>
      </c>
      <c r="P487" t="s">
        <v>3324</v>
      </c>
    </row>
    <row r="488" spans="1:16">
      <c r="A488" t="s">
        <v>4722</v>
      </c>
      <c r="B488" t="s">
        <v>4723</v>
      </c>
      <c r="C488" t="s">
        <v>3504</v>
      </c>
      <c r="D488" t="s">
        <v>3353</v>
      </c>
      <c r="E488" t="s">
        <v>3364</v>
      </c>
      <c r="F488">
        <v>5720</v>
      </c>
      <c r="G488">
        <v>1330</v>
      </c>
      <c r="H488" t="s">
        <v>4724</v>
      </c>
      <c r="I488">
        <v>115</v>
      </c>
      <c r="J488">
        <v>4.3</v>
      </c>
      <c r="K488">
        <v>3469</v>
      </c>
      <c r="L488" t="s">
        <v>3361</v>
      </c>
      <c r="M488" t="s">
        <v>3305</v>
      </c>
      <c r="N488" s="1">
        <v>44779</v>
      </c>
      <c r="O488">
        <v>4390</v>
      </c>
      <c r="P488" t="s">
        <v>3330</v>
      </c>
    </row>
    <row r="489" spans="1:16">
      <c r="A489" t="s">
        <v>4725</v>
      </c>
      <c r="B489" t="s">
        <v>4726</v>
      </c>
      <c r="C489" t="s">
        <v>3321</v>
      </c>
      <c r="D489" t="s">
        <v>3353</v>
      </c>
      <c r="E489" t="s">
        <v>3368</v>
      </c>
      <c r="F489">
        <v>3200</v>
      </c>
      <c r="G489">
        <v>1090</v>
      </c>
      <c r="H489" t="s">
        <v>4727</v>
      </c>
      <c r="I489">
        <v>358</v>
      </c>
      <c r="J489">
        <v>4.2</v>
      </c>
      <c r="K489">
        <v>3622</v>
      </c>
      <c r="L489" t="s">
        <v>3335</v>
      </c>
      <c r="M489" t="s">
        <v>3305</v>
      </c>
      <c r="N489" s="1">
        <v>44422</v>
      </c>
      <c r="O489">
        <v>2110</v>
      </c>
      <c r="P489" t="s">
        <v>3324</v>
      </c>
    </row>
    <row r="490" spans="1:16">
      <c r="A490" t="s">
        <v>4728</v>
      </c>
      <c r="B490" t="s">
        <v>4729</v>
      </c>
      <c r="C490" t="s">
        <v>3491</v>
      </c>
      <c r="D490" t="s">
        <v>3353</v>
      </c>
      <c r="E490" t="s">
        <v>3372</v>
      </c>
      <c r="F490">
        <v>3600</v>
      </c>
      <c r="G490">
        <v>650</v>
      </c>
      <c r="H490" t="s">
        <v>4730</v>
      </c>
      <c r="I490">
        <v>115</v>
      </c>
      <c r="J490">
        <v>4.4000000000000004</v>
      </c>
      <c r="K490">
        <v>1991</v>
      </c>
      <c r="L490" t="s">
        <v>3335</v>
      </c>
      <c r="M490" t="s">
        <v>3305</v>
      </c>
      <c r="N490" s="1">
        <v>44644</v>
      </c>
      <c r="O490">
        <v>2950</v>
      </c>
      <c r="P490" t="s">
        <v>3324</v>
      </c>
    </row>
    <row r="491" spans="1:16">
      <c r="A491" t="s">
        <v>4731</v>
      </c>
      <c r="B491" t="s">
        <v>4732</v>
      </c>
      <c r="C491" t="s">
        <v>3316</v>
      </c>
      <c r="D491" t="s">
        <v>3353</v>
      </c>
      <c r="E491" t="s">
        <v>3376</v>
      </c>
      <c r="F491">
        <v>1020</v>
      </c>
      <c r="G491">
        <v>540</v>
      </c>
      <c r="H491" t="s">
        <v>4733</v>
      </c>
      <c r="I491">
        <v>23</v>
      </c>
      <c r="J491">
        <v>3.5</v>
      </c>
      <c r="K491">
        <v>4407</v>
      </c>
      <c r="L491" t="s">
        <v>3335</v>
      </c>
      <c r="M491" t="s">
        <v>3305</v>
      </c>
      <c r="N491" s="1">
        <v>45609</v>
      </c>
      <c r="O491">
        <v>480</v>
      </c>
      <c r="P491" t="s">
        <v>3324</v>
      </c>
    </row>
    <row r="492" spans="1:16">
      <c r="A492" t="s">
        <v>4734</v>
      </c>
      <c r="B492" t="s">
        <v>4735</v>
      </c>
      <c r="C492" t="s">
        <v>3352</v>
      </c>
      <c r="D492" t="s">
        <v>3353</v>
      </c>
      <c r="E492" t="s">
        <v>3382</v>
      </c>
      <c r="F492">
        <v>2850</v>
      </c>
      <c r="G492">
        <v>1670</v>
      </c>
      <c r="H492" t="s">
        <v>3905</v>
      </c>
      <c r="I492">
        <v>144</v>
      </c>
      <c r="J492">
        <v>4.3</v>
      </c>
      <c r="K492">
        <v>150</v>
      </c>
      <c r="L492" t="s">
        <v>3312</v>
      </c>
      <c r="M492" t="s">
        <v>3305</v>
      </c>
      <c r="N492" s="1">
        <v>45623</v>
      </c>
      <c r="O492">
        <v>1180</v>
      </c>
      <c r="P492" t="s">
        <v>3324</v>
      </c>
    </row>
    <row r="493" spans="1:16">
      <c r="A493" t="s">
        <v>4736</v>
      </c>
      <c r="B493" t="s">
        <v>4737</v>
      </c>
      <c r="C493" t="s">
        <v>3776</v>
      </c>
      <c r="D493" t="s">
        <v>3387</v>
      </c>
      <c r="E493" t="s">
        <v>3388</v>
      </c>
      <c r="F493">
        <v>6150</v>
      </c>
      <c r="G493">
        <v>2540</v>
      </c>
      <c r="H493" t="s">
        <v>4738</v>
      </c>
      <c r="I493">
        <v>713</v>
      </c>
      <c r="J493">
        <v>4.2</v>
      </c>
      <c r="K493">
        <v>434</v>
      </c>
      <c r="L493" t="s">
        <v>3312</v>
      </c>
      <c r="M493" t="s">
        <v>3305</v>
      </c>
      <c r="N493" s="1">
        <v>43500</v>
      </c>
      <c r="O493">
        <v>3610</v>
      </c>
      <c r="P493" t="s">
        <v>3330</v>
      </c>
    </row>
    <row r="494" spans="1:16">
      <c r="A494" t="s">
        <v>4739</v>
      </c>
      <c r="B494" t="s">
        <v>4740</v>
      </c>
      <c r="C494" t="s">
        <v>3437</v>
      </c>
      <c r="D494" t="s">
        <v>3387</v>
      </c>
      <c r="E494" t="s">
        <v>3392</v>
      </c>
      <c r="F494">
        <v>7910</v>
      </c>
      <c r="G494">
        <v>2980</v>
      </c>
      <c r="H494" t="s">
        <v>3629</v>
      </c>
      <c r="I494">
        <v>110</v>
      </c>
      <c r="J494">
        <v>2.8</v>
      </c>
      <c r="K494">
        <v>3166</v>
      </c>
      <c r="L494" t="s">
        <v>3335</v>
      </c>
      <c r="M494" t="s">
        <v>3378</v>
      </c>
      <c r="N494" s="1">
        <v>45548</v>
      </c>
      <c r="O494">
        <v>4930</v>
      </c>
      <c r="P494" t="s">
        <v>3330</v>
      </c>
    </row>
    <row r="495" spans="1:16">
      <c r="A495" t="s">
        <v>4741</v>
      </c>
      <c r="B495" t="s">
        <v>4742</v>
      </c>
      <c r="C495" t="s">
        <v>3381</v>
      </c>
      <c r="D495" t="s">
        <v>3387</v>
      </c>
      <c r="E495" t="s">
        <v>3397</v>
      </c>
      <c r="F495">
        <v>2740</v>
      </c>
      <c r="G495">
        <v>1270</v>
      </c>
      <c r="H495" t="s">
        <v>4743</v>
      </c>
      <c r="I495">
        <v>90</v>
      </c>
      <c r="J495">
        <v>3.2</v>
      </c>
      <c r="K495">
        <v>4101</v>
      </c>
      <c r="L495" t="s">
        <v>3312</v>
      </c>
      <c r="M495" t="s">
        <v>3305</v>
      </c>
      <c r="N495" s="1">
        <v>43554</v>
      </c>
      <c r="O495">
        <v>1470</v>
      </c>
      <c r="P495" t="s">
        <v>3324</v>
      </c>
    </row>
    <row r="496" spans="1:16">
      <c r="A496" t="s">
        <v>4744</v>
      </c>
      <c r="B496" t="s">
        <v>4745</v>
      </c>
      <c r="C496" t="s">
        <v>3776</v>
      </c>
      <c r="D496" t="s">
        <v>3402</v>
      </c>
      <c r="E496" t="s">
        <v>3403</v>
      </c>
      <c r="F496">
        <v>6460</v>
      </c>
      <c r="G496">
        <v>4610</v>
      </c>
      <c r="H496" t="s">
        <v>4048</v>
      </c>
      <c r="I496">
        <v>402</v>
      </c>
      <c r="J496">
        <v>4.4000000000000004</v>
      </c>
      <c r="K496">
        <v>150</v>
      </c>
      <c r="L496" t="s">
        <v>3361</v>
      </c>
      <c r="M496" t="s">
        <v>3305</v>
      </c>
      <c r="N496" s="1">
        <v>44921</v>
      </c>
      <c r="O496">
        <v>1850</v>
      </c>
      <c r="P496" t="s">
        <v>3330</v>
      </c>
    </row>
    <row r="497" spans="1:16">
      <c r="A497" t="s">
        <v>4746</v>
      </c>
      <c r="B497" t="s">
        <v>4747</v>
      </c>
      <c r="C497" t="s">
        <v>3300</v>
      </c>
      <c r="D497" t="s">
        <v>3301</v>
      </c>
      <c r="E497" t="s">
        <v>3407</v>
      </c>
      <c r="F497">
        <v>14040</v>
      </c>
      <c r="G497">
        <v>4520</v>
      </c>
      <c r="H497" t="s">
        <v>4394</v>
      </c>
      <c r="I497">
        <v>640</v>
      </c>
      <c r="J497">
        <v>3.4</v>
      </c>
      <c r="K497">
        <v>3171</v>
      </c>
      <c r="L497" t="s">
        <v>3304</v>
      </c>
      <c r="M497" t="s">
        <v>3378</v>
      </c>
      <c r="N497" s="1">
        <v>44613</v>
      </c>
      <c r="O497">
        <v>9520</v>
      </c>
      <c r="P497" t="s">
        <v>3330</v>
      </c>
    </row>
    <row r="498" spans="1:16">
      <c r="A498" t="s">
        <v>4748</v>
      </c>
      <c r="B498" t="s">
        <v>4749</v>
      </c>
      <c r="C498" t="s">
        <v>3667</v>
      </c>
      <c r="D498" t="s">
        <v>3301</v>
      </c>
      <c r="E498" t="s">
        <v>3411</v>
      </c>
      <c r="F498">
        <v>25990</v>
      </c>
      <c r="G498">
        <v>8380</v>
      </c>
      <c r="H498" t="s">
        <v>4394</v>
      </c>
      <c r="I498">
        <v>747</v>
      </c>
      <c r="J498">
        <v>3.6</v>
      </c>
      <c r="K498">
        <v>1863</v>
      </c>
      <c r="L498" t="s">
        <v>3312</v>
      </c>
      <c r="M498" t="s">
        <v>3305</v>
      </c>
      <c r="N498" s="1">
        <v>44091</v>
      </c>
      <c r="O498">
        <v>17610</v>
      </c>
      <c r="P498" t="s">
        <v>3306</v>
      </c>
    </row>
    <row r="499" spans="1:16">
      <c r="A499" t="s">
        <v>4750</v>
      </c>
      <c r="B499" t="s">
        <v>4751</v>
      </c>
      <c r="C499" t="s">
        <v>3517</v>
      </c>
      <c r="D499" t="s">
        <v>3301</v>
      </c>
      <c r="E499" t="s">
        <v>3416</v>
      </c>
      <c r="F499">
        <v>70870</v>
      </c>
      <c r="G499">
        <v>43540</v>
      </c>
      <c r="H499" t="s">
        <v>4752</v>
      </c>
      <c r="I499">
        <v>134</v>
      </c>
      <c r="J499">
        <v>3.3</v>
      </c>
      <c r="K499">
        <v>1135</v>
      </c>
      <c r="L499" t="s">
        <v>3335</v>
      </c>
      <c r="M499" t="s">
        <v>3305</v>
      </c>
      <c r="N499" s="1">
        <v>44731</v>
      </c>
      <c r="O499">
        <v>27330</v>
      </c>
      <c r="P499" t="s">
        <v>3313</v>
      </c>
    </row>
    <row r="500" spans="1:16">
      <c r="A500" t="s">
        <v>4753</v>
      </c>
      <c r="B500" t="s">
        <v>4754</v>
      </c>
      <c r="C500" t="s">
        <v>3685</v>
      </c>
      <c r="D500" t="s">
        <v>3353</v>
      </c>
      <c r="E500" t="s">
        <v>3421</v>
      </c>
      <c r="F500">
        <v>13120</v>
      </c>
      <c r="G500">
        <v>2680</v>
      </c>
      <c r="H500" t="s">
        <v>4755</v>
      </c>
      <c r="I500">
        <v>671</v>
      </c>
      <c r="J500">
        <v>4.9000000000000004</v>
      </c>
      <c r="K500">
        <v>1294</v>
      </c>
      <c r="L500" t="s">
        <v>3361</v>
      </c>
      <c r="M500" t="s">
        <v>3305</v>
      </c>
      <c r="N500" s="1">
        <v>45649</v>
      </c>
      <c r="O500">
        <v>10440</v>
      </c>
      <c r="P500" t="s">
        <v>3330</v>
      </c>
    </row>
    <row r="501" spans="1:16">
      <c r="A501" t="s">
        <v>4756</v>
      </c>
      <c r="B501" t="s">
        <v>4757</v>
      </c>
      <c r="C501" t="s">
        <v>3628</v>
      </c>
      <c r="D501" t="s">
        <v>3353</v>
      </c>
      <c r="E501" t="s">
        <v>3426</v>
      </c>
      <c r="F501">
        <v>3380</v>
      </c>
      <c r="G501">
        <v>720</v>
      </c>
      <c r="H501" t="s">
        <v>4758</v>
      </c>
      <c r="I501">
        <v>783</v>
      </c>
      <c r="J501">
        <v>3.5</v>
      </c>
      <c r="K501">
        <v>3391</v>
      </c>
      <c r="L501" t="s">
        <v>3312</v>
      </c>
      <c r="M501" t="s">
        <v>3305</v>
      </c>
      <c r="N501" s="1">
        <v>44587</v>
      </c>
      <c r="O501">
        <v>2660</v>
      </c>
      <c r="P501" t="s">
        <v>3324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59028-6D9D-496E-86DA-925FA39CF480}">
  <sheetPr>
    <tabColor theme="5"/>
  </sheetPr>
  <dimension ref="A1:AA501"/>
  <sheetViews>
    <sheetView topLeftCell="A2" workbookViewId="0">
      <selection activeCell="D2" sqref="D2:D501"/>
    </sheetView>
  </sheetViews>
  <sheetFormatPr defaultRowHeight="14.5"/>
  <cols>
    <col min="1" max="1" width="10.1796875" bestFit="1" customWidth="1"/>
    <col min="2" max="2" width="13.08984375" bestFit="1" customWidth="1"/>
    <col min="3" max="3" width="11.453125" customWidth="1"/>
    <col min="4" max="4" width="12.453125" bestFit="1" customWidth="1"/>
    <col min="5" max="5" width="12.08984375" bestFit="1" customWidth="1"/>
    <col min="6" max="6" width="12.7265625" style="1" bestFit="1" customWidth="1"/>
    <col min="7" max="7" width="11.6328125" style="1" bestFit="1" customWidth="1"/>
    <col min="8" max="8" width="10.81640625" style="1" bestFit="1" customWidth="1"/>
    <col min="9" max="9" width="13.81640625" bestFit="1" customWidth="1"/>
    <col min="10" max="10" width="10.26953125" bestFit="1" customWidth="1"/>
    <col min="11" max="11" width="10.90625" bestFit="1" customWidth="1"/>
    <col min="12" max="12" width="10.6328125" bestFit="1" customWidth="1"/>
    <col min="13" max="13" width="17.26953125" bestFit="1" customWidth="1"/>
    <col min="14" max="14" width="10.36328125" bestFit="1" customWidth="1"/>
    <col min="15" max="15" width="9.81640625" bestFit="1" customWidth="1"/>
    <col min="16" max="16" width="9.7265625" bestFit="1" customWidth="1"/>
    <col min="17" max="17" width="16.81640625" bestFit="1" customWidth="1"/>
    <col min="18" max="18" width="11" bestFit="1" customWidth="1"/>
    <col min="19" max="19" width="8.81640625" bestFit="1" customWidth="1"/>
    <col min="20" max="20" width="8.453125" bestFit="1" customWidth="1"/>
    <col min="21" max="21" width="11.453125" bestFit="1" customWidth="1"/>
    <col min="22" max="22" width="13" bestFit="1" customWidth="1"/>
    <col min="23" max="23" width="14" bestFit="1" customWidth="1"/>
    <col min="24" max="24" width="12.90625" customWidth="1"/>
    <col min="25" max="25" width="10.453125" bestFit="1" customWidth="1"/>
    <col min="26" max="26" width="10.36328125" bestFit="1" customWidth="1"/>
    <col min="27" max="27" width="17" style="1" bestFit="1" customWidth="1"/>
  </cols>
  <sheetData>
    <row r="1" spans="1:27">
      <c r="A1" t="s">
        <v>2727</v>
      </c>
      <c r="B1" t="s">
        <v>0</v>
      </c>
      <c r="C1" t="s">
        <v>2728</v>
      </c>
      <c r="D1" t="s">
        <v>5083</v>
      </c>
      <c r="E1" t="s">
        <v>2729</v>
      </c>
      <c r="F1" s="1" t="s">
        <v>2730</v>
      </c>
      <c r="G1" s="1" t="s">
        <v>2731</v>
      </c>
      <c r="H1" s="1" t="s">
        <v>2732</v>
      </c>
      <c r="I1" t="s">
        <v>2733</v>
      </c>
      <c r="J1" t="s">
        <v>2734</v>
      </c>
      <c r="K1" t="s">
        <v>2735</v>
      </c>
      <c r="L1" t="s">
        <v>2736</v>
      </c>
      <c r="M1" t="s">
        <v>2737</v>
      </c>
      <c r="N1" t="s">
        <v>2738</v>
      </c>
      <c r="O1" t="s">
        <v>2739</v>
      </c>
      <c r="P1" t="s">
        <v>2740</v>
      </c>
      <c r="Q1" t="s">
        <v>2741</v>
      </c>
      <c r="R1" t="s">
        <v>10</v>
      </c>
      <c r="S1" t="s">
        <v>2742</v>
      </c>
      <c r="T1" t="s">
        <v>2743</v>
      </c>
      <c r="U1" t="s">
        <v>2744</v>
      </c>
      <c r="V1" t="s">
        <v>2745</v>
      </c>
      <c r="W1" t="s">
        <v>2746</v>
      </c>
      <c r="X1" t="s">
        <v>4991</v>
      </c>
      <c r="Y1" t="s">
        <v>4992</v>
      </c>
      <c r="Z1" t="s">
        <v>4993</v>
      </c>
      <c r="AA1"/>
    </row>
    <row r="2" spans="1:27">
      <c r="A2" t="s">
        <v>2747</v>
      </c>
      <c r="B2" t="s">
        <v>793</v>
      </c>
      <c r="C2" t="s">
        <v>3399</v>
      </c>
      <c r="D2" t="str">
        <f>TEXT(orders[[#This Row],[OrderDate]], "YYYY-MM")</f>
        <v>2022-03</v>
      </c>
      <c r="E2" t="s">
        <v>2748</v>
      </c>
      <c r="F2" s="1">
        <v>44635</v>
      </c>
      <c r="G2" s="1">
        <v>44637</v>
      </c>
      <c r="H2" s="1">
        <v>44637</v>
      </c>
      <c r="I2">
        <v>2</v>
      </c>
      <c r="J2">
        <v>3499</v>
      </c>
      <c r="K2">
        <v>0</v>
      </c>
      <c r="L2">
        <v>0</v>
      </c>
      <c r="M2">
        <v>6998</v>
      </c>
      <c r="N2">
        <v>3398</v>
      </c>
      <c r="O2" t="s">
        <v>2749</v>
      </c>
      <c r="P2" t="s">
        <v>2750</v>
      </c>
      <c r="Q2" t="s">
        <v>2751</v>
      </c>
      <c r="R2" t="s">
        <v>188</v>
      </c>
      <c r="S2">
        <v>3</v>
      </c>
      <c r="T2">
        <v>2022</v>
      </c>
      <c r="U2" t="s">
        <v>2752</v>
      </c>
      <c r="V2" t="s">
        <v>2753</v>
      </c>
      <c r="W2">
        <v>2</v>
      </c>
      <c r="X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 t="str">
        <f>IF(orders[[#This Row],[Revenue]]&gt;AVERAGE(orders[Revenue])+3*STDEV(orders[Revenue]),"High Outlier",
 IF(orders[[#This Row],[Revenue]]&lt;AVERAGE(orders[Revenue])-3*STDEV(orders[Revenue]),"Low Outlier",
 "Normal"))</f>
        <v>Normal</v>
      </c>
      <c r="Z2">
        <f ca="1" xml:space="preserve"> _xlfn.DAYS(TODAY(), orders[[#This Row],[OrderDate]])</f>
        <v>1507</v>
      </c>
      <c r="AA2"/>
    </row>
    <row r="3" spans="1:27">
      <c r="A3" t="s">
        <v>2754</v>
      </c>
      <c r="B3" t="s">
        <v>1946</v>
      </c>
      <c r="C3" t="s">
        <v>3366</v>
      </c>
      <c r="D3" t="str">
        <f>TEXT(orders[[#This Row],[OrderDate]], "YYYY-MM")</f>
        <v>2023-02</v>
      </c>
      <c r="E3" t="s">
        <v>2755</v>
      </c>
      <c r="F3" s="1">
        <v>44972</v>
      </c>
      <c r="I3">
        <v>1</v>
      </c>
      <c r="J3">
        <v>19999</v>
      </c>
      <c r="K3">
        <v>0</v>
      </c>
      <c r="L3">
        <v>0</v>
      </c>
      <c r="M3">
        <v>19999</v>
      </c>
      <c r="N3">
        <v>6999</v>
      </c>
      <c r="O3" t="s">
        <v>2756</v>
      </c>
      <c r="P3" t="s">
        <v>2757</v>
      </c>
      <c r="Q3" t="s">
        <v>2758</v>
      </c>
      <c r="R3" t="s">
        <v>24</v>
      </c>
      <c r="T3">
        <v>2023</v>
      </c>
      <c r="U3" t="s">
        <v>2759</v>
      </c>
      <c r="V3" t="s">
        <v>2753</v>
      </c>
      <c r="X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 t="str">
        <f>IF(orders[[#This Row],[Revenue]]&gt;AVERAGE(orders[Revenue])+3*STDEV(orders[Revenue]),"High Outlier",
 IF(orders[[#This Row],[Revenue]]&lt;AVERAGE(orders[Revenue])-3*STDEV(orders[Revenue]),"Low Outlier",
 "Normal"))</f>
        <v>Normal</v>
      </c>
      <c r="Z3">
        <f ca="1" xml:space="preserve"> _xlfn.DAYS(TODAY(), orders[[#This Row],[OrderDate]])</f>
        <v>1170</v>
      </c>
      <c r="AA3"/>
    </row>
    <row r="4" spans="1:27">
      <c r="A4" t="s">
        <v>2760</v>
      </c>
      <c r="B4" t="s">
        <v>944</v>
      </c>
      <c r="C4" t="s">
        <v>3418</v>
      </c>
      <c r="D4" t="str">
        <f>TEXT(orders[[#This Row],[OrderDate]], "YYYY-MM")</f>
        <v>2023-12</v>
      </c>
      <c r="E4" t="s">
        <v>2755</v>
      </c>
      <c r="F4" s="1">
        <v>45273</v>
      </c>
      <c r="G4" s="1">
        <v>45275</v>
      </c>
      <c r="H4" s="1">
        <v>45276</v>
      </c>
      <c r="I4">
        <v>4</v>
      </c>
      <c r="J4">
        <v>4999</v>
      </c>
      <c r="K4">
        <v>10</v>
      </c>
      <c r="L4">
        <v>1999.6</v>
      </c>
      <c r="M4">
        <v>17996.400000000001</v>
      </c>
      <c r="N4">
        <v>6796.4</v>
      </c>
      <c r="O4" t="s">
        <v>2749</v>
      </c>
      <c r="P4" t="s">
        <v>2761</v>
      </c>
      <c r="Q4" t="s">
        <v>2762</v>
      </c>
      <c r="R4" t="s">
        <v>24</v>
      </c>
      <c r="S4">
        <v>3</v>
      </c>
      <c r="T4">
        <v>2023</v>
      </c>
      <c r="U4" t="s">
        <v>2763</v>
      </c>
      <c r="V4" t="s">
        <v>2764</v>
      </c>
      <c r="W4">
        <v>2</v>
      </c>
      <c r="X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 t="str">
        <f>IF(orders[[#This Row],[Revenue]]&gt;AVERAGE(orders[Revenue])+3*STDEV(orders[Revenue]),"High Outlier",
 IF(orders[[#This Row],[Revenue]]&lt;AVERAGE(orders[Revenue])-3*STDEV(orders[Revenue]),"Low Outlier",
 "Normal"))</f>
        <v>Normal</v>
      </c>
      <c r="Z4">
        <f ca="1" xml:space="preserve"> _xlfn.DAYS(TODAY(), orders[[#This Row],[OrderDate]])</f>
        <v>869</v>
      </c>
      <c r="AA4"/>
    </row>
    <row r="5" spans="1:27">
      <c r="A5" t="s">
        <v>2765</v>
      </c>
      <c r="B5" t="s">
        <v>631</v>
      </c>
      <c r="C5" t="s">
        <v>3370</v>
      </c>
      <c r="D5" t="str">
        <f>TEXT(orders[[#This Row],[OrderDate]], "YYYY-MM")</f>
        <v>2022-05</v>
      </c>
      <c r="E5" t="s">
        <v>2748</v>
      </c>
      <c r="F5" s="1">
        <v>44710</v>
      </c>
      <c r="I5">
        <v>3</v>
      </c>
      <c r="J5">
        <v>24999</v>
      </c>
      <c r="K5">
        <v>10</v>
      </c>
      <c r="L5">
        <v>7499.7</v>
      </c>
      <c r="M5">
        <v>67497.3</v>
      </c>
      <c r="N5">
        <v>16497.3</v>
      </c>
      <c r="O5" t="s">
        <v>2756</v>
      </c>
      <c r="P5" t="s">
        <v>2757</v>
      </c>
      <c r="Q5" t="s">
        <v>2758</v>
      </c>
      <c r="R5" t="s">
        <v>188</v>
      </c>
      <c r="T5">
        <v>2022</v>
      </c>
      <c r="U5" t="s">
        <v>2766</v>
      </c>
      <c r="V5" t="s">
        <v>2767</v>
      </c>
      <c r="X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5" t="str">
        <f>IF(orders[[#This Row],[Revenue]]&gt;AVERAGE(orders[Revenue])+3*STDEV(orders[Revenue]),"High Outlier",
 IF(orders[[#This Row],[Revenue]]&lt;AVERAGE(orders[Revenue])-3*STDEV(orders[Revenue]),"Low Outlier",
 "Normal"))</f>
        <v>Normal</v>
      </c>
      <c r="Z5">
        <f ca="1" xml:space="preserve"> _xlfn.DAYS(TODAY(), orders[[#This Row],[OrderDate]])</f>
        <v>1432</v>
      </c>
      <c r="AA5"/>
    </row>
    <row r="6" spans="1:27">
      <c r="A6" t="s">
        <v>2768</v>
      </c>
      <c r="B6" t="s">
        <v>2674</v>
      </c>
      <c r="C6" t="s">
        <v>3345</v>
      </c>
      <c r="D6" t="str">
        <f>TEXT(orders[[#This Row],[OrderDate]], "YYYY-MM")</f>
        <v>2024-06</v>
      </c>
      <c r="E6" t="s">
        <v>2769</v>
      </c>
      <c r="F6" s="1">
        <v>45468</v>
      </c>
      <c r="G6" s="1">
        <v>45473</v>
      </c>
      <c r="H6" s="1">
        <v>45476</v>
      </c>
      <c r="I6">
        <v>2</v>
      </c>
      <c r="J6">
        <v>29900</v>
      </c>
      <c r="K6">
        <v>10</v>
      </c>
      <c r="L6">
        <v>5980</v>
      </c>
      <c r="M6">
        <v>53820</v>
      </c>
      <c r="N6">
        <v>13820</v>
      </c>
      <c r="O6" t="s">
        <v>2749</v>
      </c>
      <c r="P6" t="s">
        <v>2770</v>
      </c>
      <c r="Q6" t="s">
        <v>2751</v>
      </c>
      <c r="R6" t="s">
        <v>46</v>
      </c>
      <c r="S6">
        <v>5</v>
      </c>
      <c r="T6">
        <v>2024</v>
      </c>
      <c r="U6" t="s">
        <v>2771</v>
      </c>
      <c r="V6" t="s">
        <v>2767</v>
      </c>
      <c r="W6">
        <v>5</v>
      </c>
      <c r="X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6" t="str">
        <f>IF(orders[[#This Row],[Revenue]]&gt;AVERAGE(orders[Revenue])+3*STDEV(orders[Revenue]),"High Outlier",
 IF(orders[[#This Row],[Revenue]]&lt;AVERAGE(orders[Revenue])-3*STDEV(orders[Revenue]),"Low Outlier",
 "Normal"))</f>
        <v>Normal</v>
      </c>
      <c r="Z6">
        <f ca="1" xml:space="preserve"> _xlfn.DAYS(TODAY(), orders[[#This Row],[OrderDate]])</f>
        <v>674</v>
      </c>
      <c r="AA6"/>
    </row>
    <row r="7" spans="1:27">
      <c r="A7" t="s">
        <v>2772</v>
      </c>
      <c r="B7" t="s">
        <v>2434</v>
      </c>
      <c r="C7" t="s">
        <v>3298</v>
      </c>
      <c r="D7" t="str">
        <f>TEXT(orders[[#This Row],[OrderDate]], "YYYY-MM")</f>
        <v>2022-08</v>
      </c>
      <c r="E7" t="s">
        <v>2755</v>
      </c>
      <c r="F7" s="1">
        <v>44800</v>
      </c>
      <c r="G7" s="1">
        <v>44801</v>
      </c>
      <c r="H7" s="1">
        <v>44804</v>
      </c>
      <c r="I7">
        <v>2</v>
      </c>
      <c r="J7">
        <v>79999</v>
      </c>
      <c r="K7">
        <v>5</v>
      </c>
      <c r="L7">
        <v>7999.9</v>
      </c>
      <c r="M7">
        <v>151998.1</v>
      </c>
      <c r="N7">
        <v>41998.1</v>
      </c>
      <c r="O7" t="s">
        <v>2749</v>
      </c>
      <c r="P7" t="s">
        <v>2750</v>
      </c>
      <c r="Q7" t="s">
        <v>2751</v>
      </c>
      <c r="R7" t="s">
        <v>24</v>
      </c>
      <c r="S7">
        <v>3</v>
      </c>
      <c r="T7">
        <v>2022</v>
      </c>
      <c r="U7" t="s">
        <v>2773</v>
      </c>
      <c r="V7" t="s">
        <v>2774</v>
      </c>
      <c r="W7">
        <v>1</v>
      </c>
      <c r="X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7" t="str">
        <f>IF(orders[[#This Row],[Revenue]]&gt;AVERAGE(orders[Revenue])+3*STDEV(orders[Revenue]),"High Outlier",
 IF(orders[[#This Row],[Revenue]]&lt;AVERAGE(orders[Revenue])-3*STDEV(orders[Revenue]),"Low Outlier",
 "Normal"))</f>
        <v>Normal</v>
      </c>
      <c r="Z7">
        <f ca="1" xml:space="preserve"> _xlfn.DAYS(TODAY(), orders[[#This Row],[OrderDate]])</f>
        <v>1342</v>
      </c>
      <c r="AA7"/>
    </row>
    <row r="8" spans="1:27">
      <c r="A8" t="s">
        <v>2775</v>
      </c>
      <c r="B8" t="s">
        <v>1553</v>
      </c>
      <c r="C8" t="s">
        <v>3390</v>
      </c>
      <c r="D8" t="str">
        <f>TEXT(orders[[#This Row],[OrderDate]], "YYYY-MM")</f>
        <v>2023-06</v>
      </c>
      <c r="E8" t="s">
        <v>2776</v>
      </c>
      <c r="F8" s="1">
        <v>45101</v>
      </c>
      <c r="G8" s="1">
        <v>45104</v>
      </c>
      <c r="H8" s="1">
        <v>45104</v>
      </c>
      <c r="I8">
        <v>4</v>
      </c>
      <c r="J8">
        <v>54999</v>
      </c>
      <c r="K8">
        <v>10</v>
      </c>
      <c r="L8">
        <v>21999.599999999999</v>
      </c>
      <c r="M8">
        <v>197996.4</v>
      </c>
      <c r="N8">
        <v>45996.4</v>
      </c>
      <c r="O8" t="s">
        <v>2749</v>
      </c>
      <c r="P8" t="s">
        <v>2757</v>
      </c>
      <c r="Q8" t="s">
        <v>2758</v>
      </c>
      <c r="R8" t="s">
        <v>35</v>
      </c>
      <c r="S8">
        <v>2</v>
      </c>
      <c r="T8">
        <v>2023</v>
      </c>
      <c r="U8" t="s">
        <v>2771</v>
      </c>
      <c r="V8" t="s">
        <v>2767</v>
      </c>
      <c r="W8">
        <v>3</v>
      </c>
      <c r="X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8" t="str">
        <f>IF(orders[[#This Row],[Revenue]]&gt;AVERAGE(orders[Revenue])+3*STDEV(orders[Revenue]),"High Outlier",
 IF(orders[[#This Row],[Revenue]]&lt;AVERAGE(orders[Revenue])-3*STDEV(orders[Revenue]),"Low Outlier",
 "Normal"))</f>
        <v>Normal</v>
      </c>
      <c r="Z8">
        <f ca="1" xml:space="preserve"> _xlfn.DAYS(TODAY(), orders[[#This Row],[OrderDate]])</f>
        <v>1041</v>
      </c>
      <c r="AA8"/>
    </row>
    <row r="9" spans="1:27">
      <c r="A9" t="s">
        <v>2777</v>
      </c>
      <c r="B9" t="s">
        <v>1448</v>
      </c>
      <c r="C9" t="s">
        <v>3356</v>
      </c>
      <c r="D9" t="str">
        <f>TEXT(orders[[#This Row],[OrderDate]], "YYYY-MM")</f>
        <v>2023-03</v>
      </c>
      <c r="E9" t="s">
        <v>2755</v>
      </c>
      <c r="F9" s="1">
        <v>45009</v>
      </c>
      <c r="I9">
        <v>3</v>
      </c>
      <c r="J9">
        <v>9999</v>
      </c>
      <c r="K9">
        <v>0</v>
      </c>
      <c r="L9">
        <v>0</v>
      </c>
      <c r="M9">
        <v>29997</v>
      </c>
      <c r="N9">
        <v>10497</v>
      </c>
      <c r="O9" t="s">
        <v>2756</v>
      </c>
      <c r="P9" t="s">
        <v>2778</v>
      </c>
      <c r="Q9" t="s">
        <v>2779</v>
      </c>
      <c r="R9" t="s">
        <v>24</v>
      </c>
      <c r="T9">
        <v>2023</v>
      </c>
      <c r="U9" t="s">
        <v>2752</v>
      </c>
      <c r="V9" t="s">
        <v>2753</v>
      </c>
      <c r="X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9" t="str">
        <f>IF(orders[[#This Row],[Revenue]]&gt;AVERAGE(orders[Revenue])+3*STDEV(orders[Revenue]),"High Outlier",
 IF(orders[[#This Row],[Revenue]]&lt;AVERAGE(orders[Revenue])-3*STDEV(orders[Revenue]),"Low Outlier",
 "Normal"))</f>
        <v>Normal</v>
      </c>
      <c r="Z9">
        <f ca="1" xml:space="preserve"> _xlfn.DAYS(TODAY(), orders[[#This Row],[OrderDate]])</f>
        <v>1133</v>
      </c>
      <c r="AA9"/>
    </row>
    <row r="10" spans="1:27">
      <c r="A10" t="s">
        <v>2780</v>
      </c>
      <c r="B10" t="s">
        <v>1508</v>
      </c>
      <c r="C10" t="s">
        <v>3418</v>
      </c>
      <c r="D10" t="str">
        <f>TEXT(orders[[#This Row],[OrderDate]], "YYYY-MM")</f>
        <v>2023-04</v>
      </c>
      <c r="E10" t="s">
        <v>2748</v>
      </c>
      <c r="F10" s="1">
        <v>45042</v>
      </c>
      <c r="I10">
        <v>2</v>
      </c>
      <c r="J10">
        <v>4999</v>
      </c>
      <c r="K10">
        <v>5</v>
      </c>
      <c r="L10">
        <v>499.9</v>
      </c>
      <c r="M10">
        <v>9498.1</v>
      </c>
      <c r="N10">
        <v>3898.1</v>
      </c>
      <c r="O10" t="s">
        <v>2781</v>
      </c>
      <c r="P10" t="s">
        <v>2782</v>
      </c>
      <c r="Q10" t="s">
        <v>2779</v>
      </c>
      <c r="R10" t="s">
        <v>188</v>
      </c>
      <c r="T10">
        <v>2023</v>
      </c>
      <c r="U10" t="s">
        <v>2783</v>
      </c>
      <c r="V10" t="s">
        <v>2767</v>
      </c>
      <c r="X1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0" t="str">
        <f>IF(orders[[#This Row],[Revenue]]&gt;AVERAGE(orders[Revenue])+3*STDEV(orders[Revenue]),"High Outlier",
 IF(orders[[#This Row],[Revenue]]&lt;AVERAGE(orders[Revenue])-3*STDEV(orders[Revenue]),"Low Outlier",
 "Normal"))</f>
        <v>Normal</v>
      </c>
      <c r="Z10">
        <f ca="1" xml:space="preserve"> _xlfn.DAYS(TODAY(), orders[[#This Row],[OrderDate]])</f>
        <v>1100</v>
      </c>
      <c r="AA10"/>
    </row>
    <row r="11" spans="1:27">
      <c r="A11" t="s">
        <v>2784</v>
      </c>
      <c r="B11" t="s">
        <v>709</v>
      </c>
      <c r="C11" t="s">
        <v>3340</v>
      </c>
      <c r="D11" t="str">
        <f>TEXT(orders[[#This Row],[OrderDate]], "YYYY-MM")</f>
        <v>2022-11</v>
      </c>
      <c r="E11" t="s">
        <v>2785</v>
      </c>
      <c r="F11" s="1">
        <v>44881</v>
      </c>
      <c r="G11" s="1">
        <v>44882</v>
      </c>
      <c r="H11" s="1">
        <v>44882</v>
      </c>
      <c r="I11">
        <v>4</v>
      </c>
      <c r="J11">
        <v>6999</v>
      </c>
      <c r="K11">
        <v>0</v>
      </c>
      <c r="L11">
        <v>0</v>
      </c>
      <c r="M11">
        <v>27996</v>
      </c>
      <c r="N11">
        <v>11196</v>
      </c>
      <c r="O11" t="s">
        <v>2749</v>
      </c>
      <c r="P11" t="s">
        <v>2761</v>
      </c>
      <c r="Q11" t="s">
        <v>2762</v>
      </c>
      <c r="R11" t="s">
        <v>188</v>
      </c>
      <c r="S11">
        <v>4</v>
      </c>
      <c r="T11">
        <v>2022</v>
      </c>
      <c r="U11" t="s">
        <v>2786</v>
      </c>
      <c r="V11" t="s">
        <v>2764</v>
      </c>
      <c r="W11">
        <v>1</v>
      </c>
      <c r="X1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1" t="str">
        <f>IF(orders[[#This Row],[Revenue]]&gt;AVERAGE(orders[Revenue])+3*STDEV(orders[Revenue]),"High Outlier",
 IF(orders[[#This Row],[Revenue]]&lt;AVERAGE(orders[Revenue])-3*STDEV(orders[Revenue]),"Low Outlier",
 "Normal"))</f>
        <v>Normal</v>
      </c>
      <c r="Z11">
        <f ca="1" xml:space="preserve"> _xlfn.DAYS(TODAY(), orders[[#This Row],[OrderDate]])</f>
        <v>1261</v>
      </c>
      <c r="AA11"/>
    </row>
    <row r="12" spans="1:27">
      <c r="A12" t="s">
        <v>2787</v>
      </c>
      <c r="B12" t="s">
        <v>1178</v>
      </c>
      <c r="C12" t="s">
        <v>3399</v>
      </c>
      <c r="D12" t="str">
        <f>TEXT(orders[[#This Row],[OrderDate]], "YYYY-MM")</f>
        <v>2024-10</v>
      </c>
      <c r="E12" t="s">
        <v>2755</v>
      </c>
      <c r="F12" s="1">
        <v>45570</v>
      </c>
      <c r="I12">
        <v>3</v>
      </c>
      <c r="J12">
        <v>3499</v>
      </c>
      <c r="K12">
        <v>15</v>
      </c>
      <c r="L12">
        <v>1574.55</v>
      </c>
      <c r="M12">
        <v>8922.4500000000007</v>
      </c>
      <c r="N12">
        <v>3522.45</v>
      </c>
      <c r="O12" t="s">
        <v>2756</v>
      </c>
      <c r="P12" t="s">
        <v>2782</v>
      </c>
      <c r="Q12" t="s">
        <v>2758</v>
      </c>
      <c r="R12" t="s">
        <v>24</v>
      </c>
      <c r="T12">
        <v>2024</v>
      </c>
      <c r="U12" t="s">
        <v>2788</v>
      </c>
      <c r="V12" t="s">
        <v>2764</v>
      </c>
      <c r="X1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2" t="str">
        <f>IF(orders[[#This Row],[Revenue]]&gt;AVERAGE(orders[Revenue])+3*STDEV(orders[Revenue]),"High Outlier",
 IF(orders[[#This Row],[Revenue]]&lt;AVERAGE(orders[Revenue])-3*STDEV(orders[Revenue]),"Low Outlier",
 "Normal"))</f>
        <v>Normal</v>
      </c>
      <c r="Z12">
        <f ca="1" xml:space="preserve"> _xlfn.DAYS(TODAY(), orders[[#This Row],[OrderDate]])</f>
        <v>572</v>
      </c>
      <c r="AA12"/>
    </row>
    <row r="13" spans="1:27">
      <c r="A13" t="s">
        <v>2789</v>
      </c>
      <c r="B13" t="s">
        <v>933</v>
      </c>
      <c r="C13" t="s">
        <v>3366</v>
      </c>
      <c r="D13" t="str">
        <f>TEXT(orders[[#This Row],[OrderDate]], "YYYY-MM")</f>
        <v>2022-09</v>
      </c>
      <c r="E13" t="s">
        <v>2776</v>
      </c>
      <c r="F13" s="1">
        <v>44824</v>
      </c>
      <c r="G13" s="1">
        <v>44829</v>
      </c>
      <c r="H13" s="1">
        <v>44832</v>
      </c>
      <c r="I13">
        <v>4</v>
      </c>
      <c r="J13">
        <v>19999</v>
      </c>
      <c r="K13">
        <v>20</v>
      </c>
      <c r="L13">
        <v>15999.2</v>
      </c>
      <c r="M13">
        <v>63996.800000000003</v>
      </c>
      <c r="N13">
        <v>11996.8</v>
      </c>
      <c r="O13" t="s">
        <v>2749</v>
      </c>
      <c r="P13" t="s">
        <v>2757</v>
      </c>
      <c r="Q13" t="s">
        <v>2758</v>
      </c>
      <c r="R13" t="s">
        <v>35</v>
      </c>
      <c r="S13">
        <v>3</v>
      </c>
      <c r="T13">
        <v>2022</v>
      </c>
      <c r="U13" t="s">
        <v>2790</v>
      </c>
      <c r="V13" t="s">
        <v>2774</v>
      </c>
      <c r="W13">
        <v>5</v>
      </c>
      <c r="X1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3" t="str">
        <f>IF(orders[[#This Row],[Revenue]]&gt;AVERAGE(orders[Revenue])+3*STDEV(orders[Revenue]),"High Outlier",
 IF(orders[[#This Row],[Revenue]]&lt;AVERAGE(orders[Revenue])-3*STDEV(orders[Revenue]),"Low Outlier",
 "Normal"))</f>
        <v>Normal</v>
      </c>
      <c r="Z13">
        <f ca="1" xml:space="preserve"> _xlfn.DAYS(TODAY(), orders[[#This Row],[OrderDate]])</f>
        <v>1318</v>
      </c>
      <c r="AA13"/>
    </row>
    <row r="14" spans="1:27">
      <c r="A14" t="s">
        <v>2791</v>
      </c>
      <c r="B14" t="s">
        <v>1233</v>
      </c>
      <c r="C14" t="s">
        <v>3409</v>
      </c>
      <c r="D14" t="str">
        <f>TEXT(orders[[#This Row],[OrderDate]], "YYYY-MM")</f>
        <v>2024-07</v>
      </c>
      <c r="E14" t="s">
        <v>2748</v>
      </c>
      <c r="F14" s="1">
        <v>45498</v>
      </c>
      <c r="G14" s="1">
        <v>45504</v>
      </c>
      <c r="H14" s="1">
        <v>45507</v>
      </c>
      <c r="I14">
        <v>3</v>
      </c>
      <c r="J14">
        <v>7499</v>
      </c>
      <c r="K14">
        <v>0</v>
      </c>
      <c r="L14">
        <v>0</v>
      </c>
      <c r="M14">
        <v>22497</v>
      </c>
      <c r="N14">
        <v>8097</v>
      </c>
      <c r="O14" t="s">
        <v>2749</v>
      </c>
      <c r="P14" t="s">
        <v>2757</v>
      </c>
      <c r="Q14" t="s">
        <v>2779</v>
      </c>
      <c r="R14" t="s">
        <v>188</v>
      </c>
      <c r="S14">
        <v>4</v>
      </c>
      <c r="T14">
        <v>2024</v>
      </c>
      <c r="U14" t="s">
        <v>2792</v>
      </c>
      <c r="V14" t="s">
        <v>2774</v>
      </c>
      <c r="W14">
        <v>6</v>
      </c>
      <c r="X1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4" t="str">
        <f>IF(orders[[#This Row],[Revenue]]&gt;AVERAGE(orders[Revenue])+3*STDEV(orders[Revenue]),"High Outlier",
 IF(orders[[#This Row],[Revenue]]&lt;AVERAGE(orders[Revenue])-3*STDEV(orders[Revenue]),"Low Outlier",
 "Normal"))</f>
        <v>Normal</v>
      </c>
      <c r="Z14">
        <f ca="1" xml:space="preserve"> _xlfn.DAYS(TODAY(), orders[[#This Row],[OrderDate]])</f>
        <v>644</v>
      </c>
      <c r="AA14"/>
    </row>
    <row r="15" spans="1:27">
      <c r="A15" t="s">
        <v>2793</v>
      </c>
      <c r="B15" t="s">
        <v>1717</v>
      </c>
      <c r="C15" t="s">
        <v>3319</v>
      </c>
      <c r="D15" t="str">
        <f>TEXT(orders[[#This Row],[OrderDate]], "YYYY-MM")</f>
        <v>2024-01</v>
      </c>
      <c r="E15" t="s">
        <v>2755</v>
      </c>
      <c r="F15" s="1">
        <v>45302</v>
      </c>
      <c r="I15">
        <v>3</v>
      </c>
      <c r="J15">
        <v>55990</v>
      </c>
      <c r="K15">
        <v>0</v>
      </c>
      <c r="L15">
        <v>0</v>
      </c>
      <c r="M15">
        <v>167970</v>
      </c>
      <c r="N15">
        <v>47970</v>
      </c>
      <c r="O15" t="s">
        <v>2756</v>
      </c>
      <c r="P15" t="s">
        <v>2761</v>
      </c>
      <c r="Q15" t="s">
        <v>2794</v>
      </c>
      <c r="R15" t="s">
        <v>24</v>
      </c>
      <c r="T15">
        <v>2024</v>
      </c>
      <c r="U15" t="s">
        <v>2795</v>
      </c>
      <c r="V15" t="s">
        <v>2753</v>
      </c>
      <c r="X1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5" t="str">
        <f>IF(orders[[#This Row],[Revenue]]&gt;AVERAGE(orders[Revenue])+3*STDEV(orders[Revenue]),"High Outlier",
 IF(orders[[#This Row],[Revenue]]&lt;AVERAGE(orders[Revenue])-3*STDEV(orders[Revenue]),"Low Outlier",
 "Normal"))</f>
        <v>Normal</v>
      </c>
      <c r="Z15">
        <f ca="1" xml:space="preserve"> _xlfn.DAYS(TODAY(), orders[[#This Row],[OrderDate]])</f>
        <v>840</v>
      </c>
      <c r="AA15"/>
    </row>
    <row r="16" spans="1:27">
      <c r="A16" t="s">
        <v>2796</v>
      </c>
      <c r="B16" t="s">
        <v>809</v>
      </c>
      <c r="C16" t="s">
        <v>3345</v>
      </c>
      <c r="D16" t="str">
        <f>TEXT(orders[[#This Row],[OrderDate]], "YYYY-MM")</f>
        <v>2023-12</v>
      </c>
      <c r="E16" t="s">
        <v>2785</v>
      </c>
      <c r="F16" s="1">
        <v>45264</v>
      </c>
      <c r="G16" s="1">
        <v>45266</v>
      </c>
      <c r="H16" s="1">
        <v>45269</v>
      </c>
      <c r="I16">
        <v>4</v>
      </c>
      <c r="J16">
        <v>29900</v>
      </c>
      <c r="K16">
        <v>5</v>
      </c>
      <c r="L16">
        <v>5980</v>
      </c>
      <c r="M16">
        <v>113620</v>
      </c>
      <c r="N16">
        <v>33620</v>
      </c>
      <c r="O16" t="s">
        <v>2749</v>
      </c>
      <c r="P16" t="s">
        <v>2770</v>
      </c>
      <c r="Q16" t="s">
        <v>2794</v>
      </c>
      <c r="R16" t="s">
        <v>188</v>
      </c>
      <c r="S16">
        <v>3</v>
      </c>
      <c r="T16">
        <v>2023</v>
      </c>
      <c r="U16" t="s">
        <v>2763</v>
      </c>
      <c r="V16" t="s">
        <v>2764</v>
      </c>
      <c r="W16">
        <v>2</v>
      </c>
      <c r="X1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6" t="str">
        <f>IF(orders[[#This Row],[Revenue]]&gt;AVERAGE(orders[Revenue])+3*STDEV(orders[Revenue]),"High Outlier",
 IF(orders[[#This Row],[Revenue]]&lt;AVERAGE(orders[Revenue])-3*STDEV(orders[Revenue]),"Low Outlier",
 "Normal"))</f>
        <v>Normal</v>
      </c>
      <c r="Z16">
        <f ca="1" xml:space="preserve"> _xlfn.DAYS(TODAY(), orders[[#This Row],[OrderDate]])</f>
        <v>878</v>
      </c>
      <c r="AA16"/>
    </row>
    <row r="17" spans="1:27">
      <c r="A17" t="s">
        <v>2797</v>
      </c>
      <c r="B17" t="s">
        <v>2415</v>
      </c>
      <c r="C17" t="s">
        <v>3366</v>
      </c>
      <c r="D17" t="str">
        <f>TEXT(orders[[#This Row],[OrderDate]], "YYYY-MM")</f>
        <v>2024-07</v>
      </c>
      <c r="E17" t="s">
        <v>2769</v>
      </c>
      <c r="F17" s="1">
        <v>45485</v>
      </c>
      <c r="G17" s="1">
        <v>45490</v>
      </c>
      <c r="H17" s="1">
        <v>45491</v>
      </c>
      <c r="I17">
        <v>5</v>
      </c>
      <c r="J17">
        <v>19999</v>
      </c>
      <c r="K17">
        <v>5</v>
      </c>
      <c r="L17">
        <v>4999.75</v>
      </c>
      <c r="M17">
        <v>94995.25</v>
      </c>
      <c r="N17">
        <v>29995.25</v>
      </c>
      <c r="O17" t="s">
        <v>2749</v>
      </c>
      <c r="P17" t="s">
        <v>2757</v>
      </c>
      <c r="Q17" t="s">
        <v>2794</v>
      </c>
      <c r="R17" t="s">
        <v>46</v>
      </c>
      <c r="S17">
        <v>2</v>
      </c>
      <c r="T17">
        <v>2024</v>
      </c>
      <c r="U17" t="s">
        <v>2792</v>
      </c>
      <c r="V17" t="s">
        <v>2774</v>
      </c>
      <c r="W17">
        <v>5</v>
      </c>
      <c r="X1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7" t="str">
        <f>IF(orders[[#This Row],[Revenue]]&gt;AVERAGE(orders[Revenue])+3*STDEV(orders[Revenue]),"High Outlier",
 IF(orders[[#This Row],[Revenue]]&lt;AVERAGE(orders[Revenue])-3*STDEV(orders[Revenue]),"Low Outlier",
 "Normal"))</f>
        <v>Normal</v>
      </c>
      <c r="Z17">
        <f ca="1" xml:space="preserve"> _xlfn.DAYS(TODAY(), orders[[#This Row],[OrderDate]])</f>
        <v>657</v>
      </c>
      <c r="AA17"/>
    </row>
    <row r="18" spans="1:27">
      <c r="A18" t="s">
        <v>2798</v>
      </c>
      <c r="B18" t="s">
        <v>1652</v>
      </c>
      <c r="C18" t="s">
        <v>3370</v>
      </c>
      <c r="D18" t="str">
        <f>TEXT(orders[[#This Row],[OrderDate]], "YYYY-MM")</f>
        <v>2023-02</v>
      </c>
      <c r="E18" t="s">
        <v>2769</v>
      </c>
      <c r="F18" s="1">
        <v>44963</v>
      </c>
      <c r="G18" s="1">
        <v>44970</v>
      </c>
      <c r="H18" s="1">
        <v>44971</v>
      </c>
      <c r="I18">
        <v>4</v>
      </c>
      <c r="J18">
        <v>24999</v>
      </c>
      <c r="K18">
        <v>0</v>
      </c>
      <c r="L18">
        <v>0</v>
      </c>
      <c r="M18">
        <v>99996</v>
      </c>
      <c r="N18">
        <v>31996</v>
      </c>
      <c r="O18" t="s">
        <v>2749</v>
      </c>
      <c r="P18" t="s">
        <v>2782</v>
      </c>
      <c r="Q18" t="s">
        <v>2751</v>
      </c>
      <c r="R18" t="s">
        <v>46</v>
      </c>
      <c r="S18">
        <v>4</v>
      </c>
      <c r="T18">
        <v>2023</v>
      </c>
      <c r="U18" t="s">
        <v>2759</v>
      </c>
      <c r="V18" t="s">
        <v>2753</v>
      </c>
      <c r="W18">
        <v>7</v>
      </c>
      <c r="X1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8" t="str">
        <f>IF(orders[[#This Row],[Revenue]]&gt;AVERAGE(orders[Revenue])+3*STDEV(orders[Revenue]),"High Outlier",
 IF(orders[[#This Row],[Revenue]]&lt;AVERAGE(orders[Revenue])-3*STDEV(orders[Revenue]),"Low Outlier",
 "Normal"))</f>
        <v>Normal</v>
      </c>
      <c r="Z18">
        <f ca="1" xml:space="preserve"> _xlfn.DAYS(TODAY(), orders[[#This Row],[OrderDate]])</f>
        <v>1179</v>
      </c>
      <c r="AA18"/>
    </row>
    <row r="19" spans="1:27">
      <c r="A19" t="s">
        <v>2799</v>
      </c>
      <c r="B19" t="s">
        <v>508</v>
      </c>
      <c r="C19" t="s">
        <v>3405</v>
      </c>
      <c r="D19" t="str">
        <f>TEXT(orders[[#This Row],[OrderDate]], "YYYY-MM")</f>
        <v>2024-09</v>
      </c>
      <c r="E19" t="s">
        <v>2785</v>
      </c>
      <c r="F19" s="1">
        <v>45558</v>
      </c>
      <c r="G19" s="1">
        <v>45561</v>
      </c>
      <c r="H19" s="1">
        <v>45561</v>
      </c>
      <c r="I19">
        <v>4</v>
      </c>
      <c r="J19">
        <v>8495</v>
      </c>
      <c r="K19">
        <v>0</v>
      </c>
      <c r="L19">
        <v>0</v>
      </c>
      <c r="M19">
        <v>33980</v>
      </c>
      <c r="N19">
        <v>11980</v>
      </c>
      <c r="O19" t="s">
        <v>2749</v>
      </c>
      <c r="P19" t="s">
        <v>2778</v>
      </c>
      <c r="Q19" t="s">
        <v>2779</v>
      </c>
      <c r="R19" t="s">
        <v>188</v>
      </c>
      <c r="S19">
        <v>1</v>
      </c>
      <c r="T19">
        <v>2024</v>
      </c>
      <c r="U19" t="s">
        <v>2790</v>
      </c>
      <c r="V19" t="s">
        <v>2774</v>
      </c>
      <c r="W19">
        <v>3</v>
      </c>
      <c r="X1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9" t="str">
        <f>IF(orders[[#This Row],[Revenue]]&gt;AVERAGE(orders[Revenue])+3*STDEV(orders[Revenue]),"High Outlier",
 IF(orders[[#This Row],[Revenue]]&lt;AVERAGE(orders[Revenue])-3*STDEV(orders[Revenue]),"Low Outlier",
 "Normal"))</f>
        <v>Normal</v>
      </c>
      <c r="Z19">
        <f ca="1" xml:space="preserve"> _xlfn.DAYS(TODAY(), orders[[#This Row],[OrderDate]])</f>
        <v>584</v>
      </c>
      <c r="AA19"/>
    </row>
    <row r="20" spans="1:27">
      <c r="A20" t="s">
        <v>2800</v>
      </c>
      <c r="B20" t="s">
        <v>750</v>
      </c>
      <c r="C20" t="s">
        <v>3345</v>
      </c>
      <c r="D20" t="str">
        <f>TEXT(orders[[#This Row],[OrderDate]], "YYYY-MM")</f>
        <v>2022-07</v>
      </c>
      <c r="E20" t="s">
        <v>2769</v>
      </c>
      <c r="F20" s="1">
        <v>44759</v>
      </c>
      <c r="G20" s="1">
        <v>44765</v>
      </c>
      <c r="H20" s="1">
        <v>44767</v>
      </c>
      <c r="I20">
        <v>3</v>
      </c>
      <c r="J20">
        <v>29900</v>
      </c>
      <c r="K20">
        <v>10</v>
      </c>
      <c r="L20">
        <v>8970</v>
      </c>
      <c r="M20">
        <v>80730</v>
      </c>
      <c r="N20">
        <v>20730</v>
      </c>
      <c r="O20" t="s">
        <v>2749</v>
      </c>
      <c r="P20" t="s">
        <v>2750</v>
      </c>
      <c r="Q20" t="s">
        <v>2758</v>
      </c>
      <c r="R20" t="s">
        <v>46</v>
      </c>
      <c r="S20">
        <v>5</v>
      </c>
      <c r="T20">
        <v>2022</v>
      </c>
      <c r="U20" t="s">
        <v>2792</v>
      </c>
      <c r="V20" t="s">
        <v>2774</v>
      </c>
      <c r="W20">
        <v>6</v>
      </c>
      <c r="X2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0" t="str">
        <f>IF(orders[[#This Row],[Revenue]]&gt;AVERAGE(orders[Revenue])+3*STDEV(orders[Revenue]),"High Outlier",
 IF(orders[[#This Row],[Revenue]]&lt;AVERAGE(orders[Revenue])-3*STDEV(orders[Revenue]),"Low Outlier",
 "Normal"))</f>
        <v>Normal</v>
      </c>
      <c r="Z20">
        <f ca="1" xml:space="preserve"> _xlfn.DAYS(TODAY(), orders[[#This Row],[OrderDate]])</f>
        <v>1383</v>
      </c>
      <c r="AA20"/>
    </row>
    <row r="21" spans="1:27">
      <c r="A21" t="s">
        <v>2801</v>
      </c>
      <c r="B21" t="s">
        <v>2615</v>
      </c>
      <c r="C21" t="s">
        <v>3345</v>
      </c>
      <c r="D21" t="str">
        <f>TEXT(orders[[#This Row],[OrderDate]], "YYYY-MM")</f>
        <v>2022-02</v>
      </c>
      <c r="E21" t="s">
        <v>2755</v>
      </c>
      <c r="F21" s="1">
        <v>44602</v>
      </c>
      <c r="G21" s="1">
        <v>44603</v>
      </c>
      <c r="H21" s="1">
        <v>44605</v>
      </c>
      <c r="I21">
        <v>5</v>
      </c>
      <c r="J21">
        <v>29900</v>
      </c>
      <c r="K21">
        <v>5</v>
      </c>
      <c r="L21">
        <v>7475</v>
      </c>
      <c r="M21">
        <v>142025</v>
      </c>
      <c r="N21">
        <v>42025</v>
      </c>
      <c r="O21" t="s">
        <v>2749</v>
      </c>
      <c r="P21" t="s">
        <v>2761</v>
      </c>
      <c r="Q21" t="s">
        <v>2758</v>
      </c>
      <c r="R21" t="s">
        <v>24</v>
      </c>
      <c r="S21">
        <v>5</v>
      </c>
      <c r="T21">
        <v>2022</v>
      </c>
      <c r="U21" t="s">
        <v>2759</v>
      </c>
      <c r="V21" t="s">
        <v>2753</v>
      </c>
      <c r="W21">
        <v>1</v>
      </c>
      <c r="X2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1" t="str">
        <f>IF(orders[[#This Row],[Revenue]]&gt;AVERAGE(orders[Revenue])+3*STDEV(orders[Revenue]),"High Outlier",
 IF(orders[[#This Row],[Revenue]]&lt;AVERAGE(orders[Revenue])-3*STDEV(orders[Revenue]),"Low Outlier",
 "Normal"))</f>
        <v>Normal</v>
      </c>
      <c r="Z21">
        <f ca="1" xml:space="preserve"> _xlfn.DAYS(TODAY(), orders[[#This Row],[OrderDate]])</f>
        <v>1540</v>
      </c>
      <c r="AA21"/>
    </row>
    <row r="22" spans="1:27">
      <c r="A22" t="s">
        <v>2802</v>
      </c>
      <c r="B22" t="s">
        <v>631</v>
      </c>
      <c r="C22" t="s">
        <v>3423</v>
      </c>
      <c r="D22" t="str">
        <f>TEXT(orders[[#This Row],[OrderDate]], "YYYY-MM")</f>
        <v>2023-12</v>
      </c>
      <c r="E22" t="s">
        <v>2785</v>
      </c>
      <c r="F22" s="1">
        <v>45289</v>
      </c>
      <c r="G22" s="1">
        <v>45295</v>
      </c>
      <c r="H22" s="1">
        <v>45298</v>
      </c>
      <c r="I22">
        <v>4</v>
      </c>
      <c r="J22">
        <v>1599</v>
      </c>
      <c r="K22">
        <v>0</v>
      </c>
      <c r="L22">
        <v>0</v>
      </c>
      <c r="M22">
        <v>6396</v>
      </c>
      <c r="N22">
        <v>3196</v>
      </c>
      <c r="O22" t="s">
        <v>2749</v>
      </c>
      <c r="P22" t="s">
        <v>2770</v>
      </c>
      <c r="Q22" t="s">
        <v>2758</v>
      </c>
      <c r="R22" t="s">
        <v>188</v>
      </c>
      <c r="S22">
        <v>3</v>
      </c>
      <c r="T22">
        <v>2023</v>
      </c>
      <c r="U22" t="s">
        <v>2763</v>
      </c>
      <c r="V22" t="s">
        <v>2764</v>
      </c>
      <c r="W22">
        <v>6</v>
      </c>
      <c r="X2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2" t="str">
        <f>IF(orders[[#This Row],[Revenue]]&gt;AVERAGE(orders[Revenue])+3*STDEV(orders[Revenue]),"High Outlier",
 IF(orders[[#This Row],[Revenue]]&lt;AVERAGE(orders[Revenue])-3*STDEV(orders[Revenue]),"Low Outlier",
 "Normal"))</f>
        <v>Normal</v>
      </c>
      <c r="Z22">
        <f ca="1" xml:space="preserve"> _xlfn.DAYS(TODAY(), orders[[#This Row],[OrderDate]])</f>
        <v>853</v>
      </c>
      <c r="AA22"/>
    </row>
    <row r="23" spans="1:27">
      <c r="A23" t="s">
        <v>2803</v>
      </c>
      <c r="B23" t="s">
        <v>1418</v>
      </c>
      <c r="C23" t="s">
        <v>3405</v>
      </c>
      <c r="D23" t="str">
        <f>TEXT(orders[[#This Row],[OrderDate]], "YYYY-MM")</f>
        <v>2022-12</v>
      </c>
      <c r="E23" t="s">
        <v>2804</v>
      </c>
      <c r="F23" s="1">
        <v>44905</v>
      </c>
      <c r="I23">
        <v>3</v>
      </c>
      <c r="J23">
        <v>8495</v>
      </c>
      <c r="K23">
        <v>10</v>
      </c>
      <c r="L23">
        <v>2548.5</v>
      </c>
      <c r="M23">
        <v>22936.5</v>
      </c>
      <c r="N23">
        <v>6436.5</v>
      </c>
      <c r="O23" t="s">
        <v>2781</v>
      </c>
      <c r="P23" t="s">
        <v>2778</v>
      </c>
      <c r="Q23" t="s">
        <v>2758</v>
      </c>
      <c r="R23" t="s">
        <v>46</v>
      </c>
      <c r="T23">
        <v>2022</v>
      </c>
      <c r="U23" t="s">
        <v>2763</v>
      </c>
      <c r="V23" t="s">
        <v>2764</v>
      </c>
      <c r="X2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3" t="str">
        <f>IF(orders[[#This Row],[Revenue]]&gt;AVERAGE(orders[Revenue])+3*STDEV(orders[Revenue]),"High Outlier",
 IF(orders[[#This Row],[Revenue]]&lt;AVERAGE(orders[Revenue])-3*STDEV(orders[Revenue]),"Low Outlier",
 "Normal"))</f>
        <v>Normal</v>
      </c>
      <c r="Z23">
        <f ca="1" xml:space="preserve"> _xlfn.DAYS(TODAY(), orders[[#This Row],[OrderDate]])</f>
        <v>1237</v>
      </c>
      <c r="AA23"/>
    </row>
    <row r="24" spans="1:27">
      <c r="A24" t="s">
        <v>2805</v>
      </c>
      <c r="B24" t="s">
        <v>1692</v>
      </c>
      <c r="C24" t="s">
        <v>3366</v>
      </c>
      <c r="D24" t="str">
        <f>TEXT(orders[[#This Row],[OrderDate]], "YYYY-MM")</f>
        <v>2022-06</v>
      </c>
      <c r="E24" t="s">
        <v>2804</v>
      </c>
      <c r="F24" s="1">
        <v>44724</v>
      </c>
      <c r="G24" s="1">
        <v>44727</v>
      </c>
      <c r="H24" s="1">
        <v>44728</v>
      </c>
      <c r="I24">
        <v>3</v>
      </c>
      <c r="J24">
        <v>19999</v>
      </c>
      <c r="K24">
        <v>10</v>
      </c>
      <c r="L24">
        <v>5999.7</v>
      </c>
      <c r="M24">
        <v>53997.3</v>
      </c>
      <c r="N24">
        <v>14997.3</v>
      </c>
      <c r="O24" t="s">
        <v>2749</v>
      </c>
      <c r="P24" t="s">
        <v>2778</v>
      </c>
      <c r="Q24" t="s">
        <v>2794</v>
      </c>
      <c r="R24" t="s">
        <v>46</v>
      </c>
      <c r="S24">
        <v>3</v>
      </c>
      <c r="T24">
        <v>2022</v>
      </c>
      <c r="U24" t="s">
        <v>2771</v>
      </c>
      <c r="V24" t="s">
        <v>2767</v>
      </c>
      <c r="W24">
        <v>3</v>
      </c>
      <c r="X2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4" t="str">
        <f>IF(orders[[#This Row],[Revenue]]&gt;AVERAGE(orders[Revenue])+3*STDEV(orders[Revenue]),"High Outlier",
 IF(orders[[#This Row],[Revenue]]&lt;AVERAGE(orders[Revenue])-3*STDEV(orders[Revenue]),"Low Outlier",
 "Normal"))</f>
        <v>Normal</v>
      </c>
      <c r="Z24">
        <f ca="1" xml:space="preserve"> _xlfn.DAYS(TODAY(), orders[[#This Row],[OrderDate]])</f>
        <v>1418</v>
      </c>
      <c r="AA24"/>
    </row>
    <row r="25" spans="1:27">
      <c r="A25" t="s">
        <v>2806</v>
      </c>
      <c r="B25" t="s">
        <v>1780</v>
      </c>
      <c r="C25" t="s">
        <v>3405</v>
      </c>
      <c r="D25" t="str">
        <f>TEXT(orders[[#This Row],[OrderDate]], "YYYY-MM")</f>
        <v>2023-07</v>
      </c>
      <c r="E25" t="s">
        <v>2769</v>
      </c>
      <c r="F25" s="1">
        <v>45117</v>
      </c>
      <c r="G25" s="1">
        <v>45124</v>
      </c>
      <c r="H25" s="1">
        <v>45126</v>
      </c>
      <c r="I25">
        <v>5</v>
      </c>
      <c r="J25">
        <v>8495</v>
      </c>
      <c r="K25">
        <v>20</v>
      </c>
      <c r="L25">
        <v>8495</v>
      </c>
      <c r="M25">
        <v>33980</v>
      </c>
      <c r="N25">
        <v>6480</v>
      </c>
      <c r="O25" t="s">
        <v>2749</v>
      </c>
      <c r="P25" t="s">
        <v>2770</v>
      </c>
      <c r="Q25" t="s">
        <v>2751</v>
      </c>
      <c r="R25" t="s">
        <v>46</v>
      </c>
      <c r="S25">
        <v>2</v>
      </c>
      <c r="T25">
        <v>2023</v>
      </c>
      <c r="U25" t="s">
        <v>2792</v>
      </c>
      <c r="V25" t="s">
        <v>2774</v>
      </c>
      <c r="W25">
        <v>7</v>
      </c>
      <c r="X2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5" t="str">
        <f>IF(orders[[#This Row],[Revenue]]&gt;AVERAGE(orders[Revenue])+3*STDEV(orders[Revenue]),"High Outlier",
 IF(orders[[#This Row],[Revenue]]&lt;AVERAGE(orders[Revenue])-3*STDEV(orders[Revenue]),"Low Outlier",
 "Normal"))</f>
        <v>Normal</v>
      </c>
      <c r="Z25">
        <f ca="1" xml:space="preserve"> _xlfn.DAYS(TODAY(), orders[[#This Row],[OrderDate]])</f>
        <v>1025</v>
      </c>
      <c r="AA25"/>
    </row>
    <row r="26" spans="1:27">
      <c r="A26" t="s">
        <v>2807</v>
      </c>
      <c r="B26" t="s">
        <v>659</v>
      </c>
      <c r="C26" t="s">
        <v>3298</v>
      </c>
      <c r="D26" t="str">
        <f>TEXT(orders[[#This Row],[OrderDate]], "YYYY-MM")</f>
        <v>2023-04</v>
      </c>
      <c r="E26" t="s">
        <v>2804</v>
      </c>
      <c r="F26" s="1">
        <v>45042</v>
      </c>
      <c r="I26">
        <v>3</v>
      </c>
      <c r="J26">
        <v>79999</v>
      </c>
      <c r="K26">
        <v>0</v>
      </c>
      <c r="L26">
        <v>0</v>
      </c>
      <c r="M26">
        <v>239997</v>
      </c>
      <c r="N26">
        <v>74997</v>
      </c>
      <c r="O26" t="s">
        <v>2781</v>
      </c>
      <c r="P26" t="s">
        <v>2782</v>
      </c>
      <c r="Q26" t="s">
        <v>2779</v>
      </c>
      <c r="R26" t="s">
        <v>46</v>
      </c>
      <c r="T26">
        <v>2023</v>
      </c>
      <c r="U26" t="s">
        <v>2783</v>
      </c>
      <c r="V26" t="s">
        <v>2767</v>
      </c>
      <c r="X2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6" t="str">
        <f>IF(orders[[#This Row],[Revenue]]&gt;AVERAGE(orders[Revenue])+3*STDEV(orders[Revenue]),"High Outlier",
 IF(orders[[#This Row],[Revenue]]&lt;AVERAGE(orders[Revenue])-3*STDEV(orders[Revenue]),"Low Outlier",
 "Normal"))</f>
        <v>Normal</v>
      </c>
      <c r="Z26">
        <f ca="1" xml:space="preserve"> _xlfn.DAYS(TODAY(), orders[[#This Row],[OrderDate]])</f>
        <v>1100</v>
      </c>
      <c r="AA26"/>
    </row>
    <row r="27" spans="1:27">
      <c r="A27" t="s">
        <v>2808</v>
      </c>
      <c r="B27" t="s">
        <v>1244</v>
      </c>
      <c r="C27" t="s">
        <v>3319</v>
      </c>
      <c r="D27" t="str">
        <f>TEXT(orders[[#This Row],[OrderDate]], "YYYY-MM")</f>
        <v>2022-05</v>
      </c>
      <c r="E27" t="s">
        <v>2809</v>
      </c>
      <c r="F27" s="1">
        <v>44692</v>
      </c>
      <c r="G27" s="1">
        <v>44697</v>
      </c>
      <c r="H27" s="1">
        <v>44697</v>
      </c>
      <c r="I27">
        <v>1</v>
      </c>
      <c r="J27">
        <v>55990</v>
      </c>
      <c r="K27">
        <v>10</v>
      </c>
      <c r="L27">
        <v>5599</v>
      </c>
      <c r="M27">
        <v>50391</v>
      </c>
      <c r="N27">
        <v>10391</v>
      </c>
      <c r="O27" t="s">
        <v>2749</v>
      </c>
      <c r="P27" t="s">
        <v>2761</v>
      </c>
      <c r="Q27" t="s">
        <v>2762</v>
      </c>
      <c r="R27" t="s">
        <v>24</v>
      </c>
      <c r="S27">
        <v>1</v>
      </c>
      <c r="T27">
        <v>2022</v>
      </c>
      <c r="U27" t="s">
        <v>2766</v>
      </c>
      <c r="V27" t="s">
        <v>2767</v>
      </c>
      <c r="W27">
        <v>5</v>
      </c>
      <c r="X2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7" t="str">
        <f>IF(orders[[#This Row],[Revenue]]&gt;AVERAGE(orders[Revenue])+3*STDEV(orders[Revenue]),"High Outlier",
 IF(orders[[#This Row],[Revenue]]&lt;AVERAGE(orders[Revenue])-3*STDEV(orders[Revenue]),"Low Outlier",
 "Normal"))</f>
        <v>Normal</v>
      </c>
      <c r="Z27">
        <f ca="1" xml:space="preserve"> _xlfn.DAYS(TODAY(), orders[[#This Row],[OrderDate]])</f>
        <v>1450</v>
      </c>
      <c r="AA27"/>
    </row>
    <row r="28" spans="1:27">
      <c r="A28" t="s">
        <v>2810</v>
      </c>
      <c r="B28" t="s">
        <v>884</v>
      </c>
      <c r="C28" t="s">
        <v>3399</v>
      </c>
      <c r="D28" t="str">
        <f>TEXT(orders[[#This Row],[OrderDate]], "YYYY-MM")</f>
        <v>2022-06</v>
      </c>
      <c r="E28" t="s">
        <v>2804</v>
      </c>
      <c r="F28" s="1">
        <v>44734</v>
      </c>
      <c r="I28">
        <v>4</v>
      </c>
      <c r="J28">
        <v>3499</v>
      </c>
      <c r="K28">
        <v>5</v>
      </c>
      <c r="L28">
        <v>699.8</v>
      </c>
      <c r="M28">
        <v>13296.2</v>
      </c>
      <c r="N28">
        <v>6096.2</v>
      </c>
      <c r="O28" t="s">
        <v>2781</v>
      </c>
      <c r="P28" t="s">
        <v>2782</v>
      </c>
      <c r="Q28" t="s">
        <v>2779</v>
      </c>
      <c r="R28" t="s">
        <v>46</v>
      </c>
      <c r="T28">
        <v>2022</v>
      </c>
      <c r="U28" t="s">
        <v>2771</v>
      </c>
      <c r="V28" t="s">
        <v>2767</v>
      </c>
      <c r="X2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8" t="str">
        <f>IF(orders[[#This Row],[Revenue]]&gt;AVERAGE(orders[Revenue])+3*STDEV(orders[Revenue]),"High Outlier",
 IF(orders[[#This Row],[Revenue]]&lt;AVERAGE(orders[Revenue])-3*STDEV(orders[Revenue]),"Low Outlier",
 "Normal"))</f>
        <v>Normal</v>
      </c>
      <c r="Z28">
        <f ca="1" xml:space="preserve"> _xlfn.DAYS(TODAY(), orders[[#This Row],[OrderDate]])</f>
        <v>1408</v>
      </c>
      <c r="AA28"/>
    </row>
    <row r="29" spans="1:27">
      <c r="A29" t="s">
        <v>2811</v>
      </c>
      <c r="B29" t="s">
        <v>2119</v>
      </c>
      <c r="C29" t="s">
        <v>3350</v>
      </c>
      <c r="D29" t="str">
        <f>TEXT(orders[[#This Row],[OrderDate]], "YYYY-MM")</f>
        <v>2022-09</v>
      </c>
      <c r="E29" t="s">
        <v>2769</v>
      </c>
      <c r="F29" s="1">
        <v>44820</v>
      </c>
      <c r="G29" s="1">
        <v>44825</v>
      </c>
      <c r="H29" s="1">
        <v>44826</v>
      </c>
      <c r="I29">
        <v>1</v>
      </c>
      <c r="J29">
        <v>12999</v>
      </c>
      <c r="K29">
        <v>0</v>
      </c>
      <c r="L29">
        <v>0</v>
      </c>
      <c r="M29">
        <v>12999</v>
      </c>
      <c r="N29">
        <v>4999</v>
      </c>
      <c r="O29" t="s">
        <v>2749</v>
      </c>
      <c r="P29" t="s">
        <v>2778</v>
      </c>
      <c r="Q29" t="s">
        <v>2794</v>
      </c>
      <c r="R29" t="s">
        <v>46</v>
      </c>
      <c r="S29">
        <v>3</v>
      </c>
      <c r="T29">
        <v>2022</v>
      </c>
      <c r="U29" t="s">
        <v>2790</v>
      </c>
      <c r="V29" t="s">
        <v>2774</v>
      </c>
      <c r="W29">
        <v>5</v>
      </c>
      <c r="X2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9" t="str">
        <f>IF(orders[[#This Row],[Revenue]]&gt;AVERAGE(orders[Revenue])+3*STDEV(orders[Revenue]),"High Outlier",
 IF(orders[[#This Row],[Revenue]]&lt;AVERAGE(orders[Revenue])-3*STDEV(orders[Revenue]),"Low Outlier",
 "Normal"))</f>
        <v>Normal</v>
      </c>
      <c r="Z29">
        <f ca="1" xml:space="preserve"> _xlfn.DAYS(TODAY(), orders[[#This Row],[OrderDate]])</f>
        <v>1322</v>
      </c>
      <c r="AA29"/>
    </row>
    <row r="30" spans="1:27">
      <c r="A30" t="s">
        <v>2812</v>
      </c>
      <c r="B30" t="s">
        <v>2439</v>
      </c>
      <c r="C30" t="s">
        <v>3379</v>
      </c>
      <c r="D30" t="str">
        <f>TEXT(orders[[#This Row],[OrderDate]], "YYYY-MM")</f>
        <v>2023-07</v>
      </c>
      <c r="E30" t="s">
        <v>2813</v>
      </c>
      <c r="F30" s="1">
        <v>45119</v>
      </c>
      <c r="I30">
        <v>4</v>
      </c>
      <c r="J30">
        <v>29999</v>
      </c>
      <c r="K30">
        <v>0</v>
      </c>
      <c r="L30">
        <v>0</v>
      </c>
      <c r="M30">
        <v>119996</v>
      </c>
      <c r="N30">
        <v>39996</v>
      </c>
      <c r="O30" t="s">
        <v>2756</v>
      </c>
      <c r="P30" t="s">
        <v>2778</v>
      </c>
      <c r="Q30" t="s">
        <v>2758</v>
      </c>
      <c r="R30" t="s">
        <v>76</v>
      </c>
      <c r="T30">
        <v>2023</v>
      </c>
      <c r="U30" t="s">
        <v>2792</v>
      </c>
      <c r="V30" t="s">
        <v>2774</v>
      </c>
      <c r="X3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0" t="str">
        <f>IF(orders[[#This Row],[Revenue]]&gt;AVERAGE(orders[Revenue])+3*STDEV(orders[Revenue]),"High Outlier",
 IF(orders[[#This Row],[Revenue]]&lt;AVERAGE(orders[Revenue])-3*STDEV(orders[Revenue]),"Low Outlier",
 "Normal"))</f>
        <v>Normal</v>
      </c>
      <c r="Z30">
        <f ca="1" xml:space="preserve"> _xlfn.DAYS(TODAY(), orders[[#This Row],[OrderDate]])</f>
        <v>1023</v>
      </c>
      <c r="AA30"/>
    </row>
    <row r="31" spans="1:27">
      <c r="A31" t="s">
        <v>2814</v>
      </c>
      <c r="B31" t="s">
        <v>637</v>
      </c>
      <c r="C31" t="s">
        <v>3394</v>
      </c>
      <c r="D31" t="str">
        <f>TEXT(orders[[#This Row],[OrderDate]], "YYYY-MM")</f>
        <v>2024-06</v>
      </c>
      <c r="E31" t="s">
        <v>2755</v>
      </c>
      <c r="F31" s="1">
        <v>45452</v>
      </c>
      <c r="I31">
        <v>5</v>
      </c>
      <c r="J31">
        <v>2499</v>
      </c>
      <c r="K31">
        <v>5</v>
      </c>
      <c r="L31">
        <v>624.75</v>
      </c>
      <c r="M31">
        <v>11870.25</v>
      </c>
      <c r="N31">
        <v>5870.25</v>
      </c>
      <c r="O31" t="s">
        <v>2756</v>
      </c>
      <c r="P31" t="s">
        <v>2750</v>
      </c>
      <c r="Q31" t="s">
        <v>2751</v>
      </c>
      <c r="R31" t="s">
        <v>24</v>
      </c>
      <c r="T31">
        <v>2024</v>
      </c>
      <c r="U31" t="s">
        <v>2771</v>
      </c>
      <c r="V31" t="s">
        <v>2767</v>
      </c>
      <c r="X3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1" t="str">
        <f>IF(orders[[#This Row],[Revenue]]&gt;AVERAGE(orders[Revenue])+3*STDEV(orders[Revenue]),"High Outlier",
 IF(orders[[#This Row],[Revenue]]&lt;AVERAGE(orders[Revenue])-3*STDEV(orders[Revenue]),"Low Outlier",
 "Normal"))</f>
        <v>Normal</v>
      </c>
      <c r="Z31">
        <f ca="1" xml:space="preserve"> _xlfn.DAYS(TODAY(), orders[[#This Row],[OrderDate]])</f>
        <v>690</v>
      </c>
      <c r="AA31"/>
    </row>
    <row r="32" spans="1:27">
      <c r="A32" t="s">
        <v>2815</v>
      </c>
      <c r="B32" t="s">
        <v>1613</v>
      </c>
      <c r="C32" t="s">
        <v>3340</v>
      </c>
      <c r="D32" t="str">
        <f>TEXT(orders[[#This Row],[OrderDate]], "YYYY-MM")</f>
        <v>2024-06</v>
      </c>
      <c r="E32" t="s">
        <v>2809</v>
      </c>
      <c r="F32" s="1">
        <v>45466</v>
      </c>
      <c r="G32" s="1">
        <v>45469</v>
      </c>
      <c r="H32" s="1">
        <v>45472</v>
      </c>
      <c r="I32">
        <v>3</v>
      </c>
      <c r="J32">
        <v>6999</v>
      </c>
      <c r="K32">
        <v>0</v>
      </c>
      <c r="L32">
        <v>0</v>
      </c>
      <c r="M32">
        <v>20997</v>
      </c>
      <c r="N32">
        <v>8397</v>
      </c>
      <c r="O32" t="s">
        <v>2749</v>
      </c>
      <c r="P32" t="s">
        <v>2750</v>
      </c>
      <c r="Q32" t="s">
        <v>2762</v>
      </c>
      <c r="R32" t="s">
        <v>24</v>
      </c>
      <c r="S32">
        <v>1</v>
      </c>
      <c r="T32">
        <v>2024</v>
      </c>
      <c r="U32" t="s">
        <v>2771</v>
      </c>
      <c r="V32" t="s">
        <v>2767</v>
      </c>
      <c r="W32">
        <v>3</v>
      </c>
      <c r="X3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2" t="str">
        <f>IF(orders[[#This Row],[Revenue]]&gt;AVERAGE(orders[Revenue])+3*STDEV(orders[Revenue]),"High Outlier",
 IF(orders[[#This Row],[Revenue]]&lt;AVERAGE(orders[Revenue])-3*STDEV(orders[Revenue]),"Low Outlier",
 "Normal"))</f>
        <v>Normal</v>
      </c>
      <c r="Z32">
        <f ca="1" xml:space="preserve"> _xlfn.DAYS(TODAY(), orders[[#This Row],[OrderDate]])</f>
        <v>676</v>
      </c>
      <c r="AA32"/>
    </row>
    <row r="33" spans="1:27">
      <c r="A33" t="s">
        <v>2816</v>
      </c>
      <c r="B33" t="s">
        <v>1568</v>
      </c>
      <c r="C33" t="s">
        <v>3423</v>
      </c>
      <c r="D33" t="str">
        <f>TEXT(orders[[#This Row],[OrderDate]], "YYYY-MM")</f>
        <v>2023-12</v>
      </c>
      <c r="E33" t="s">
        <v>2804</v>
      </c>
      <c r="F33" s="1">
        <v>45266</v>
      </c>
      <c r="G33" s="1">
        <v>45270</v>
      </c>
      <c r="H33" s="1">
        <v>45270</v>
      </c>
      <c r="I33">
        <v>4</v>
      </c>
      <c r="J33">
        <v>1599</v>
      </c>
      <c r="K33">
        <v>15</v>
      </c>
      <c r="L33">
        <v>959.4</v>
      </c>
      <c r="M33">
        <v>5436.6</v>
      </c>
      <c r="N33">
        <v>2236.6</v>
      </c>
      <c r="O33" t="s">
        <v>2749</v>
      </c>
      <c r="P33" t="s">
        <v>2750</v>
      </c>
      <c r="Q33" t="s">
        <v>2762</v>
      </c>
      <c r="R33" t="s">
        <v>46</v>
      </c>
      <c r="S33">
        <v>4</v>
      </c>
      <c r="T33">
        <v>2023</v>
      </c>
      <c r="U33" t="s">
        <v>2763</v>
      </c>
      <c r="V33" t="s">
        <v>2764</v>
      </c>
      <c r="W33">
        <v>4</v>
      </c>
      <c r="X3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3" t="str">
        <f>IF(orders[[#This Row],[Revenue]]&gt;AVERAGE(orders[Revenue])+3*STDEV(orders[Revenue]),"High Outlier",
 IF(orders[[#This Row],[Revenue]]&lt;AVERAGE(orders[Revenue])-3*STDEV(orders[Revenue]),"Low Outlier",
 "Normal"))</f>
        <v>Normal</v>
      </c>
      <c r="Z33">
        <f ca="1" xml:space="preserve"> _xlfn.DAYS(TODAY(), orders[[#This Row],[OrderDate]])</f>
        <v>876</v>
      </c>
      <c r="AA33"/>
    </row>
    <row r="34" spans="1:27">
      <c r="A34" t="s">
        <v>2817</v>
      </c>
      <c r="B34" t="s">
        <v>2272</v>
      </c>
      <c r="C34" t="s">
        <v>3350</v>
      </c>
      <c r="D34" t="str">
        <f>TEXT(orders[[#This Row],[OrderDate]], "YYYY-MM")</f>
        <v>2022-01</v>
      </c>
      <c r="E34" t="s">
        <v>2809</v>
      </c>
      <c r="F34" s="1">
        <v>44576</v>
      </c>
      <c r="I34">
        <v>3</v>
      </c>
      <c r="J34">
        <v>12999</v>
      </c>
      <c r="K34">
        <v>5</v>
      </c>
      <c r="L34">
        <v>1949.85</v>
      </c>
      <c r="M34">
        <v>37047.15</v>
      </c>
      <c r="N34">
        <v>13047.15</v>
      </c>
      <c r="O34" t="s">
        <v>2756</v>
      </c>
      <c r="P34" t="s">
        <v>2770</v>
      </c>
      <c r="Q34" t="s">
        <v>2758</v>
      </c>
      <c r="R34" t="s">
        <v>24</v>
      </c>
      <c r="T34">
        <v>2022</v>
      </c>
      <c r="U34" t="s">
        <v>2795</v>
      </c>
      <c r="V34" t="s">
        <v>2753</v>
      </c>
      <c r="X3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4" t="str">
        <f>IF(orders[[#This Row],[Revenue]]&gt;AVERAGE(orders[Revenue])+3*STDEV(orders[Revenue]),"High Outlier",
 IF(orders[[#This Row],[Revenue]]&lt;AVERAGE(orders[Revenue])-3*STDEV(orders[Revenue]),"Low Outlier",
 "Normal"))</f>
        <v>Normal</v>
      </c>
      <c r="Z34">
        <f ca="1" xml:space="preserve"> _xlfn.DAYS(TODAY(), orders[[#This Row],[OrderDate]])</f>
        <v>1566</v>
      </c>
      <c r="AA34"/>
    </row>
    <row r="35" spans="1:27">
      <c r="A35" t="s">
        <v>2818</v>
      </c>
      <c r="B35" t="s">
        <v>1346</v>
      </c>
      <c r="C35" t="s">
        <v>3366</v>
      </c>
      <c r="D35" t="str">
        <f>TEXT(orders[[#This Row],[OrderDate]], "YYYY-MM")</f>
        <v>2022-12</v>
      </c>
      <c r="E35" t="s">
        <v>2776</v>
      </c>
      <c r="F35" s="1">
        <v>44896</v>
      </c>
      <c r="I35">
        <v>4</v>
      </c>
      <c r="J35">
        <v>19999</v>
      </c>
      <c r="K35">
        <v>10</v>
      </c>
      <c r="L35">
        <v>7999.6</v>
      </c>
      <c r="M35">
        <v>71996.399999999994</v>
      </c>
      <c r="N35">
        <v>19996.400000000001</v>
      </c>
      <c r="O35" t="s">
        <v>2781</v>
      </c>
      <c r="P35" t="s">
        <v>2782</v>
      </c>
      <c r="Q35" t="s">
        <v>2794</v>
      </c>
      <c r="R35" t="s">
        <v>35</v>
      </c>
      <c r="T35">
        <v>2022</v>
      </c>
      <c r="U35" t="s">
        <v>2763</v>
      </c>
      <c r="V35" t="s">
        <v>2764</v>
      </c>
      <c r="X3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5" t="str">
        <f>IF(orders[[#This Row],[Revenue]]&gt;AVERAGE(orders[Revenue])+3*STDEV(orders[Revenue]),"High Outlier",
 IF(orders[[#This Row],[Revenue]]&lt;AVERAGE(orders[Revenue])-3*STDEV(orders[Revenue]),"Low Outlier",
 "Normal"))</f>
        <v>Normal</v>
      </c>
      <c r="Z35">
        <f ca="1" xml:space="preserve"> _xlfn.DAYS(TODAY(), orders[[#This Row],[OrderDate]])</f>
        <v>1246</v>
      </c>
      <c r="AA35"/>
    </row>
    <row r="36" spans="1:27">
      <c r="A36" t="s">
        <v>2819</v>
      </c>
      <c r="B36" t="s">
        <v>327</v>
      </c>
      <c r="C36" t="s">
        <v>3370</v>
      </c>
      <c r="D36" t="str">
        <f>TEXT(orders[[#This Row],[OrderDate]], "YYYY-MM")</f>
        <v>2024-11</v>
      </c>
      <c r="E36" t="s">
        <v>2809</v>
      </c>
      <c r="F36" s="1">
        <v>45620</v>
      </c>
      <c r="I36">
        <v>3</v>
      </c>
      <c r="J36">
        <v>24999</v>
      </c>
      <c r="K36">
        <v>5</v>
      </c>
      <c r="L36">
        <v>3749.85</v>
      </c>
      <c r="M36">
        <v>71247.149999999994</v>
      </c>
      <c r="N36">
        <v>20247.150000000001</v>
      </c>
      <c r="O36" t="s">
        <v>2756</v>
      </c>
      <c r="P36" t="s">
        <v>2778</v>
      </c>
      <c r="Q36" t="s">
        <v>2758</v>
      </c>
      <c r="R36" t="s">
        <v>24</v>
      </c>
      <c r="T36">
        <v>2024</v>
      </c>
      <c r="U36" t="s">
        <v>2786</v>
      </c>
      <c r="V36" t="s">
        <v>2764</v>
      </c>
      <c r="X3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6" t="str">
        <f>IF(orders[[#This Row],[Revenue]]&gt;AVERAGE(orders[Revenue])+3*STDEV(orders[Revenue]),"High Outlier",
 IF(orders[[#This Row],[Revenue]]&lt;AVERAGE(orders[Revenue])-3*STDEV(orders[Revenue]),"Low Outlier",
 "Normal"))</f>
        <v>Normal</v>
      </c>
      <c r="Z36">
        <f ca="1" xml:space="preserve"> _xlfn.DAYS(TODAY(), orders[[#This Row],[OrderDate]])</f>
        <v>522</v>
      </c>
      <c r="AA36"/>
    </row>
    <row r="37" spans="1:27">
      <c r="A37" t="s">
        <v>2820</v>
      </c>
      <c r="B37" t="s">
        <v>2302</v>
      </c>
      <c r="C37" t="s">
        <v>3345</v>
      </c>
      <c r="D37" t="str">
        <f>TEXT(orders[[#This Row],[OrderDate]], "YYYY-MM")</f>
        <v>2023-01</v>
      </c>
      <c r="E37" t="s">
        <v>2813</v>
      </c>
      <c r="F37" s="1">
        <v>44947</v>
      </c>
      <c r="G37" s="1">
        <v>44949</v>
      </c>
      <c r="H37" s="1">
        <v>44950</v>
      </c>
      <c r="I37">
        <v>3</v>
      </c>
      <c r="J37">
        <v>29900</v>
      </c>
      <c r="K37">
        <v>0</v>
      </c>
      <c r="L37">
        <v>0</v>
      </c>
      <c r="M37">
        <v>89700</v>
      </c>
      <c r="N37">
        <v>29700</v>
      </c>
      <c r="O37" t="s">
        <v>2749</v>
      </c>
      <c r="P37" t="s">
        <v>2778</v>
      </c>
      <c r="Q37" t="s">
        <v>2751</v>
      </c>
      <c r="R37" t="s">
        <v>76</v>
      </c>
      <c r="S37">
        <v>5</v>
      </c>
      <c r="T37">
        <v>2023</v>
      </c>
      <c r="U37" t="s">
        <v>2795</v>
      </c>
      <c r="V37" t="s">
        <v>2753</v>
      </c>
      <c r="W37">
        <v>2</v>
      </c>
      <c r="X3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7" t="str">
        <f>IF(orders[[#This Row],[Revenue]]&gt;AVERAGE(orders[Revenue])+3*STDEV(orders[Revenue]),"High Outlier",
 IF(orders[[#This Row],[Revenue]]&lt;AVERAGE(orders[Revenue])-3*STDEV(orders[Revenue]),"Low Outlier",
 "Normal"))</f>
        <v>Normal</v>
      </c>
      <c r="Z37">
        <f ca="1" xml:space="preserve"> _xlfn.DAYS(TODAY(), orders[[#This Row],[OrderDate]])</f>
        <v>1195</v>
      </c>
      <c r="AA37"/>
    </row>
    <row r="38" spans="1:27">
      <c r="A38" t="s">
        <v>2821</v>
      </c>
      <c r="B38" t="s">
        <v>1388</v>
      </c>
      <c r="C38" t="s">
        <v>3345</v>
      </c>
      <c r="D38" t="str">
        <f>TEXT(orders[[#This Row],[OrderDate]], "YYYY-MM")</f>
        <v>2023-01</v>
      </c>
      <c r="E38" t="s">
        <v>2755</v>
      </c>
      <c r="F38" s="1">
        <v>44946</v>
      </c>
      <c r="G38" s="1">
        <v>44947</v>
      </c>
      <c r="H38" s="1">
        <v>44948</v>
      </c>
      <c r="I38">
        <v>1</v>
      </c>
      <c r="J38">
        <v>29900</v>
      </c>
      <c r="K38">
        <v>20</v>
      </c>
      <c r="L38">
        <v>5980</v>
      </c>
      <c r="M38">
        <v>23920</v>
      </c>
      <c r="N38">
        <v>3920</v>
      </c>
      <c r="O38" t="s">
        <v>2749</v>
      </c>
      <c r="P38" t="s">
        <v>2757</v>
      </c>
      <c r="Q38" t="s">
        <v>2779</v>
      </c>
      <c r="R38" t="s">
        <v>24</v>
      </c>
      <c r="S38">
        <v>1</v>
      </c>
      <c r="T38">
        <v>2023</v>
      </c>
      <c r="U38" t="s">
        <v>2795</v>
      </c>
      <c r="V38" t="s">
        <v>2753</v>
      </c>
      <c r="W38">
        <v>1</v>
      </c>
      <c r="X3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8" t="str">
        <f>IF(orders[[#This Row],[Revenue]]&gt;AVERAGE(orders[Revenue])+3*STDEV(orders[Revenue]),"High Outlier",
 IF(orders[[#This Row],[Revenue]]&lt;AVERAGE(orders[Revenue])-3*STDEV(orders[Revenue]),"Low Outlier",
 "Normal"))</f>
        <v>Normal</v>
      </c>
      <c r="Z38">
        <f ca="1" xml:space="preserve"> _xlfn.DAYS(TODAY(), orders[[#This Row],[OrderDate]])</f>
        <v>1196</v>
      </c>
      <c r="AA38"/>
    </row>
    <row r="39" spans="1:27">
      <c r="A39" t="s">
        <v>2822</v>
      </c>
      <c r="B39" t="s">
        <v>939</v>
      </c>
      <c r="C39" t="s">
        <v>3345</v>
      </c>
      <c r="D39" t="str">
        <f>TEXT(orders[[#This Row],[OrderDate]], "YYYY-MM")</f>
        <v>2024-06</v>
      </c>
      <c r="E39" t="s">
        <v>2809</v>
      </c>
      <c r="F39" s="1">
        <v>45459</v>
      </c>
      <c r="I39">
        <v>1</v>
      </c>
      <c r="J39">
        <v>29900</v>
      </c>
      <c r="K39">
        <v>5</v>
      </c>
      <c r="L39">
        <v>1495</v>
      </c>
      <c r="M39">
        <v>28405</v>
      </c>
      <c r="N39">
        <v>8405</v>
      </c>
      <c r="O39" t="s">
        <v>2781</v>
      </c>
      <c r="P39" t="s">
        <v>2757</v>
      </c>
      <c r="Q39" t="s">
        <v>2779</v>
      </c>
      <c r="R39" t="s">
        <v>24</v>
      </c>
      <c r="T39">
        <v>2024</v>
      </c>
      <c r="U39" t="s">
        <v>2771</v>
      </c>
      <c r="V39" t="s">
        <v>2767</v>
      </c>
      <c r="X3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9" t="str">
        <f>IF(orders[[#This Row],[Revenue]]&gt;AVERAGE(orders[Revenue])+3*STDEV(orders[Revenue]),"High Outlier",
 IF(orders[[#This Row],[Revenue]]&lt;AVERAGE(orders[Revenue])-3*STDEV(orders[Revenue]),"Low Outlier",
 "Normal"))</f>
        <v>Normal</v>
      </c>
      <c r="Z39">
        <f ca="1" xml:space="preserve"> _xlfn.DAYS(TODAY(), orders[[#This Row],[OrderDate]])</f>
        <v>683</v>
      </c>
      <c r="AA39"/>
    </row>
    <row r="40" spans="1:27">
      <c r="A40" t="s">
        <v>2823</v>
      </c>
      <c r="B40" t="s">
        <v>87</v>
      </c>
      <c r="C40" t="s">
        <v>3379</v>
      </c>
      <c r="D40" t="str">
        <f>TEXT(orders[[#This Row],[OrderDate]], "YYYY-MM")</f>
        <v>2023-12</v>
      </c>
      <c r="E40" t="s">
        <v>2804</v>
      </c>
      <c r="F40" s="1">
        <v>45262</v>
      </c>
      <c r="G40" s="1">
        <v>45265</v>
      </c>
      <c r="H40" s="1">
        <v>45268</v>
      </c>
      <c r="I40">
        <v>3</v>
      </c>
      <c r="J40">
        <v>29999</v>
      </c>
      <c r="K40">
        <v>15</v>
      </c>
      <c r="L40">
        <v>13499.55</v>
      </c>
      <c r="M40">
        <v>76497.45</v>
      </c>
      <c r="N40">
        <v>16497.45</v>
      </c>
      <c r="O40" t="s">
        <v>2749</v>
      </c>
      <c r="P40" t="s">
        <v>2778</v>
      </c>
      <c r="Q40" t="s">
        <v>2762</v>
      </c>
      <c r="R40" t="s">
        <v>46</v>
      </c>
      <c r="S40">
        <v>3</v>
      </c>
      <c r="T40">
        <v>2023</v>
      </c>
      <c r="U40" t="s">
        <v>2763</v>
      </c>
      <c r="V40" t="s">
        <v>2764</v>
      </c>
      <c r="W40">
        <v>3</v>
      </c>
      <c r="X4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0" t="str">
        <f>IF(orders[[#This Row],[Revenue]]&gt;AVERAGE(orders[Revenue])+3*STDEV(orders[Revenue]),"High Outlier",
 IF(orders[[#This Row],[Revenue]]&lt;AVERAGE(orders[Revenue])-3*STDEV(orders[Revenue]),"Low Outlier",
 "Normal"))</f>
        <v>Normal</v>
      </c>
      <c r="Z40">
        <f ca="1" xml:space="preserve"> _xlfn.DAYS(TODAY(), orders[[#This Row],[OrderDate]])</f>
        <v>880</v>
      </c>
      <c r="AA40"/>
    </row>
    <row r="41" spans="1:27">
      <c r="A41" t="s">
        <v>2824</v>
      </c>
      <c r="B41" t="s">
        <v>335</v>
      </c>
      <c r="C41" t="s">
        <v>3423</v>
      </c>
      <c r="D41" t="str">
        <f>TEXT(orders[[#This Row],[OrderDate]], "YYYY-MM")</f>
        <v>2022-04</v>
      </c>
      <c r="E41" t="s">
        <v>2809</v>
      </c>
      <c r="F41" s="1">
        <v>44676</v>
      </c>
      <c r="G41" s="1">
        <v>44683</v>
      </c>
      <c r="H41" s="1">
        <v>44686</v>
      </c>
      <c r="I41">
        <v>1</v>
      </c>
      <c r="J41">
        <v>1599</v>
      </c>
      <c r="K41">
        <v>20</v>
      </c>
      <c r="L41">
        <v>319.8</v>
      </c>
      <c r="M41">
        <v>1279.2</v>
      </c>
      <c r="N41">
        <v>479.2</v>
      </c>
      <c r="O41" t="s">
        <v>2749</v>
      </c>
      <c r="P41" t="s">
        <v>2770</v>
      </c>
      <c r="Q41" t="s">
        <v>2779</v>
      </c>
      <c r="R41" t="s">
        <v>24</v>
      </c>
      <c r="S41">
        <v>2</v>
      </c>
      <c r="T41">
        <v>2022</v>
      </c>
      <c r="U41" t="s">
        <v>2783</v>
      </c>
      <c r="V41" t="s">
        <v>2767</v>
      </c>
      <c r="W41">
        <v>7</v>
      </c>
      <c r="X4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1" t="str">
        <f>IF(orders[[#This Row],[Revenue]]&gt;AVERAGE(orders[Revenue])+3*STDEV(orders[Revenue]),"High Outlier",
 IF(orders[[#This Row],[Revenue]]&lt;AVERAGE(orders[Revenue])-3*STDEV(orders[Revenue]),"Low Outlier",
 "Normal"))</f>
        <v>Normal</v>
      </c>
      <c r="Z41">
        <f ca="1" xml:space="preserve"> _xlfn.DAYS(TODAY(), orders[[#This Row],[OrderDate]])</f>
        <v>1466</v>
      </c>
      <c r="AA41"/>
    </row>
    <row r="42" spans="1:27">
      <c r="A42" t="s">
        <v>2825</v>
      </c>
      <c r="B42" t="s">
        <v>2519</v>
      </c>
      <c r="C42" t="s">
        <v>3345</v>
      </c>
      <c r="D42" t="str">
        <f>TEXT(orders[[#This Row],[OrderDate]], "YYYY-MM")</f>
        <v>2022-01</v>
      </c>
      <c r="E42" t="s">
        <v>2769</v>
      </c>
      <c r="F42" s="1">
        <v>44587</v>
      </c>
      <c r="G42" s="1">
        <v>44594</v>
      </c>
      <c r="H42" s="1">
        <v>44595</v>
      </c>
      <c r="I42">
        <v>4</v>
      </c>
      <c r="J42">
        <v>29900</v>
      </c>
      <c r="K42">
        <v>15</v>
      </c>
      <c r="L42">
        <v>17940</v>
      </c>
      <c r="M42">
        <v>101660</v>
      </c>
      <c r="N42">
        <v>21660</v>
      </c>
      <c r="O42" t="s">
        <v>2749</v>
      </c>
      <c r="P42" t="s">
        <v>2782</v>
      </c>
      <c r="Q42" t="s">
        <v>2762</v>
      </c>
      <c r="R42" t="s">
        <v>46</v>
      </c>
      <c r="S42">
        <v>2</v>
      </c>
      <c r="T42">
        <v>2022</v>
      </c>
      <c r="U42" t="s">
        <v>2795</v>
      </c>
      <c r="V42" t="s">
        <v>2753</v>
      </c>
      <c r="W42">
        <v>7</v>
      </c>
      <c r="X4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2" t="str">
        <f>IF(orders[[#This Row],[Revenue]]&gt;AVERAGE(orders[Revenue])+3*STDEV(orders[Revenue]),"High Outlier",
 IF(orders[[#This Row],[Revenue]]&lt;AVERAGE(orders[Revenue])-3*STDEV(orders[Revenue]),"Low Outlier",
 "Normal"))</f>
        <v>Normal</v>
      </c>
      <c r="Z42">
        <f ca="1" xml:space="preserve"> _xlfn.DAYS(TODAY(), orders[[#This Row],[OrderDate]])</f>
        <v>1555</v>
      </c>
      <c r="AA42"/>
    </row>
    <row r="43" spans="1:27">
      <c r="A43" t="s">
        <v>2826</v>
      </c>
      <c r="B43" t="s">
        <v>1408</v>
      </c>
      <c r="C43" t="s">
        <v>3418</v>
      </c>
      <c r="D43" t="str">
        <f>TEXT(orders[[#This Row],[OrderDate]], "YYYY-MM")</f>
        <v>2024-12</v>
      </c>
      <c r="E43" t="s">
        <v>2748</v>
      </c>
      <c r="F43" s="1">
        <v>45629</v>
      </c>
      <c r="I43">
        <v>2</v>
      </c>
      <c r="J43">
        <v>4999</v>
      </c>
      <c r="K43">
        <v>15</v>
      </c>
      <c r="L43">
        <v>1499.7</v>
      </c>
      <c r="M43">
        <v>8498.2999999999993</v>
      </c>
      <c r="N43">
        <v>2898.3</v>
      </c>
      <c r="O43" t="s">
        <v>2781</v>
      </c>
      <c r="P43" t="s">
        <v>2770</v>
      </c>
      <c r="Q43" t="s">
        <v>2794</v>
      </c>
      <c r="R43" t="s">
        <v>188</v>
      </c>
      <c r="T43">
        <v>2024</v>
      </c>
      <c r="U43" t="s">
        <v>2763</v>
      </c>
      <c r="V43" t="s">
        <v>2764</v>
      </c>
      <c r="X4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3" t="str">
        <f>IF(orders[[#This Row],[Revenue]]&gt;AVERAGE(orders[Revenue])+3*STDEV(orders[Revenue]),"High Outlier",
 IF(orders[[#This Row],[Revenue]]&lt;AVERAGE(orders[Revenue])-3*STDEV(orders[Revenue]),"Low Outlier",
 "Normal"))</f>
        <v>Normal</v>
      </c>
      <c r="Z43">
        <f ca="1" xml:space="preserve"> _xlfn.DAYS(TODAY(), orders[[#This Row],[OrderDate]])</f>
        <v>513</v>
      </c>
      <c r="AA43"/>
    </row>
    <row r="44" spans="1:27">
      <c r="A44" t="s">
        <v>2827</v>
      </c>
      <c r="B44" t="s">
        <v>2625</v>
      </c>
      <c r="C44" t="s">
        <v>3356</v>
      </c>
      <c r="D44" t="str">
        <f>TEXT(orders[[#This Row],[OrderDate]], "YYYY-MM")</f>
        <v>2022-03</v>
      </c>
      <c r="E44" t="s">
        <v>2748</v>
      </c>
      <c r="F44" s="1">
        <v>44648</v>
      </c>
      <c r="I44">
        <v>5</v>
      </c>
      <c r="J44">
        <v>9999</v>
      </c>
      <c r="K44">
        <v>20</v>
      </c>
      <c r="L44">
        <v>9999</v>
      </c>
      <c r="M44">
        <v>39996</v>
      </c>
      <c r="N44">
        <v>7496</v>
      </c>
      <c r="O44" t="s">
        <v>2781</v>
      </c>
      <c r="P44" t="s">
        <v>2757</v>
      </c>
      <c r="Q44" t="s">
        <v>2794</v>
      </c>
      <c r="R44" t="s">
        <v>188</v>
      </c>
      <c r="T44">
        <v>2022</v>
      </c>
      <c r="U44" t="s">
        <v>2752</v>
      </c>
      <c r="V44" t="s">
        <v>2753</v>
      </c>
      <c r="X4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4" t="str">
        <f>IF(orders[[#This Row],[Revenue]]&gt;AVERAGE(orders[Revenue])+3*STDEV(orders[Revenue]),"High Outlier",
 IF(orders[[#This Row],[Revenue]]&lt;AVERAGE(orders[Revenue])-3*STDEV(orders[Revenue]),"Low Outlier",
 "Normal"))</f>
        <v>Normal</v>
      </c>
      <c r="Z44">
        <f ca="1" xml:space="preserve"> _xlfn.DAYS(TODAY(), orders[[#This Row],[OrderDate]])</f>
        <v>1494</v>
      </c>
      <c r="AA44"/>
    </row>
    <row r="45" spans="1:27">
      <c r="A45" t="s">
        <v>2828</v>
      </c>
      <c r="B45" t="s">
        <v>1463</v>
      </c>
      <c r="C45" t="s">
        <v>3405</v>
      </c>
      <c r="D45" t="str">
        <f>TEXT(orders[[#This Row],[OrderDate]], "YYYY-MM")</f>
        <v>2023-02</v>
      </c>
      <c r="E45" t="s">
        <v>2755</v>
      </c>
      <c r="F45" s="1">
        <v>44968</v>
      </c>
      <c r="G45" s="1">
        <v>44969</v>
      </c>
      <c r="H45" s="1">
        <v>44970</v>
      </c>
      <c r="I45">
        <v>1</v>
      </c>
      <c r="J45">
        <v>8495</v>
      </c>
      <c r="K45">
        <v>5</v>
      </c>
      <c r="L45">
        <v>424.75</v>
      </c>
      <c r="M45">
        <v>8070.25</v>
      </c>
      <c r="N45">
        <v>2570.25</v>
      </c>
      <c r="O45" t="s">
        <v>2749</v>
      </c>
      <c r="P45" t="s">
        <v>2778</v>
      </c>
      <c r="Q45" t="s">
        <v>2751</v>
      </c>
      <c r="R45" t="s">
        <v>24</v>
      </c>
      <c r="S45">
        <v>3</v>
      </c>
      <c r="T45">
        <v>2023</v>
      </c>
      <c r="U45" t="s">
        <v>2759</v>
      </c>
      <c r="V45" t="s">
        <v>2753</v>
      </c>
      <c r="W45">
        <v>1</v>
      </c>
      <c r="X4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5" t="str">
        <f>IF(orders[[#This Row],[Revenue]]&gt;AVERAGE(orders[Revenue])+3*STDEV(orders[Revenue]),"High Outlier",
 IF(orders[[#This Row],[Revenue]]&lt;AVERAGE(orders[Revenue])-3*STDEV(orders[Revenue]),"Low Outlier",
 "Normal"))</f>
        <v>Normal</v>
      </c>
      <c r="Z45">
        <f ca="1" xml:space="preserve"> _xlfn.DAYS(TODAY(), orders[[#This Row],[OrderDate]])</f>
        <v>1174</v>
      </c>
      <c r="AA45"/>
    </row>
    <row r="46" spans="1:27">
      <c r="A46" t="s">
        <v>2829</v>
      </c>
      <c r="B46" t="s">
        <v>87</v>
      </c>
      <c r="C46" t="s">
        <v>3331</v>
      </c>
      <c r="D46" t="str">
        <f>TEXT(orders[[#This Row],[OrderDate]], "YYYY-MM")</f>
        <v>2022-09</v>
      </c>
      <c r="E46" t="s">
        <v>2769</v>
      </c>
      <c r="F46" s="1">
        <v>44807</v>
      </c>
      <c r="G46" s="1">
        <v>44814</v>
      </c>
      <c r="H46" s="1">
        <v>44815</v>
      </c>
      <c r="I46">
        <v>1</v>
      </c>
      <c r="J46">
        <v>38999</v>
      </c>
      <c r="K46">
        <v>0</v>
      </c>
      <c r="L46">
        <v>0</v>
      </c>
      <c r="M46">
        <v>38999</v>
      </c>
      <c r="N46">
        <v>11999</v>
      </c>
      <c r="O46" t="s">
        <v>2749</v>
      </c>
      <c r="P46" t="s">
        <v>2761</v>
      </c>
      <c r="Q46" t="s">
        <v>2751</v>
      </c>
      <c r="R46" t="s">
        <v>46</v>
      </c>
      <c r="S46">
        <v>5</v>
      </c>
      <c r="T46">
        <v>2022</v>
      </c>
      <c r="U46" t="s">
        <v>2790</v>
      </c>
      <c r="V46" t="s">
        <v>2774</v>
      </c>
      <c r="W46">
        <v>7</v>
      </c>
      <c r="X4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6" t="str">
        <f>IF(orders[[#This Row],[Revenue]]&gt;AVERAGE(orders[Revenue])+3*STDEV(orders[Revenue]),"High Outlier",
 IF(orders[[#This Row],[Revenue]]&lt;AVERAGE(orders[Revenue])-3*STDEV(orders[Revenue]),"Low Outlier",
 "Normal"))</f>
        <v>Normal</v>
      </c>
      <c r="Z46">
        <f ca="1" xml:space="preserve"> _xlfn.DAYS(TODAY(), orders[[#This Row],[OrderDate]])</f>
        <v>1335</v>
      </c>
      <c r="AA46"/>
    </row>
    <row r="47" spans="1:27">
      <c r="A47" t="s">
        <v>2830</v>
      </c>
      <c r="B47" t="s">
        <v>574</v>
      </c>
      <c r="C47" t="s">
        <v>3362</v>
      </c>
      <c r="D47" t="str">
        <f>TEXT(orders[[#This Row],[OrderDate]], "YYYY-MM")</f>
        <v>2023-05</v>
      </c>
      <c r="E47" t="s">
        <v>2809</v>
      </c>
      <c r="F47" s="1">
        <v>45071</v>
      </c>
      <c r="G47" s="1">
        <v>45075</v>
      </c>
      <c r="H47" s="1">
        <v>45075</v>
      </c>
      <c r="I47">
        <v>5</v>
      </c>
      <c r="J47">
        <v>41900</v>
      </c>
      <c r="K47">
        <v>10</v>
      </c>
      <c r="L47">
        <v>20950</v>
      </c>
      <c r="M47">
        <v>188550</v>
      </c>
      <c r="N47">
        <v>48550</v>
      </c>
      <c r="O47" t="s">
        <v>2749</v>
      </c>
      <c r="P47" t="s">
        <v>2778</v>
      </c>
      <c r="Q47" t="s">
        <v>2762</v>
      </c>
      <c r="R47" t="s">
        <v>24</v>
      </c>
      <c r="S47">
        <v>1</v>
      </c>
      <c r="T47">
        <v>2023</v>
      </c>
      <c r="U47" t="s">
        <v>2766</v>
      </c>
      <c r="V47" t="s">
        <v>2767</v>
      </c>
      <c r="W47">
        <v>4</v>
      </c>
      <c r="X4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7" t="str">
        <f>IF(orders[[#This Row],[Revenue]]&gt;AVERAGE(orders[Revenue])+3*STDEV(orders[Revenue]),"High Outlier",
 IF(orders[[#This Row],[Revenue]]&lt;AVERAGE(orders[Revenue])-3*STDEV(orders[Revenue]),"Low Outlier",
 "Normal"))</f>
        <v>Normal</v>
      </c>
      <c r="Z47">
        <f ca="1" xml:space="preserve"> _xlfn.DAYS(TODAY(), orders[[#This Row],[OrderDate]])</f>
        <v>1071</v>
      </c>
      <c r="AA47"/>
    </row>
    <row r="48" spans="1:27">
      <c r="A48" t="s">
        <v>2831</v>
      </c>
      <c r="B48" t="s">
        <v>1139</v>
      </c>
      <c r="C48" t="s">
        <v>3405</v>
      </c>
      <c r="D48" t="str">
        <f>TEXT(orders[[#This Row],[OrderDate]], "YYYY-MM")</f>
        <v>2022-08</v>
      </c>
      <c r="E48" t="s">
        <v>2804</v>
      </c>
      <c r="F48" s="1">
        <v>44781</v>
      </c>
      <c r="G48" s="1">
        <v>44785</v>
      </c>
      <c r="H48" s="1">
        <v>44786</v>
      </c>
      <c r="I48">
        <v>3</v>
      </c>
      <c r="J48">
        <v>8495</v>
      </c>
      <c r="K48">
        <v>20</v>
      </c>
      <c r="L48">
        <v>5097</v>
      </c>
      <c r="M48">
        <v>20388</v>
      </c>
      <c r="N48">
        <v>3888</v>
      </c>
      <c r="O48" t="s">
        <v>2749</v>
      </c>
      <c r="P48" t="s">
        <v>2778</v>
      </c>
      <c r="Q48" t="s">
        <v>2794</v>
      </c>
      <c r="R48" t="s">
        <v>46</v>
      </c>
      <c r="S48">
        <v>4</v>
      </c>
      <c r="T48">
        <v>2022</v>
      </c>
      <c r="U48" t="s">
        <v>2773</v>
      </c>
      <c r="V48" t="s">
        <v>2774</v>
      </c>
      <c r="W48">
        <v>4</v>
      </c>
      <c r="X4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8" t="str">
        <f>IF(orders[[#This Row],[Revenue]]&gt;AVERAGE(orders[Revenue])+3*STDEV(orders[Revenue]),"High Outlier",
 IF(orders[[#This Row],[Revenue]]&lt;AVERAGE(orders[Revenue])-3*STDEV(orders[Revenue]),"Low Outlier",
 "Normal"))</f>
        <v>Normal</v>
      </c>
      <c r="Z48">
        <f ca="1" xml:space="preserve"> _xlfn.DAYS(TODAY(), orders[[#This Row],[OrderDate]])</f>
        <v>1361</v>
      </c>
      <c r="AA48"/>
    </row>
    <row r="49" spans="1:27">
      <c r="A49" t="s">
        <v>2832</v>
      </c>
      <c r="B49" t="s">
        <v>2109</v>
      </c>
      <c r="C49" t="s">
        <v>3336</v>
      </c>
      <c r="D49" t="str">
        <f>TEXT(orders[[#This Row],[OrderDate]], "YYYY-MM")</f>
        <v>2024-02</v>
      </c>
      <c r="E49" t="s">
        <v>2776</v>
      </c>
      <c r="F49" s="1">
        <v>45335</v>
      </c>
      <c r="G49" s="1">
        <v>45341</v>
      </c>
      <c r="H49" s="1">
        <v>45342</v>
      </c>
      <c r="I49">
        <v>3</v>
      </c>
      <c r="J49">
        <v>26990</v>
      </c>
      <c r="K49">
        <v>0</v>
      </c>
      <c r="L49">
        <v>0</v>
      </c>
      <c r="M49">
        <v>80970</v>
      </c>
      <c r="N49">
        <v>26970</v>
      </c>
      <c r="O49" t="s">
        <v>2749</v>
      </c>
      <c r="P49" t="s">
        <v>2770</v>
      </c>
      <c r="Q49" t="s">
        <v>2751</v>
      </c>
      <c r="R49" t="s">
        <v>35</v>
      </c>
      <c r="S49">
        <v>5</v>
      </c>
      <c r="T49">
        <v>2024</v>
      </c>
      <c r="U49" t="s">
        <v>2759</v>
      </c>
      <c r="V49" t="s">
        <v>2753</v>
      </c>
      <c r="W49">
        <v>6</v>
      </c>
      <c r="X4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9" t="str">
        <f>IF(orders[[#This Row],[Revenue]]&gt;AVERAGE(orders[Revenue])+3*STDEV(orders[Revenue]),"High Outlier",
 IF(orders[[#This Row],[Revenue]]&lt;AVERAGE(orders[Revenue])-3*STDEV(orders[Revenue]),"Low Outlier",
 "Normal"))</f>
        <v>Normal</v>
      </c>
      <c r="Z49">
        <f ca="1" xml:space="preserve"> _xlfn.DAYS(TODAY(), orders[[#This Row],[OrderDate]])</f>
        <v>807</v>
      </c>
      <c r="AA49"/>
    </row>
    <row r="50" spans="1:27">
      <c r="A50" t="s">
        <v>2833</v>
      </c>
      <c r="B50" t="s">
        <v>972</v>
      </c>
      <c r="C50" t="s">
        <v>3390</v>
      </c>
      <c r="D50" t="str">
        <f>TEXT(orders[[#This Row],[OrderDate]], "YYYY-MM")</f>
        <v>2023-01</v>
      </c>
      <c r="E50" t="s">
        <v>2769</v>
      </c>
      <c r="F50" s="1">
        <v>44950</v>
      </c>
      <c r="I50">
        <v>2</v>
      </c>
      <c r="J50">
        <v>54999</v>
      </c>
      <c r="K50">
        <v>20</v>
      </c>
      <c r="L50">
        <v>21999.599999999999</v>
      </c>
      <c r="M50">
        <v>87998.399999999994</v>
      </c>
      <c r="N50">
        <v>11998.4</v>
      </c>
      <c r="O50" t="s">
        <v>2756</v>
      </c>
      <c r="P50" t="s">
        <v>2750</v>
      </c>
      <c r="Q50" t="s">
        <v>2794</v>
      </c>
      <c r="R50" t="s">
        <v>46</v>
      </c>
      <c r="T50">
        <v>2023</v>
      </c>
      <c r="U50" t="s">
        <v>2795</v>
      </c>
      <c r="V50" t="s">
        <v>2753</v>
      </c>
      <c r="X5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50" t="str">
        <f>IF(orders[[#This Row],[Revenue]]&gt;AVERAGE(orders[Revenue])+3*STDEV(orders[Revenue]),"High Outlier",
 IF(orders[[#This Row],[Revenue]]&lt;AVERAGE(orders[Revenue])-3*STDEV(orders[Revenue]),"Low Outlier",
 "Normal"))</f>
        <v>Normal</v>
      </c>
      <c r="Z50">
        <f ca="1" xml:space="preserve"> _xlfn.DAYS(TODAY(), orders[[#This Row],[OrderDate]])</f>
        <v>1192</v>
      </c>
      <c r="AA50"/>
    </row>
    <row r="51" spans="1:27">
      <c r="A51" t="s">
        <v>2834</v>
      </c>
      <c r="B51" t="s">
        <v>2104</v>
      </c>
      <c r="C51" t="s">
        <v>3374</v>
      </c>
      <c r="D51" t="str">
        <f>TEXT(orders[[#This Row],[OrderDate]], "YYYY-MM")</f>
        <v>2022-11</v>
      </c>
      <c r="E51" t="s">
        <v>2755</v>
      </c>
      <c r="F51" s="1">
        <v>44890</v>
      </c>
      <c r="G51" s="1">
        <v>44895</v>
      </c>
      <c r="H51" s="1">
        <v>44896</v>
      </c>
      <c r="I51">
        <v>4</v>
      </c>
      <c r="J51">
        <v>64999</v>
      </c>
      <c r="K51">
        <v>5</v>
      </c>
      <c r="L51">
        <v>12999.8</v>
      </c>
      <c r="M51">
        <v>246996.2</v>
      </c>
      <c r="N51">
        <v>66996.2</v>
      </c>
      <c r="O51" t="s">
        <v>2749</v>
      </c>
      <c r="P51" t="s">
        <v>2750</v>
      </c>
      <c r="Q51" t="s">
        <v>2758</v>
      </c>
      <c r="R51" t="s">
        <v>24</v>
      </c>
      <c r="S51">
        <v>3</v>
      </c>
      <c r="T51">
        <v>2022</v>
      </c>
      <c r="U51" t="s">
        <v>2786</v>
      </c>
      <c r="V51" t="s">
        <v>2764</v>
      </c>
      <c r="W51">
        <v>5</v>
      </c>
      <c r="X5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51" t="str">
        <f>IF(orders[[#This Row],[Revenue]]&gt;AVERAGE(orders[Revenue])+3*STDEV(orders[Revenue]),"High Outlier",
 IF(orders[[#This Row],[Revenue]]&lt;AVERAGE(orders[Revenue])-3*STDEV(orders[Revenue]),"Low Outlier",
 "Normal"))</f>
        <v>Normal</v>
      </c>
      <c r="Z51">
        <f ca="1" xml:space="preserve"> _xlfn.DAYS(TODAY(), orders[[#This Row],[OrderDate]])</f>
        <v>1252</v>
      </c>
      <c r="AA51"/>
    </row>
    <row r="52" spans="1:27">
      <c r="A52" t="s">
        <v>2835</v>
      </c>
      <c r="B52" t="s">
        <v>1393</v>
      </c>
      <c r="C52" t="s">
        <v>3298</v>
      </c>
      <c r="D52" t="str">
        <f>TEXT(orders[[#This Row],[OrderDate]], "YYYY-MM")</f>
        <v>2023-01</v>
      </c>
      <c r="E52" t="s">
        <v>2769</v>
      </c>
      <c r="F52" s="1">
        <v>44941</v>
      </c>
      <c r="G52" s="1">
        <v>44946</v>
      </c>
      <c r="H52" s="1">
        <v>44948</v>
      </c>
      <c r="I52">
        <v>5</v>
      </c>
      <c r="J52">
        <v>79999</v>
      </c>
      <c r="K52">
        <v>5</v>
      </c>
      <c r="L52">
        <v>19999.75</v>
      </c>
      <c r="M52">
        <v>379995.25</v>
      </c>
      <c r="N52">
        <v>104995.25</v>
      </c>
      <c r="O52" t="s">
        <v>2749</v>
      </c>
      <c r="P52" t="s">
        <v>2750</v>
      </c>
      <c r="Q52" t="s">
        <v>2762</v>
      </c>
      <c r="R52" t="s">
        <v>46</v>
      </c>
      <c r="S52">
        <v>5</v>
      </c>
      <c r="T52">
        <v>2023</v>
      </c>
      <c r="U52" t="s">
        <v>2795</v>
      </c>
      <c r="V52" t="s">
        <v>2753</v>
      </c>
      <c r="W52">
        <v>5</v>
      </c>
      <c r="X5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52" t="str">
        <f>IF(orders[[#This Row],[Revenue]]&gt;AVERAGE(orders[Revenue])+3*STDEV(orders[Revenue]),"High Outlier",
 IF(orders[[#This Row],[Revenue]]&lt;AVERAGE(orders[Revenue])-3*STDEV(orders[Revenue]),"Low Outlier",
 "Normal"))</f>
        <v>High Outlier</v>
      </c>
      <c r="Z52">
        <f ca="1" xml:space="preserve"> _xlfn.DAYS(TODAY(), orders[[#This Row],[OrderDate]])</f>
        <v>1201</v>
      </c>
      <c r="AA52"/>
    </row>
    <row r="53" spans="1:27">
      <c r="A53" t="s">
        <v>2836</v>
      </c>
      <c r="B53" t="s">
        <v>2327</v>
      </c>
      <c r="C53" t="s">
        <v>3366</v>
      </c>
      <c r="D53" t="str">
        <f>TEXT(orders[[#This Row],[OrderDate]], "YYYY-MM")</f>
        <v>2024-12</v>
      </c>
      <c r="E53" t="s">
        <v>2809</v>
      </c>
      <c r="F53" s="1">
        <v>45635</v>
      </c>
      <c r="I53">
        <v>4</v>
      </c>
      <c r="J53">
        <v>19999</v>
      </c>
      <c r="K53">
        <v>20</v>
      </c>
      <c r="L53">
        <v>15999.2</v>
      </c>
      <c r="M53">
        <v>63996.800000000003</v>
      </c>
      <c r="N53">
        <v>11996.8</v>
      </c>
      <c r="O53" t="s">
        <v>2781</v>
      </c>
      <c r="P53" t="s">
        <v>2782</v>
      </c>
      <c r="Q53" t="s">
        <v>2758</v>
      </c>
      <c r="R53" t="s">
        <v>24</v>
      </c>
      <c r="T53">
        <v>2024</v>
      </c>
      <c r="U53" t="s">
        <v>2763</v>
      </c>
      <c r="V53" t="s">
        <v>2764</v>
      </c>
      <c r="X5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53" t="str">
        <f>IF(orders[[#This Row],[Revenue]]&gt;AVERAGE(orders[Revenue])+3*STDEV(orders[Revenue]),"High Outlier",
 IF(orders[[#This Row],[Revenue]]&lt;AVERAGE(orders[Revenue])-3*STDEV(orders[Revenue]),"Low Outlier",
 "Normal"))</f>
        <v>Normal</v>
      </c>
      <c r="Z53">
        <f ca="1" xml:space="preserve"> _xlfn.DAYS(TODAY(), orders[[#This Row],[OrderDate]])</f>
        <v>507</v>
      </c>
      <c r="AA53"/>
    </row>
    <row r="54" spans="1:27">
      <c r="A54" t="s">
        <v>2837</v>
      </c>
      <c r="B54" t="s">
        <v>939</v>
      </c>
      <c r="C54" t="s">
        <v>3356</v>
      </c>
      <c r="D54" t="str">
        <f>TEXT(orders[[#This Row],[OrderDate]], "YYYY-MM")</f>
        <v>2023-10</v>
      </c>
      <c r="E54" t="s">
        <v>2755</v>
      </c>
      <c r="F54" s="1">
        <v>45221</v>
      </c>
      <c r="G54" s="1">
        <v>45222</v>
      </c>
      <c r="H54" s="1">
        <v>45222</v>
      </c>
      <c r="I54">
        <v>1</v>
      </c>
      <c r="J54">
        <v>9999</v>
      </c>
      <c r="K54">
        <v>0</v>
      </c>
      <c r="L54">
        <v>0</v>
      </c>
      <c r="M54">
        <v>9999</v>
      </c>
      <c r="N54">
        <v>3499</v>
      </c>
      <c r="O54" t="s">
        <v>2749</v>
      </c>
      <c r="P54" t="s">
        <v>2782</v>
      </c>
      <c r="Q54" t="s">
        <v>2762</v>
      </c>
      <c r="R54" t="s">
        <v>24</v>
      </c>
      <c r="S54">
        <v>2</v>
      </c>
      <c r="T54">
        <v>2023</v>
      </c>
      <c r="U54" t="s">
        <v>2788</v>
      </c>
      <c r="V54" t="s">
        <v>2764</v>
      </c>
      <c r="W54">
        <v>1</v>
      </c>
      <c r="X5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54" t="str">
        <f>IF(orders[[#This Row],[Revenue]]&gt;AVERAGE(orders[Revenue])+3*STDEV(orders[Revenue]),"High Outlier",
 IF(orders[[#This Row],[Revenue]]&lt;AVERAGE(orders[Revenue])-3*STDEV(orders[Revenue]),"Low Outlier",
 "Normal"))</f>
        <v>Normal</v>
      </c>
      <c r="Z54">
        <f ca="1" xml:space="preserve"> _xlfn.DAYS(TODAY(), orders[[#This Row],[OrderDate]])</f>
        <v>921</v>
      </c>
      <c r="AA54"/>
    </row>
    <row r="55" spans="1:27">
      <c r="A55" t="s">
        <v>2838</v>
      </c>
      <c r="B55" t="s">
        <v>420</v>
      </c>
      <c r="C55" t="s">
        <v>3379</v>
      </c>
      <c r="D55" t="str">
        <f>TEXT(orders[[#This Row],[OrderDate]], "YYYY-MM")</f>
        <v>2022-07</v>
      </c>
      <c r="E55" t="s">
        <v>2776</v>
      </c>
      <c r="F55" s="1">
        <v>44764</v>
      </c>
      <c r="G55" s="1">
        <v>44769</v>
      </c>
      <c r="H55" s="1">
        <v>44772</v>
      </c>
      <c r="I55">
        <v>4</v>
      </c>
      <c r="J55">
        <v>29999</v>
      </c>
      <c r="K55">
        <v>20</v>
      </c>
      <c r="L55">
        <v>23999.200000000001</v>
      </c>
      <c r="M55">
        <v>95996.800000000003</v>
      </c>
      <c r="N55">
        <v>15996.8</v>
      </c>
      <c r="O55" t="s">
        <v>2749</v>
      </c>
      <c r="P55" t="s">
        <v>2761</v>
      </c>
      <c r="Q55" t="s">
        <v>2758</v>
      </c>
      <c r="R55" t="s">
        <v>35</v>
      </c>
      <c r="S55">
        <v>3</v>
      </c>
      <c r="T55">
        <v>2022</v>
      </c>
      <c r="U55" t="s">
        <v>2792</v>
      </c>
      <c r="V55" t="s">
        <v>2774</v>
      </c>
      <c r="W55">
        <v>5</v>
      </c>
      <c r="X5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55" t="str">
        <f>IF(orders[[#This Row],[Revenue]]&gt;AVERAGE(orders[Revenue])+3*STDEV(orders[Revenue]),"High Outlier",
 IF(orders[[#This Row],[Revenue]]&lt;AVERAGE(orders[Revenue])-3*STDEV(orders[Revenue]),"Low Outlier",
 "Normal"))</f>
        <v>Normal</v>
      </c>
      <c r="Z55">
        <f ca="1" xml:space="preserve"> _xlfn.DAYS(TODAY(), orders[[#This Row],[OrderDate]])</f>
        <v>1378</v>
      </c>
      <c r="AA55"/>
    </row>
    <row r="56" spans="1:27">
      <c r="A56" t="s">
        <v>2839</v>
      </c>
      <c r="B56" t="s">
        <v>223</v>
      </c>
      <c r="C56" t="s">
        <v>3362</v>
      </c>
      <c r="D56" t="str">
        <f>TEXT(orders[[#This Row],[OrderDate]], "YYYY-MM")</f>
        <v>2022-05</v>
      </c>
      <c r="E56" t="s">
        <v>2809</v>
      </c>
      <c r="F56" s="1">
        <v>44707</v>
      </c>
      <c r="G56" s="1">
        <v>44709</v>
      </c>
      <c r="H56" s="1">
        <v>44712</v>
      </c>
      <c r="I56">
        <v>1</v>
      </c>
      <c r="J56">
        <v>41900</v>
      </c>
      <c r="K56">
        <v>15</v>
      </c>
      <c r="L56">
        <v>6285</v>
      </c>
      <c r="M56">
        <v>35615</v>
      </c>
      <c r="N56">
        <v>7615</v>
      </c>
      <c r="O56" t="s">
        <v>2749</v>
      </c>
      <c r="P56" t="s">
        <v>2778</v>
      </c>
      <c r="Q56" t="s">
        <v>2762</v>
      </c>
      <c r="R56" t="s">
        <v>24</v>
      </c>
      <c r="S56">
        <v>3</v>
      </c>
      <c r="T56">
        <v>2022</v>
      </c>
      <c r="U56" t="s">
        <v>2766</v>
      </c>
      <c r="V56" t="s">
        <v>2767</v>
      </c>
      <c r="W56">
        <v>2</v>
      </c>
      <c r="X5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56" t="str">
        <f>IF(orders[[#This Row],[Revenue]]&gt;AVERAGE(orders[Revenue])+3*STDEV(orders[Revenue]),"High Outlier",
 IF(orders[[#This Row],[Revenue]]&lt;AVERAGE(orders[Revenue])-3*STDEV(orders[Revenue]),"Low Outlier",
 "Normal"))</f>
        <v>Normal</v>
      </c>
      <c r="Z56">
        <f ca="1" xml:space="preserve"> _xlfn.DAYS(TODAY(), orders[[#This Row],[OrderDate]])</f>
        <v>1435</v>
      </c>
      <c r="AA56"/>
    </row>
    <row r="57" spans="1:27">
      <c r="A57" t="s">
        <v>2840</v>
      </c>
      <c r="B57" t="s">
        <v>1657</v>
      </c>
      <c r="C57" t="s">
        <v>3418</v>
      </c>
      <c r="D57" t="str">
        <f>TEXT(orders[[#This Row],[OrderDate]], "YYYY-MM")</f>
        <v>2024-01</v>
      </c>
      <c r="E57" t="s">
        <v>2755</v>
      </c>
      <c r="F57" s="1">
        <v>45317</v>
      </c>
      <c r="I57">
        <v>1</v>
      </c>
      <c r="J57">
        <v>4999</v>
      </c>
      <c r="K57">
        <v>5</v>
      </c>
      <c r="L57">
        <v>249.95</v>
      </c>
      <c r="M57">
        <v>4749.05</v>
      </c>
      <c r="N57">
        <v>1949.05</v>
      </c>
      <c r="O57" t="s">
        <v>2781</v>
      </c>
      <c r="P57" t="s">
        <v>2761</v>
      </c>
      <c r="Q57" t="s">
        <v>2762</v>
      </c>
      <c r="R57" t="s">
        <v>24</v>
      </c>
      <c r="T57">
        <v>2024</v>
      </c>
      <c r="U57" t="s">
        <v>2795</v>
      </c>
      <c r="V57" t="s">
        <v>2753</v>
      </c>
      <c r="X5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57" t="str">
        <f>IF(orders[[#This Row],[Revenue]]&gt;AVERAGE(orders[Revenue])+3*STDEV(orders[Revenue]),"High Outlier",
 IF(orders[[#This Row],[Revenue]]&lt;AVERAGE(orders[Revenue])-3*STDEV(orders[Revenue]),"Low Outlier",
 "Normal"))</f>
        <v>Normal</v>
      </c>
      <c r="Z57">
        <f ca="1" xml:space="preserve"> _xlfn.DAYS(TODAY(), orders[[#This Row],[OrderDate]])</f>
        <v>825</v>
      </c>
      <c r="AA57"/>
    </row>
    <row r="58" spans="1:27">
      <c r="A58" t="s">
        <v>2841</v>
      </c>
      <c r="B58" t="s">
        <v>2109</v>
      </c>
      <c r="C58" t="s">
        <v>3314</v>
      </c>
      <c r="D58" t="str">
        <f>TEXT(orders[[#This Row],[OrderDate]], "YYYY-MM")</f>
        <v>2022-06</v>
      </c>
      <c r="E58" t="s">
        <v>2776</v>
      </c>
      <c r="F58" s="1">
        <v>44721</v>
      </c>
      <c r="G58" s="1">
        <v>44726</v>
      </c>
      <c r="H58" s="1">
        <v>44726</v>
      </c>
      <c r="I58">
        <v>1</v>
      </c>
      <c r="J58">
        <v>114900</v>
      </c>
      <c r="K58">
        <v>5</v>
      </c>
      <c r="L58">
        <v>5745</v>
      </c>
      <c r="M58">
        <v>109155</v>
      </c>
      <c r="N58">
        <v>24155</v>
      </c>
      <c r="O58" t="s">
        <v>2749</v>
      </c>
      <c r="P58" t="s">
        <v>2761</v>
      </c>
      <c r="Q58" t="s">
        <v>2751</v>
      </c>
      <c r="R58" t="s">
        <v>35</v>
      </c>
      <c r="S58">
        <v>2</v>
      </c>
      <c r="T58">
        <v>2022</v>
      </c>
      <c r="U58" t="s">
        <v>2771</v>
      </c>
      <c r="V58" t="s">
        <v>2767</v>
      </c>
      <c r="W58">
        <v>5</v>
      </c>
      <c r="X5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58" t="str">
        <f>IF(orders[[#This Row],[Revenue]]&gt;AVERAGE(orders[Revenue])+3*STDEV(orders[Revenue]),"High Outlier",
 IF(orders[[#This Row],[Revenue]]&lt;AVERAGE(orders[Revenue])-3*STDEV(orders[Revenue]),"Low Outlier",
 "Normal"))</f>
        <v>Normal</v>
      </c>
      <c r="Z58">
        <f ca="1" xml:space="preserve"> _xlfn.DAYS(TODAY(), orders[[#This Row],[OrderDate]])</f>
        <v>1421</v>
      </c>
      <c r="AA58"/>
    </row>
    <row r="59" spans="1:27">
      <c r="A59" t="s">
        <v>2842</v>
      </c>
      <c r="B59" t="s">
        <v>681</v>
      </c>
      <c r="C59" t="s">
        <v>3384</v>
      </c>
      <c r="D59" t="str">
        <f>TEXT(orders[[#This Row],[OrderDate]], "YYYY-MM")</f>
        <v>2023-01</v>
      </c>
      <c r="E59" t="s">
        <v>2748</v>
      </c>
      <c r="F59" s="1">
        <v>44928</v>
      </c>
      <c r="I59">
        <v>5</v>
      </c>
      <c r="J59">
        <v>59900</v>
      </c>
      <c r="K59">
        <v>10</v>
      </c>
      <c r="L59">
        <v>29950</v>
      </c>
      <c r="M59">
        <v>269550</v>
      </c>
      <c r="N59">
        <v>59550</v>
      </c>
      <c r="O59" t="s">
        <v>2756</v>
      </c>
      <c r="P59" t="s">
        <v>2778</v>
      </c>
      <c r="Q59" t="s">
        <v>2762</v>
      </c>
      <c r="R59" t="s">
        <v>188</v>
      </c>
      <c r="T59">
        <v>2023</v>
      </c>
      <c r="U59" t="s">
        <v>2795</v>
      </c>
      <c r="V59" t="s">
        <v>2753</v>
      </c>
      <c r="X5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59" t="str">
        <f>IF(orders[[#This Row],[Revenue]]&gt;AVERAGE(orders[Revenue])+3*STDEV(orders[Revenue]),"High Outlier",
 IF(orders[[#This Row],[Revenue]]&lt;AVERAGE(orders[Revenue])-3*STDEV(orders[Revenue]),"Low Outlier",
 "Normal"))</f>
        <v>Normal</v>
      </c>
      <c r="Z59">
        <f ca="1" xml:space="preserve"> _xlfn.DAYS(TODAY(), orders[[#This Row],[OrderDate]])</f>
        <v>1214</v>
      </c>
      <c r="AA59"/>
    </row>
    <row r="60" spans="1:27">
      <c r="A60" t="s">
        <v>2843</v>
      </c>
      <c r="B60" t="s">
        <v>2193</v>
      </c>
      <c r="C60" t="s">
        <v>3405</v>
      </c>
      <c r="D60" t="str">
        <f>TEXT(orders[[#This Row],[OrderDate]], "YYYY-MM")</f>
        <v>2024-07</v>
      </c>
      <c r="E60" t="s">
        <v>2785</v>
      </c>
      <c r="F60" s="1">
        <v>45501</v>
      </c>
      <c r="I60">
        <v>4</v>
      </c>
      <c r="J60">
        <v>8495</v>
      </c>
      <c r="K60">
        <v>0</v>
      </c>
      <c r="L60">
        <v>0</v>
      </c>
      <c r="M60">
        <v>33980</v>
      </c>
      <c r="N60">
        <v>11980</v>
      </c>
      <c r="O60" t="s">
        <v>2781</v>
      </c>
      <c r="P60" t="s">
        <v>2782</v>
      </c>
      <c r="Q60" t="s">
        <v>2779</v>
      </c>
      <c r="R60" t="s">
        <v>188</v>
      </c>
      <c r="T60">
        <v>2024</v>
      </c>
      <c r="U60" t="s">
        <v>2792</v>
      </c>
      <c r="V60" t="s">
        <v>2774</v>
      </c>
      <c r="X6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60" t="str">
        <f>IF(orders[[#This Row],[Revenue]]&gt;AVERAGE(orders[Revenue])+3*STDEV(orders[Revenue]),"High Outlier",
 IF(orders[[#This Row],[Revenue]]&lt;AVERAGE(orders[Revenue])-3*STDEV(orders[Revenue]),"Low Outlier",
 "Normal"))</f>
        <v>Normal</v>
      </c>
      <c r="Z60">
        <f ca="1" xml:space="preserve"> _xlfn.DAYS(TODAY(), orders[[#This Row],[OrderDate]])</f>
        <v>641</v>
      </c>
      <c r="AA60"/>
    </row>
    <row r="61" spans="1:27">
      <c r="A61" t="s">
        <v>2844</v>
      </c>
      <c r="B61" t="s">
        <v>1638</v>
      </c>
      <c r="C61" t="s">
        <v>3366</v>
      </c>
      <c r="D61" t="str">
        <f>TEXT(orders[[#This Row],[OrderDate]], "YYYY-MM")</f>
        <v>2022-11</v>
      </c>
      <c r="E61" t="s">
        <v>2785</v>
      </c>
      <c r="F61" s="1">
        <v>44885</v>
      </c>
      <c r="I61">
        <v>5</v>
      </c>
      <c r="J61">
        <v>19999</v>
      </c>
      <c r="K61">
        <v>15</v>
      </c>
      <c r="L61">
        <v>14999.25</v>
      </c>
      <c r="M61">
        <v>84995.75</v>
      </c>
      <c r="N61">
        <v>19995.75</v>
      </c>
      <c r="O61" t="s">
        <v>2756</v>
      </c>
      <c r="P61" t="s">
        <v>2750</v>
      </c>
      <c r="Q61" t="s">
        <v>2794</v>
      </c>
      <c r="R61" t="s">
        <v>188</v>
      </c>
      <c r="T61">
        <v>2022</v>
      </c>
      <c r="U61" t="s">
        <v>2786</v>
      </c>
      <c r="V61" t="s">
        <v>2764</v>
      </c>
      <c r="X6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61" t="str">
        <f>IF(orders[[#This Row],[Revenue]]&gt;AVERAGE(orders[Revenue])+3*STDEV(orders[Revenue]),"High Outlier",
 IF(orders[[#This Row],[Revenue]]&lt;AVERAGE(orders[Revenue])-3*STDEV(orders[Revenue]),"Low Outlier",
 "Normal"))</f>
        <v>Normal</v>
      </c>
      <c r="Z61">
        <f ca="1" xml:space="preserve"> _xlfn.DAYS(TODAY(), orders[[#This Row],[OrderDate]])</f>
        <v>1257</v>
      </c>
      <c r="AA61"/>
    </row>
    <row r="62" spans="1:27">
      <c r="A62" t="s">
        <v>2845</v>
      </c>
      <c r="B62" t="s">
        <v>1638</v>
      </c>
      <c r="C62" t="s">
        <v>3356</v>
      </c>
      <c r="D62" t="str">
        <f>TEXT(orders[[#This Row],[OrderDate]], "YYYY-MM")</f>
        <v>2024-04</v>
      </c>
      <c r="E62" t="s">
        <v>2785</v>
      </c>
      <c r="F62" s="1">
        <v>45406</v>
      </c>
      <c r="I62">
        <v>4</v>
      </c>
      <c r="J62">
        <v>9999</v>
      </c>
      <c r="K62">
        <v>10</v>
      </c>
      <c r="L62">
        <v>3999.6</v>
      </c>
      <c r="M62">
        <v>35996.400000000001</v>
      </c>
      <c r="N62">
        <v>9996.4</v>
      </c>
      <c r="O62" t="s">
        <v>2781</v>
      </c>
      <c r="P62" t="s">
        <v>2761</v>
      </c>
      <c r="Q62" t="s">
        <v>2779</v>
      </c>
      <c r="R62" t="s">
        <v>188</v>
      </c>
      <c r="T62">
        <v>2024</v>
      </c>
      <c r="U62" t="s">
        <v>2783</v>
      </c>
      <c r="V62" t="s">
        <v>2767</v>
      </c>
      <c r="X6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62" t="str">
        <f>IF(orders[[#This Row],[Revenue]]&gt;AVERAGE(orders[Revenue])+3*STDEV(orders[Revenue]),"High Outlier",
 IF(orders[[#This Row],[Revenue]]&lt;AVERAGE(orders[Revenue])-3*STDEV(orders[Revenue]),"Low Outlier",
 "Normal"))</f>
        <v>Normal</v>
      </c>
      <c r="Z62">
        <f ca="1" xml:space="preserve"> _xlfn.DAYS(TODAY(), orders[[#This Row],[OrderDate]])</f>
        <v>736</v>
      </c>
      <c r="AA62"/>
    </row>
    <row r="63" spans="1:27">
      <c r="A63" t="s">
        <v>2846</v>
      </c>
      <c r="B63" t="s">
        <v>1672</v>
      </c>
      <c r="C63" t="s">
        <v>3390</v>
      </c>
      <c r="D63" t="str">
        <f>TEXT(orders[[#This Row],[OrderDate]], "YYYY-MM")</f>
        <v>2024-02</v>
      </c>
      <c r="E63" t="s">
        <v>2804</v>
      </c>
      <c r="F63" s="1">
        <v>45330</v>
      </c>
      <c r="I63">
        <v>3</v>
      </c>
      <c r="J63">
        <v>54999</v>
      </c>
      <c r="K63">
        <v>10</v>
      </c>
      <c r="L63">
        <v>16499.7</v>
      </c>
      <c r="M63">
        <v>148497.29999999999</v>
      </c>
      <c r="N63">
        <v>34497.300000000003</v>
      </c>
      <c r="O63" t="s">
        <v>2756</v>
      </c>
      <c r="P63" t="s">
        <v>2770</v>
      </c>
      <c r="Q63" t="s">
        <v>2751</v>
      </c>
      <c r="R63" t="s">
        <v>46</v>
      </c>
      <c r="T63">
        <v>2024</v>
      </c>
      <c r="U63" t="s">
        <v>2759</v>
      </c>
      <c r="V63" t="s">
        <v>2753</v>
      </c>
      <c r="X6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63" t="str">
        <f>IF(orders[[#This Row],[Revenue]]&gt;AVERAGE(orders[Revenue])+3*STDEV(orders[Revenue]),"High Outlier",
 IF(orders[[#This Row],[Revenue]]&lt;AVERAGE(orders[Revenue])-3*STDEV(orders[Revenue]),"Low Outlier",
 "Normal"))</f>
        <v>Normal</v>
      </c>
      <c r="Z63">
        <f ca="1" xml:space="preserve"> _xlfn.DAYS(TODAY(), orders[[#This Row],[OrderDate]])</f>
        <v>812</v>
      </c>
      <c r="AA63"/>
    </row>
    <row r="64" spans="1:27">
      <c r="A64" t="s">
        <v>2847</v>
      </c>
      <c r="B64" t="s">
        <v>2684</v>
      </c>
      <c r="C64" t="s">
        <v>3366</v>
      </c>
      <c r="D64" t="str">
        <f>TEXT(orders[[#This Row],[OrderDate]], "YYYY-MM")</f>
        <v>2022-03</v>
      </c>
      <c r="E64" t="s">
        <v>2804</v>
      </c>
      <c r="F64" s="1">
        <v>44632</v>
      </c>
      <c r="G64" s="1">
        <v>44637</v>
      </c>
      <c r="H64" s="1">
        <v>44637</v>
      </c>
      <c r="I64">
        <v>5</v>
      </c>
      <c r="J64">
        <v>19999</v>
      </c>
      <c r="K64">
        <v>0</v>
      </c>
      <c r="L64">
        <v>0</v>
      </c>
      <c r="M64">
        <v>99995</v>
      </c>
      <c r="N64">
        <v>34995</v>
      </c>
      <c r="O64" t="s">
        <v>2749</v>
      </c>
      <c r="P64" t="s">
        <v>2750</v>
      </c>
      <c r="Q64" t="s">
        <v>2762</v>
      </c>
      <c r="R64" t="s">
        <v>46</v>
      </c>
      <c r="S64">
        <v>3</v>
      </c>
      <c r="T64">
        <v>2022</v>
      </c>
      <c r="U64" t="s">
        <v>2752</v>
      </c>
      <c r="V64" t="s">
        <v>2753</v>
      </c>
      <c r="W64">
        <v>5</v>
      </c>
      <c r="X6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64" t="str">
        <f>IF(orders[[#This Row],[Revenue]]&gt;AVERAGE(orders[Revenue])+3*STDEV(orders[Revenue]),"High Outlier",
 IF(orders[[#This Row],[Revenue]]&lt;AVERAGE(orders[Revenue])-3*STDEV(orders[Revenue]),"Low Outlier",
 "Normal"))</f>
        <v>Normal</v>
      </c>
      <c r="Z64">
        <f ca="1" xml:space="preserve"> _xlfn.DAYS(TODAY(), orders[[#This Row],[OrderDate]])</f>
        <v>1510</v>
      </c>
      <c r="AA64"/>
    </row>
    <row r="65" spans="1:27">
      <c r="A65" t="s">
        <v>2848</v>
      </c>
      <c r="B65" t="s">
        <v>766</v>
      </c>
      <c r="C65" t="s">
        <v>3336</v>
      </c>
      <c r="D65" t="str">
        <f>TEXT(orders[[#This Row],[OrderDate]], "YYYY-MM")</f>
        <v>2022-02</v>
      </c>
      <c r="E65" t="s">
        <v>2813</v>
      </c>
      <c r="F65" s="1">
        <v>44606</v>
      </c>
      <c r="I65">
        <v>3</v>
      </c>
      <c r="J65">
        <v>26990</v>
      </c>
      <c r="K65">
        <v>20</v>
      </c>
      <c r="L65">
        <v>16194</v>
      </c>
      <c r="M65">
        <v>64776</v>
      </c>
      <c r="N65">
        <v>10776</v>
      </c>
      <c r="O65" t="s">
        <v>2781</v>
      </c>
      <c r="P65" t="s">
        <v>2761</v>
      </c>
      <c r="Q65" t="s">
        <v>2758</v>
      </c>
      <c r="R65" t="s">
        <v>76</v>
      </c>
      <c r="T65">
        <v>2022</v>
      </c>
      <c r="U65" t="s">
        <v>2759</v>
      </c>
      <c r="V65" t="s">
        <v>2753</v>
      </c>
      <c r="X6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65" t="str">
        <f>IF(orders[[#This Row],[Revenue]]&gt;AVERAGE(orders[Revenue])+3*STDEV(orders[Revenue]),"High Outlier",
 IF(orders[[#This Row],[Revenue]]&lt;AVERAGE(orders[Revenue])-3*STDEV(orders[Revenue]),"Low Outlier",
 "Normal"))</f>
        <v>Normal</v>
      </c>
      <c r="Z65">
        <f ca="1" xml:space="preserve"> _xlfn.DAYS(TODAY(), orders[[#This Row],[OrderDate]])</f>
        <v>1536</v>
      </c>
      <c r="AA65"/>
    </row>
    <row r="66" spans="1:27">
      <c r="A66" t="s">
        <v>2849</v>
      </c>
      <c r="B66" t="s">
        <v>1692</v>
      </c>
      <c r="C66" t="s">
        <v>3394</v>
      </c>
      <c r="D66" t="str">
        <f>TEXT(orders[[#This Row],[OrderDate]], "YYYY-MM")</f>
        <v>2022-07</v>
      </c>
      <c r="E66" t="s">
        <v>2804</v>
      </c>
      <c r="F66" s="1">
        <v>44755</v>
      </c>
      <c r="G66" s="1">
        <v>44759</v>
      </c>
      <c r="H66" s="1">
        <v>44761</v>
      </c>
      <c r="I66">
        <v>2</v>
      </c>
      <c r="J66">
        <v>2499</v>
      </c>
      <c r="K66">
        <v>0</v>
      </c>
      <c r="L66">
        <v>0</v>
      </c>
      <c r="M66">
        <v>4998</v>
      </c>
      <c r="N66">
        <v>2598</v>
      </c>
      <c r="O66" t="s">
        <v>2749</v>
      </c>
      <c r="P66" t="s">
        <v>2750</v>
      </c>
      <c r="Q66" t="s">
        <v>2794</v>
      </c>
      <c r="R66" t="s">
        <v>46</v>
      </c>
      <c r="S66">
        <v>5</v>
      </c>
      <c r="T66">
        <v>2022</v>
      </c>
      <c r="U66" t="s">
        <v>2792</v>
      </c>
      <c r="V66" t="s">
        <v>2774</v>
      </c>
      <c r="W66">
        <v>4</v>
      </c>
      <c r="X6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66" t="str">
        <f>IF(orders[[#This Row],[Revenue]]&gt;AVERAGE(orders[Revenue])+3*STDEV(orders[Revenue]),"High Outlier",
 IF(orders[[#This Row],[Revenue]]&lt;AVERAGE(orders[Revenue])-3*STDEV(orders[Revenue]),"Low Outlier",
 "Normal"))</f>
        <v>Normal</v>
      </c>
      <c r="Z66">
        <f ca="1" xml:space="preserve"> _xlfn.DAYS(TODAY(), orders[[#This Row],[OrderDate]])</f>
        <v>1387</v>
      </c>
      <c r="AA66"/>
    </row>
    <row r="67" spans="1:27">
      <c r="A67" t="s">
        <v>2850</v>
      </c>
      <c r="B67" t="s">
        <v>843</v>
      </c>
      <c r="C67" t="s">
        <v>3340</v>
      </c>
      <c r="D67" t="str">
        <f>TEXT(orders[[#This Row],[OrderDate]], "YYYY-MM")</f>
        <v>2023-09</v>
      </c>
      <c r="E67" t="s">
        <v>2755</v>
      </c>
      <c r="F67" s="1">
        <v>45177</v>
      </c>
      <c r="G67" s="1">
        <v>45182</v>
      </c>
      <c r="H67" s="1">
        <v>45185</v>
      </c>
      <c r="I67">
        <v>5</v>
      </c>
      <c r="J67">
        <v>6999</v>
      </c>
      <c r="K67">
        <v>5</v>
      </c>
      <c r="L67">
        <v>1749.75</v>
      </c>
      <c r="M67">
        <v>33245.25</v>
      </c>
      <c r="N67">
        <v>12245.25</v>
      </c>
      <c r="O67" t="s">
        <v>2749</v>
      </c>
      <c r="P67" t="s">
        <v>2778</v>
      </c>
      <c r="Q67" t="s">
        <v>2762</v>
      </c>
      <c r="R67" t="s">
        <v>24</v>
      </c>
      <c r="S67">
        <v>3</v>
      </c>
      <c r="T67">
        <v>2023</v>
      </c>
      <c r="U67" t="s">
        <v>2790</v>
      </c>
      <c r="V67" t="s">
        <v>2774</v>
      </c>
      <c r="W67">
        <v>5</v>
      </c>
      <c r="X6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67" t="str">
        <f>IF(orders[[#This Row],[Revenue]]&gt;AVERAGE(orders[Revenue])+3*STDEV(orders[Revenue]),"High Outlier",
 IF(orders[[#This Row],[Revenue]]&lt;AVERAGE(orders[Revenue])-3*STDEV(orders[Revenue]),"Low Outlier",
 "Normal"))</f>
        <v>Normal</v>
      </c>
      <c r="Z67">
        <f ca="1" xml:space="preserve"> _xlfn.DAYS(TODAY(), orders[[#This Row],[OrderDate]])</f>
        <v>965</v>
      </c>
      <c r="AA67"/>
    </row>
    <row r="68" spans="1:27">
      <c r="A68" t="s">
        <v>2851</v>
      </c>
      <c r="B68" t="s">
        <v>2258</v>
      </c>
      <c r="C68" t="s">
        <v>3379</v>
      </c>
      <c r="D68" t="str">
        <f>TEXT(orders[[#This Row],[OrderDate]], "YYYY-MM")</f>
        <v>2024-09</v>
      </c>
      <c r="E68" t="s">
        <v>2804</v>
      </c>
      <c r="F68" s="1">
        <v>45561</v>
      </c>
      <c r="I68">
        <v>5</v>
      </c>
      <c r="J68">
        <v>29999</v>
      </c>
      <c r="K68">
        <v>0</v>
      </c>
      <c r="L68">
        <v>0</v>
      </c>
      <c r="M68">
        <v>149995</v>
      </c>
      <c r="N68">
        <v>49995</v>
      </c>
      <c r="O68" t="s">
        <v>2781</v>
      </c>
      <c r="P68" t="s">
        <v>2761</v>
      </c>
      <c r="Q68" t="s">
        <v>2794</v>
      </c>
      <c r="R68" t="s">
        <v>46</v>
      </c>
      <c r="T68">
        <v>2024</v>
      </c>
      <c r="U68" t="s">
        <v>2790</v>
      </c>
      <c r="V68" t="s">
        <v>2774</v>
      </c>
      <c r="X6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68" t="str">
        <f>IF(orders[[#This Row],[Revenue]]&gt;AVERAGE(orders[Revenue])+3*STDEV(orders[Revenue]),"High Outlier",
 IF(orders[[#This Row],[Revenue]]&lt;AVERAGE(orders[Revenue])-3*STDEV(orders[Revenue]),"Low Outlier",
 "Normal"))</f>
        <v>Normal</v>
      </c>
      <c r="Z68">
        <f ca="1" xml:space="preserve"> _xlfn.DAYS(TODAY(), orders[[#This Row],[OrderDate]])</f>
        <v>581</v>
      </c>
      <c r="AA68"/>
    </row>
    <row r="69" spans="1:27">
      <c r="A69" t="s">
        <v>2852</v>
      </c>
      <c r="B69" t="s">
        <v>174</v>
      </c>
      <c r="C69" t="s">
        <v>3418</v>
      </c>
      <c r="D69" t="str">
        <f>TEXT(orders[[#This Row],[OrderDate]], "YYYY-MM")</f>
        <v>2022-06</v>
      </c>
      <c r="E69" t="s">
        <v>2755</v>
      </c>
      <c r="F69" s="1">
        <v>44722</v>
      </c>
      <c r="G69" s="1">
        <v>44729</v>
      </c>
      <c r="H69" s="1">
        <v>44731</v>
      </c>
      <c r="I69">
        <v>3</v>
      </c>
      <c r="J69">
        <v>4999</v>
      </c>
      <c r="K69">
        <v>10</v>
      </c>
      <c r="L69">
        <v>1499.7</v>
      </c>
      <c r="M69">
        <v>13497.3</v>
      </c>
      <c r="N69">
        <v>5097.3</v>
      </c>
      <c r="O69" t="s">
        <v>2749</v>
      </c>
      <c r="P69" t="s">
        <v>2770</v>
      </c>
      <c r="Q69" t="s">
        <v>2762</v>
      </c>
      <c r="R69" t="s">
        <v>24</v>
      </c>
      <c r="S69">
        <v>2</v>
      </c>
      <c r="T69">
        <v>2022</v>
      </c>
      <c r="U69" t="s">
        <v>2771</v>
      </c>
      <c r="V69" t="s">
        <v>2767</v>
      </c>
      <c r="W69">
        <v>7</v>
      </c>
      <c r="X6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69" t="str">
        <f>IF(orders[[#This Row],[Revenue]]&gt;AVERAGE(orders[Revenue])+3*STDEV(orders[Revenue]),"High Outlier",
 IF(orders[[#This Row],[Revenue]]&lt;AVERAGE(orders[Revenue])-3*STDEV(orders[Revenue]),"Low Outlier",
 "Normal"))</f>
        <v>Normal</v>
      </c>
      <c r="Z69">
        <f ca="1" xml:space="preserve"> _xlfn.DAYS(TODAY(), orders[[#This Row],[OrderDate]])</f>
        <v>1420</v>
      </c>
      <c r="AA69"/>
    </row>
    <row r="70" spans="1:27">
      <c r="A70" t="s">
        <v>2853</v>
      </c>
      <c r="B70" t="s">
        <v>2144</v>
      </c>
      <c r="C70" t="s">
        <v>3405</v>
      </c>
      <c r="D70" t="str">
        <f>TEXT(orders[[#This Row],[OrderDate]], "YYYY-MM")</f>
        <v>2024-02</v>
      </c>
      <c r="E70" t="s">
        <v>2776</v>
      </c>
      <c r="F70" s="1">
        <v>45345</v>
      </c>
      <c r="G70" s="1">
        <v>45348</v>
      </c>
      <c r="H70" s="1">
        <v>45348</v>
      </c>
      <c r="I70">
        <v>3</v>
      </c>
      <c r="J70">
        <v>8495</v>
      </c>
      <c r="K70">
        <v>20</v>
      </c>
      <c r="L70">
        <v>5097</v>
      </c>
      <c r="M70">
        <v>20388</v>
      </c>
      <c r="N70">
        <v>3888</v>
      </c>
      <c r="O70" t="s">
        <v>2749</v>
      </c>
      <c r="P70" t="s">
        <v>2761</v>
      </c>
      <c r="Q70" t="s">
        <v>2779</v>
      </c>
      <c r="R70" t="s">
        <v>35</v>
      </c>
      <c r="S70">
        <v>3</v>
      </c>
      <c r="T70">
        <v>2024</v>
      </c>
      <c r="U70" t="s">
        <v>2759</v>
      </c>
      <c r="V70" t="s">
        <v>2753</v>
      </c>
      <c r="W70">
        <v>3</v>
      </c>
      <c r="X7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70" t="str">
        <f>IF(orders[[#This Row],[Revenue]]&gt;AVERAGE(orders[Revenue])+3*STDEV(orders[Revenue]),"High Outlier",
 IF(orders[[#This Row],[Revenue]]&lt;AVERAGE(orders[Revenue])-3*STDEV(orders[Revenue]),"Low Outlier",
 "Normal"))</f>
        <v>Normal</v>
      </c>
      <c r="Z70">
        <f ca="1" xml:space="preserve"> _xlfn.DAYS(TODAY(), orders[[#This Row],[OrderDate]])</f>
        <v>797</v>
      </c>
      <c r="AA70"/>
    </row>
    <row r="71" spans="1:27">
      <c r="A71" t="s">
        <v>2854</v>
      </c>
      <c r="B71" t="s">
        <v>1518</v>
      </c>
      <c r="C71" t="s">
        <v>3413</v>
      </c>
      <c r="D71" t="str">
        <f>TEXT(orders[[#This Row],[OrderDate]], "YYYY-MM")</f>
        <v>2022-11</v>
      </c>
      <c r="E71" t="s">
        <v>2809</v>
      </c>
      <c r="F71" s="1">
        <v>44875</v>
      </c>
      <c r="G71" s="1">
        <v>44881</v>
      </c>
      <c r="H71" s="1">
        <v>44884</v>
      </c>
      <c r="I71">
        <v>4</v>
      </c>
      <c r="J71">
        <v>5999</v>
      </c>
      <c r="K71">
        <v>20</v>
      </c>
      <c r="L71">
        <v>4799.2</v>
      </c>
      <c r="M71">
        <v>19196.8</v>
      </c>
      <c r="N71">
        <v>3996.8</v>
      </c>
      <c r="O71" t="s">
        <v>2749</v>
      </c>
      <c r="P71" t="s">
        <v>2757</v>
      </c>
      <c r="Q71" t="s">
        <v>2779</v>
      </c>
      <c r="R71" t="s">
        <v>24</v>
      </c>
      <c r="S71">
        <v>4</v>
      </c>
      <c r="T71">
        <v>2022</v>
      </c>
      <c r="U71" t="s">
        <v>2786</v>
      </c>
      <c r="V71" t="s">
        <v>2764</v>
      </c>
      <c r="W71">
        <v>6</v>
      </c>
      <c r="X7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71" t="str">
        <f>IF(orders[[#This Row],[Revenue]]&gt;AVERAGE(orders[Revenue])+3*STDEV(orders[Revenue]),"High Outlier",
 IF(orders[[#This Row],[Revenue]]&lt;AVERAGE(orders[Revenue])-3*STDEV(orders[Revenue]),"Low Outlier",
 "Normal"))</f>
        <v>Normal</v>
      </c>
      <c r="Z71">
        <f ca="1" xml:space="preserve"> _xlfn.DAYS(TODAY(), orders[[#This Row],[OrderDate]])</f>
        <v>1267</v>
      </c>
      <c r="AA71"/>
    </row>
    <row r="72" spans="1:27">
      <c r="A72" t="s">
        <v>2855</v>
      </c>
      <c r="B72" t="s">
        <v>961</v>
      </c>
      <c r="C72" t="s">
        <v>3366</v>
      </c>
      <c r="D72" t="str">
        <f>TEXT(orders[[#This Row],[OrderDate]], "YYYY-MM")</f>
        <v>2022-09</v>
      </c>
      <c r="E72" t="s">
        <v>2804</v>
      </c>
      <c r="F72" s="1">
        <v>44832</v>
      </c>
      <c r="G72" s="1">
        <v>44833</v>
      </c>
      <c r="H72" s="1">
        <v>44836</v>
      </c>
      <c r="I72">
        <v>5</v>
      </c>
      <c r="J72">
        <v>19999</v>
      </c>
      <c r="K72">
        <v>0</v>
      </c>
      <c r="L72">
        <v>0</v>
      </c>
      <c r="M72">
        <v>99995</v>
      </c>
      <c r="N72">
        <v>34995</v>
      </c>
      <c r="O72" t="s">
        <v>2749</v>
      </c>
      <c r="P72" t="s">
        <v>2761</v>
      </c>
      <c r="Q72" t="s">
        <v>2751</v>
      </c>
      <c r="R72" t="s">
        <v>46</v>
      </c>
      <c r="S72">
        <v>3</v>
      </c>
      <c r="T72">
        <v>2022</v>
      </c>
      <c r="U72" t="s">
        <v>2790</v>
      </c>
      <c r="V72" t="s">
        <v>2774</v>
      </c>
      <c r="W72">
        <v>1</v>
      </c>
      <c r="X7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72" t="str">
        <f>IF(orders[[#This Row],[Revenue]]&gt;AVERAGE(orders[Revenue])+3*STDEV(orders[Revenue]),"High Outlier",
 IF(orders[[#This Row],[Revenue]]&lt;AVERAGE(orders[Revenue])-3*STDEV(orders[Revenue]),"Low Outlier",
 "Normal"))</f>
        <v>Normal</v>
      </c>
      <c r="Z72">
        <f ca="1" xml:space="preserve"> _xlfn.DAYS(TODAY(), orders[[#This Row],[OrderDate]])</f>
        <v>1310</v>
      </c>
      <c r="AA72"/>
    </row>
    <row r="73" spans="1:27">
      <c r="A73" t="s">
        <v>2856</v>
      </c>
      <c r="B73" t="s">
        <v>349</v>
      </c>
      <c r="C73" t="s">
        <v>3366</v>
      </c>
      <c r="D73" t="str">
        <f>TEXT(orders[[#This Row],[OrderDate]], "YYYY-MM")</f>
        <v>2022-09</v>
      </c>
      <c r="E73" t="s">
        <v>2785</v>
      </c>
      <c r="F73" s="1">
        <v>44829</v>
      </c>
      <c r="G73" s="1">
        <v>44833</v>
      </c>
      <c r="H73" s="1">
        <v>44834</v>
      </c>
      <c r="I73">
        <v>4</v>
      </c>
      <c r="J73">
        <v>19999</v>
      </c>
      <c r="K73">
        <v>10</v>
      </c>
      <c r="L73">
        <v>7999.6</v>
      </c>
      <c r="M73">
        <v>71996.399999999994</v>
      </c>
      <c r="N73">
        <v>19996.400000000001</v>
      </c>
      <c r="O73" t="s">
        <v>2749</v>
      </c>
      <c r="P73" t="s">
        <v>2778</v>
      </c>
      <c r="Q73" t="s">
        <v>2758</v>
      </c>
      <c r="R73" t="s">
        <v>188</v>
      </c>
      <c r="S73">
        <v>2</v>
      </c>
      <c r="T73">
        <v>2022</v>
      </c>
      <c r="U73" t="s">
        <v>2790</v>
      </c>
      <c r="V73" t="s">
        <v>2774</v>
      </c>
      <c r="W73">
        <v>4</v>
      </c>
      <c r="X7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73" t="str">
        <f>IF(orders[[#This Row],[Revenue]]&gt;AVERAGE(orders[Revenue])+3*STDEV(orders[Revenue]),"High Outlier",
 IF(orders[[#This Row],[Revenue]]&lt;AVERAGE(orders[Revenue])-3*STDEV(orders[Revenue]),"Low Outlier",
 "Normal"))</f>
        <v>Normal</v>
      </c>
      <c r="Z73">
        <f ca="1" xml:space="preserve"> _xlfn.DAYS(TODAY(), orders[[#This Row],[OrderDate]])</f>
        <v>1313</v>
      </c>
      <c r="AA73"/>
    </row>
    <row r="74" spans="1:27">
      <c r="A74" t="s">
        <v>2857</v>
      </c>
      <c r="B74" t="s">
        <v>1667</v>
      </c>
      <c r="C74" t="s">
        <v>3399</v>
      </c>
      <c r="D74" t="str">
        <f>TEXT(orders[[#This Row],[OrderDate]], "YYYY-MM")</f>
        <v>2023-05</v>
      </c>
      <c r="E74" t="s">
        <v>2748</v>
      </c>
      <c r="F74" s="1">
        <v>45058</v>
      </c>
      <c r="G74" s="1">
        <v>45061</v>
      </c>
      <c r="H74" s="1">
        <v>45064</v>
      </c>
      <c r="I74">
        <v>3</v>
      </c>
      <c r="J74">
        <v>3499</v>
      </c>
      <c r="K74">
        <v>0</v>
      </c>
      <c r="L74">
        <v>0</v>
      </c>
      <c r="M74">
        <v>10497</v>
      </c>
      <c r="N74">
        <v>5097</v>
      </c>
      <c r="O74" t="s">
        <v>2749</v>
      </c>
      <c r="P74" t="s">
        <v>2757</v>
      </c>
      <c r="Q74" t="s">
        <v>2751</v>
      </c>
      <c r="R74" t="s">
        <v>188</v>
      </c>
      <c r="S74">
        <v>4</v>
      </c>
      <c r="T74">
        <v>2023</v>
      </c>
      <c r="U74" t="s">
        <v>2766</v>
      </c>
      <c r="V74" t="s">
        <v>2767</v>
      </c>
      <c r="W74">
        <v>3</v>
      </c>
      <c r="X7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74" t="str">
        <f>IF(orders[[#This Row],[Revenue]]&gt;AVERAGE(orders[Revenue])+3*STDEV(orders[Revenue]),"High Outlier",
 IF(orders[[#This Row],[Revenue]]&lt;AVERAGE(orders[Revenue])-3*STDEV(orders[Revenue]),"Low Outlier",
 "Normal"))</f>
        <v>Normal</v>
      </c>
      <c r="Z74">
        <f ca="1" xml:space="preserve"> _xlfn.DAYS(TODAY(), orders[[#This Row],[OrderDate]])</f>
        <v>1084</v>
      </c>
      <c r="AA74"/>
    </row>
    <row r="75" spans="1:27">
      <c r="A75" t="s">
        <v>2858</v>
      </c>
      <c r="B75" t="s">
        <v>1163</v>
      </c>
      <c r="C75" t="s">
        <v>3362</v>
      </c>
      <c r="D75" t="str">
        <f>TEXT(orders[[#This Row],[OrderDate]], "YYYY-MM")</f>
        <v>2023-10</v>
      </c>
      <c r="E75" t="s">
        <v>2804</v>
      </c>
      <c r="F75" s="1">
        <v>45218</v>
      </c>
      <c r="G75" s="1">
        <v>45223</v>
      </c>
      <c r="H75" s="1">
        <v>45223</v>
      </c>
      <c r="I75">
        <v>3</v>
      </c>
      <c r="J75">
        <v>41900</v>
      </c>
      <c r="K75">
        <v>0</v>
      </c>
      <c r="L75">
        <v>0</v>
      </c>
      <c r="M75">
        <v>125700</v>
      </c>
      <c r="N75">
        <v>41700</v>
      </c>
      <c r="O75" t="s">
        <v>2749</v>
      </c>
      <c r="P75" t="s">
        <v>2750</v>
      </c>
      <c r="Q75" t="s">
        <v>2758</v>
      </c>
      <c r="R75" t="s">
        <v>46</v>
      </c>
      <c r="S75">
        <v>4</v>
      </c>
      <c r="T75">
        <v>2023</v>
      </c>
      <c r="U75" t="s">
        <v>2788</v>
      </c>
      <c r="V75" t="s">
        <v>2764</v>
      </c>
      <c r="W75">
        <v>5</v>
      </c>
      <c r="X7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75" t="str">
        <f>IF(orders[[#This Row],[Revenue]]&gt;AVERAGE(orders[Revenue])+3*STDEV(orders[Revenue]),"High Outlier",
 IF(orders[[#This Row],[Revenue]]&lt;AVERAGE(orders[Revenue])-3*STDEV(orders[Revenue]),"Low Outlier",
 "Normal"))</f>
        <v>Normal</v>
      </c>
      <c r="Z75">
        <f ca="1" xml:space="preserve"> _xlfn.DAYS(TODAY(), orders[[#This Row],[OrderDate]])</f>
        <v>924</v>
      </c>
      <c r="AA75"/>
    </row>
    <row r="76" spans="1:27">
      <c r="A76" t="s">
        <v>2859</v>
      </c>
      <c r="B76" t="s">
        <v>1831</v>
      </c>
      <c r="C76" t="s">
        <v>3325</v>
      </c>
      <c r="D76" t="str">
        <f>TEXT(orders[[#This Row],[OrderDate]], "YYYY-MM")</f>
        <v>2022-04</v>
      </c>
      <c r="E76" t="s">
        <v>2769</v>
      </c>
      <c r="F76" s="1">
        <v>44653</v>
      </c>
      <c r="G76" s="1">
        <v>44655</v>
      </c>
      <c r="H76" s="1">
        <v>44657</v>
      </c>
      <c r="I76">
        <v>2</v>
      </c>
      <c r="J76">
        <v>49990</v>
      </c>
      <c r="K76">
        <v>0</v>
      </c>
      <c r="L76">
        <v>0</v>
      </c>
      <c r="M76">
        <v>99980</v>
      </c>
      <c r="N76">
        <v>29980</v>
      </c>
      <c r="O76" t="s">
        <v>2749</v>
      </c>
      <c r="P76" t="s">
        <v>2757</v>
      </c>
      <c r="Q76" t="s">
        <v>2762</v>
      </c>
      <c r="R76" t="s">
        <v>46</v>
      </c>
      <c r="S76">
        <v>2</v>
      </c>
      <c r="T76">
        <v>2022</v>
      </c>
      <c r="U76" t="s">
        <v>2783</v>
      </c>
      <c r="V76" t="s">
        <v>2767</v>
      </c>
      <c r="W76">
        <v>2</v>
      </c>
      <c r="X7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76" t="str">
        <f>IF(orders[[#This Row],[Revenue]]&gt;AVERAGE(orders[Revenue])+3*STDEV(orders[Revenue]),"High Outlier",
 IF(orders[[#This Row],[Revenue]]&lt;AVERAGE(orders[Revenue])-3*STDEV(orders[Revenue]),"Low Outlier",
 "Normal"))</f>
        <v>Normal</v>
      </c>
      <c r="Z76">
        <f ca="1" xml:space="preserve"> _xlfn.DAYS(TODAY(), orders[[#This Row],[OrderDate]])</f>
        <v>1489</v>
      </c>
      <c r="AA76"/>
    </row>
    <row r="77" spans="1:27">
      <c r="A77" t="s">
        <v>2860</v>
      </c>
      <c r="B77" t="s">
        <v>2654</v>
      </c>
      <c r="C77" t="s">
        <v>3399</v>
      </c>
      <c r="D77" t="str">
        <f>TEXT(orders[[#This Row],[OrderDate]], "YYYY-MM")</f>
        <v>2023-08</v>
      </c>
      <c r="E77" t="s">
        <v>2813</v>
      </c>
      <c r="F77" s="1">
        <v>45151</v>
      </c>
      <c r="G77" s="1">
        <v>45154</v>
      </c>
      <c r="H77" s="1">
        <v>45154</v>
      </c>
      <c r="I77">
        <v>3</v>
      </c>
      <c r="J77">
        <v>3499</v>
      </c>
      <c r="K77">
        <v>15</v>
      </c>
      <c r="L77">
        <v>1574.55</v>
      </c>
      <c r="M77">
        <v>8922.4500000000007</v>
      </c>
      <c r="N77">
        <v>3522.45</v>
      </c>
      <c r="O77" t="s">
        <v>2749</v>
      </c>
      <c r="P77" t="s">
        <v>2770</v>
      </c>
      <c r="Q77" t="s">
        <v>2762</v>
      </c>
      <c r="R77" t="s">
        <v>76</v>
      </c>
      <c r="S77">
        <v>3</v>
      </c>
      <c r="T77">
        <v>2023</v>
      </c>
      <c r="U77" t="s">
        <v>2773</v>
      </c>
      <c r="V77" t="s">
        <v>2774</v>
      </c>
      <c r="W77">
        <v>3</v>
      </c>
      <c r="X7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77" t="str">
        <f>IF(orders[[#This Row],[Revenue]]&gt;AVERAGE(orders[Revenue])+3*STDEV(orders[Revenue]),"High Outlier",
 IF(orders[[#This Row],[Revenue]]&lt;AVERAGE(orders[Revenue])-3*STDEV(orders[Revenue]),"Low Outlier",
 "Normal"))</f>
        <v>Normal</v>
      </c>
      <c r="Z77">
        <f ca="1" xml:space="preserve"> _xlfn.DAYS(TODAY(), orders[[#This Row],[OrderDate]])</f>
        <v>991</v>
      </c>
      <c r="AA77"/>
    </row>
    <row r="78" spans="1:27">
      <c r="A78" t="s">
        <v>2861</v>
      </c>
      <c r="B78" t="s">
        <v>732</v>
      </c>
      <c r="C78" t="s">
        <v>3418</v>
      </c>
      <c r="D78" t="str">
        <f>TEXT(orders[[#This Row],[OrderDate]], "YYYY-MM")</f>
        <v>2023-02</v>
      </c>
      <c r="E78" t="s">
        <v>2809</v>
      </c>
      <c r="F78" s="1">
        <v>44979</v>
      </c>
      <c r="I78">
        <v>5</v>
      </c>
      <c r="J78">
        <v>4999</v>
      </c>
      <c r="K78">
        <v>5</v>
      </c>
      <c r="L78">
        <v>1249.75</v>
      </c>
      <c r="M78">
        <v>23745.25</v>
      </c>
      <c r="N78">
        <v>9745.25</v>
      </c>
      <c r="O78" t="s">
        <v>2756</v>
      </c>
      <c r="P78" t="s">
        <v>2761</v>
      </c>
      <c r="Q78" t="s">
        <v>2751</v>
      </c>
      <c r="R78" t="s">
        <v>24</v>
      </c>
      <c r="T78">
        <v>2023</v>
      </c>
      <c r="U78" t="s">
        <v>2759</v>
      </c>
      <c r="V78" t="s">
        <v>2753</v>
      </c>
      <c r="X7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78" t="str">
        <f>IF(orders[[#This Row],[Revenue]]&gt;AVERAGE(orders[Revenue])+3*STDEV(orders[Revenue]),"High Outlier",
 IF(orders[[#This Row],[Revenue]]&lt;AVERAGE(orders[Revenue])-3*STDEV(orders[Revenue]),"Low Outlier",
 "Normal"))</f>
        <v>Normal</v>
      </c>
      <c r="Z78">
        <f ca="1" xml:space="preserve"> _xlfn.DAYS(TODAY(), orders[[#This Row],[OrderDate]])</f>
        <v>1163</v>
      </c>
      <c r="AA78"/>
    </row>
    <row r="79" spans="1:27">
      <c r="A79" t="s">
        <v>2862</v>
      </c>
      <c r="B79" t="s">
        <v>1826</v>
      </c>
      <c r="C79" t="s">
        <v>3418</v>
      </c>
      <c r="D79" t="str">
        <f>TEXT(orders[[#This Row],[OrderDate]], "YYYY-MM")</f>
        <v>2022-02</v>
      </c>
      <c r="E79" t="s">
        <v>2776</v>
      </c>
      <c r="F79" s="1">
        <v>44599</v>
      </c>
      <c r="G79" s="1">
        <v>44604</v>
      </c>
      <c r="H79" s="1">
        <v>44604</v>
      </c>
      <c r="I79">
        <v>3</v>
      </c>
      <c r="J79">
        <v>4999</v>
      </c>
      <c r="K79">
        <v>0</v>
      </c>
      <c r="L79">
        <v>0</v>
      </c>
      <c r="M79">
        <v>14997</v>
      </c>
      <c r="N79">
        <v>6597</v>
      </c>
      <c r="O79" t="s">
        <v>2749</v>
      </c>
      <c r="P79" t="s">
        <v>2757</v>
      </c>
      <c r="Q79" t="s">
        <v>2794</v>
      </c>
      <c r="R79" t="s">
        <v>35</v>
      </c>
      <c r="S79">
        <v>2</v>
      </c>
      <c r="T79">
        <v>2022</v>
      </c>
      <c r="U79" t="s">
        <v>2759</v>
      </c>
      <c r="V79" t="s">
        <v>2753</v>
      </c>
      <c r="W79">
        <v>5</v>
      </c>
      <c r="X7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79" t="str">
        <f>IF(orders[[#This Row],[Revenue]]&gt;AVERAGE(orders[Revenue])+3*STDEV(orders[Revenue]),"High Outlier",
 IF(orders[[#This Row],[Revenue]]&lt;AVERAGE(orders[Revenue])-3*STDEV(orders[Revenue]),"Low Outlier",
 "Normal"))</f>
        <v>Normal</v>
      </c>
      <c r="Z79">
        <f ca="1" xml:space="preserve"> _xlfn.DAYS(TODAY(), orders[[#This Row],[OrderDate]])</f>
        <v>1543</v>
      </c>
      <c r="AA79"/>
    </row>
    <row r="80" spans="1:27">
      <c r="A80" t="s">
        <v>2863</v>
      </c>
      <c r="B80" t="s">
        <v>2253</v>
      </c>
      <c r="C80" t="s">
        <v>3413</v>
      </c>
      <c r="D80" t="str">
        <f>TEXT(orders[[#This Row],[OrderDate]], "YYYY-MM")</f>
        <v>2022-04</v>
      </c>
      <c r="E80" t="s">
        <v>2785</v>
      </c>
      <c r="F80" s="1">
        <v>44670</v>
      </c>
      <c r="G80" s="1">
        <v>44676</v>
      </c>
      <c r="H80" s="1">
        <v>44676</v>
      </c>
      <c r="I80">
        <v>1</v>
      </c>
      <c r="J80">
        <v>5999</v>
      </c>
      <c r="K80">
        <v>10</v>
      </c>
      <c r="L80">
        <v>599.9</v>
      </c>
      <c r="M80">
        <v>5399.1</v>
      </c>
      <c r="N80">
        <v>1599.1</v>
      </c>
      <c r="O80" t="s">
        <v>2749</v>
      </c>
      <c r="P80" t="s">
        <v>2778</v>
      </c>
      <c r="Q80" t="s">
        <v>2794</v>
      </c>
      <c r="R80" t="s">
        <v>188</v>
      </c>
      <c r="S80">
        <v>3</v>
      </c>
      <c r="T80">
        <v>2022</v>
      </c>
      <c r="U80" t="s">
        <v>2783</v>
      </c>
      <c r="V80" t="s">
        <v>2767</v>
      </c>
      <c r="W80">
        <v>6</v>
      </c>
      <c r="X8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80" t="str">
        <f>IF(orders[[#This Row],[Revenue]]&gt;AVERAGE(orders[Revenue])+3*STDEV(orders[Revenue]),"High Outlier",
 IF(orders[[#This Row],[Revenue]]&lt;AVERAGE(orders[Revenue])-3*STDEV(orders[Revenue]),"Low Outlier",
 "Normal"))</f>
        <v>Normal</v>
      </c>
      <c r="Z80">
        <f ca="1" xml:space="preserve"> _xlfn.DAYS(TODAY(), orders[[#This Row],[OrderDate]])</f>
        <v>1472</v>
      </c>
      <c r="AA80"/>
    </row>
    <row r="81" spans="1:27">
      <c r="A81" t="s">
        <v>2864</v>
      </c>
      <c r="B81" t="s">
        <v>2439</v>
      </c>
      <c r="C81" t="s">
        <v>3319</v>
      </c>
      <c r="D81" t="str">
        <f>TEXT(orders[[#This Row],[OrderDate]], "YYYY-MM")</f>
        <v>2023-08</v>
      </c>
      <c r="E81" t="s">
        <v>2813</v>
      </c>
      <c r="F81" s="1">
        <v>45161</v>
      </c>
      <c r="I81">
        <v>4</v>
      </c>
      <c r="J81">
        <v>55990</v>
      </c>
      <c r="K81">
        <v>5</v>
      </c>
      <c r="L81">
        <v>11198</v>
      </c>
      <c r="M81">
        <v>212762</v>
      </c>
      <c r="N81">
        <v>52762</v>
      </c>
      <c r="O81" t="s">
        <v>2781</v>
      </c>
      <c r="P81" t="s">
        <v>2770</v>
      </c>
      <c r="Q81" t="s">
        <v>2758</v>
      </c>
      <c r="R81" t="s">
        <v>76</v>
      </c>
      <c r="T81">
        <v>2023</v>
      </c>
      <c r="U81" t="s">
        <v>2773</v>
      </c>
      <c r="V81" t="s">
        <v>2774</v>
      </c>
      <c r="X8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81" t="str">
        <f>IF(orders[[#This Row],[Revenue]]&gt;AVERAGE(orders[Revenue])+3*STDEV(orders[Revenue]),"High Outlier",
 IF(orders[[#This Row],[Revenue]]&lt;AVERAGE(orders[Revenue])-3*STDEV(orders[Revenue]),"Low Outlier",
 "Normal"))</f>
        <v>Normal</v>
      </c>
      <c r="Z81">
        <f ca="1" xml:space="preserve"> _xlfn.DAYS(TODAY(), orders[[#This Row],[OrderDate]])</f>
        <v>981</v>
      </c>
      <c r="AA81"/>
    </row>
    <row r="82" spans="1:27">
      <c r="A82" t="s">
        <v>2865</v>
      </c>
      <c r="B82" t="s">
        <v>2049</v>
      </c>
      <c r="C82" t="s">
        <v>3319</v>
      </c>
      <c r="D82" t="str">
        <f>TEXT(orders[[#This Row],[OrderDate]], "YYYY-MM")</f>
        <v>2024-09</v>
      </c>
      <c r="E82" t="s">
        <v>2776</v>
      </c>
      <c r="F82" s="1">
        <v>45554</v>
      </c>
      <c r="I82">
        <v>5</v>
      </c>
      <c r="J82">
        <v>55990</v>
      </c>
      <c r="K82">
        <v>0</v>
      </c>
      <c r="L82">
        <v>0</v>
      </c>
      <c r="M82">
        <v>279950</v>
      </c>
      <c r="N82">
        <v>79950</v>
      </c>
      <c r="O82" t="s">
        <v>2756</v>
      </c>
      <c r="P82" t="s">
        <v>2782</v>
      </c>
      <c r="Q82" t="s">
        <v>2779</v>
      </c>
      <c r="R82" t="s">
        <v>35</v>
      </c>
      <c r="T82">
        <v>2024</v>
      </c>
      <c r="U82" t="s">
        <v>2790</v>
      </c>
      <c r="V82" t="s">
        <v>2774</v>
      </c>
      <c r="X8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82" t="str">
        <f>IF(orders[[#This Row],[Revenue]]&gt;AVERAGE(orders[Revenue])+3*STDEV(orders[Revenue]),"High Outlier",
 IF(orders[[#This Row],[Revenue]]&lt;AVERAGE(orders[Revenue])-3*STDEV(orders[Revenue]),"Low Outlier",
 "Normal"))</f>
        <v>Normal</v>
      </c>
      <c r="Z82">
        <f ca="1" xml:space="preserve"> _xlfn.DAYS(TODAY(), orders[[#This Row],[OrderDate]])</f>
        <v>588</v>
      </c>
      <c r="AA82"/>
    </row>
    <row r="83" spans="1:27">
      <c r="A83" t="s">
        <v>2866</v>
      </c>
      <c r="B83" t="s">
        <v>1513</v>
      </c>
      <c r="C83" t="s">
        <v>3374</v>
      </c>
      <c r="D83" t="str">
        <f>TEXT(orders[[#This Row],[OrderDate]], "YYYY-MM")</f>
        <v>2022-03</v>
      </c>
      <c r="E83" t="s">
        <v>2748</v>
      </c>
      <c r="F83" s="1">
        <v>44643</v>
      </c>
      <c r="G83" s="1">
        <v>44648</v>
      </c>
      <c r="H83" s="1">
        <v>44650</v>
      </c>
      <c r="I83">
        <v>3</v>
      </c>
      <c r="J83">
        <v>64999</v>
      </c>
      <c r="K83">
        <v>15</v>
      </c>
      <c r="L83">
        <v>29249.55</v>
      </c>
      <c r="M83">
        <v>165747.45000000001</v>
      </c>
      <c r="N83">
        <v>30747.45</v>
      </c>
      <c r="O83" t="s">
        <v>2749</v>
      </c>
      <c r="P83" t="s">
        <v>2770</v>
      </c>
      <c r="Q83" t="s">
        <v>2779</v>
      </c>
      <c r="R83" t="s">
        <v>188</v>
      </c>
      <c r="S83">
        <v>1</v>
      </c>
      <c r="T83">
        <v>2022</v>
      </c>
      <c r="U83" t="s">
        <v>2752</v>
      </c>
      <c r="V83" t="s">
        <v>2753</v>
      </c>
      <c r="W83">
        <v>5</v>
      </c>
      <c r="X8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83" t="str">
        <f>IF(orders[[#This Row],[Revenue]]&gt;AVERAGE(orders[Revenue])+3*STDEV(orders[Revenue]),"High Outlier",
 IF(orders[[#This Row],[Revenue]]&lt;AVERAGE(orders[Revenue])-3*STDEV(orders[Revenue]),"Low Outlier",
 "Normal"))</f>
        <v>Normal</v>
      </c>
      <c r="Z83">
        <f ca="1" xml:space="preserve"> _xlfn.DAYS(TODAY(), orders[[#This Row],[OrderDate]])</f>
        <v>1499</v>
      </c>
      <c r="AA83"/>
    </row>
    <row r="84" spans="1:27">
      <c r="A84" t="s">
        <v>2867</v>
      </c>
      <c r="B84" t="s">
        <v>1114</v>
      </c>
      <c r="C84" t="s">
        <v>3409</v>
      </c>
      <c r="D84" t="str">
        <f>TEXT(orders[[#This Row],[OrderDate]], "YYYY-MM")</f>
        <v>2023-12</v>
      </c>
      <c r="E84" t="s">
        <v>2755</v>
      </c>
      <c r="F84" s="1">
        <v>45289</v>
      </c>
      <c r="I84">
        <v>3</v>
      </c>
      <c r="J84">
        <v>7499</v>
      </c>
      <c r="K84">
        <v>5</v>
      </c>
      <c r="L84">
        <v>1124.8499999999999</v>
      </c>
      <c r="M84">
        <v>21372.15</v>
      </c>
      <c r="N84">
        <v>6972.15</v>
      </c>
      <c r="O84" t="s">
        <v>2781</v>
      </c>
      <c r="P84" t="s">
        <v>2761</v>
      </c>
      <c r="Q84" t="s">
        <v>2794</v>
      </c>
      <c r="R84" t="s">
        <v>24</v>
      </c>
      <c r="T84">
        <v>2023</v>
      </c>
      <c r="U84" t="s">
        <v>2763</v>
      </c>
      <c r="V84" t="s">
        <v>2764</v>
      </c>
      <c r="X8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84" t="str">
        <f>IF(orders[[#This Row],[Revenue]]&gt;AVERAGE(orders[Revenue])+3*STDEV(orders[Revenue]),"High Outlier",
 IF(orders[[#This Row],[Revenue]]&lt;AVERAGE(orders[Revenue])-3*STDEV(orders[Revenue]),"Low Outlier",
 "Normal"))</f>
        <v>Normal</v>
      </c>
      <c r="Z84">
        <f ca="1" xml:space="preserve"> _xlfn.DAYS(TODAY(), orders[[#This Row],[OrderDate]])</f>
        <v>853</v>
      </c>
      <c r="AA84"/>
    </row>
    <row r="85" spans="1:27">
      <c r="A85" t="s">
        <v>2868</v>
      </c>
      <c r="B85" t="s">
        <v>2307</v>
      </c>
      <c r="C85" t="s">
        <v>3307</v>
      </c>
      <c r="D85" t="str">
        <f>TEXT(orders[[#This Row],[OrderDate]], "YYYY-MM")</f>
        <v>2024-03</v>
      </c>
      <c r="E85" t="s">
        <v>2755</v>
      </c>
      <c r="F85" s="1">
        <v>45354</v>
      </c>
      <c r="G85" s="1">
        <v>45359</v>
      </c>
      <c r="H85" s="1">
        <v>45361</v>
      </c>
      <c r="I85">
        <v>2</v>
      </c>
      <c r="J85">
        <v>69999</v>
      </c>
      <c r="K85">
        <v>0</v>
      </c>
      <c r="L85">
        <v>0</v>
      </c>
      <c r="M85">
        <v>139998</v>
      </c>
      <c r="N85">
        <v>43998</v>
      </c>
      <c r="O85" t="s">
        <v>2749</v>
      </c>
      <c r="P85" t="s">
        <v>2750</v>
      </c>
      <c r="Q85" t="s">
        <v>2751</v>
      </c>
      <c r="R85" t="s">
        <v>24</v>
      </c>
      <c r="S85">
        <v>2</v>
      </c>
      <c r="T85">
        <v>2024</v>
      </c>
      <c r="U85" t="s">
        <v>2752</v>
      </c>
      <c r="V85" t="s">
        <v>2753</v>
      </c>
      <c r="W85">
        <v>5</v>
      </c>
      <c r="X8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85" t="str">
        <f>IF(orders[[#This Row],[Revenue]]&gt;AVERAGE(orders[Revenue])+3*STDEV(orders[Revenue]),"High Outlier",
 IF(orders[[#This Row],[Revenue]]&lt;AVERAGE(orders[Revenue])-3*STDEV(orders[Revenue]),"Low Outlier",
 "Normal"))</f>
        <v>Normal</v>
      </c>
      <c r="Z85">
        <f ca="1" xml:space="preserve"> _xlfn.DAYS(TODAY(), orders[[#This Row],[OrderDate]])</f>
        <v>788</v>
      </c>
      <c r="AA85"/>
    </row>
    <row r="86" spans="1:27">
      <c r="A86" t="s">
        <v>2869</v>
      </c>
      <c r="B86" t="s">
        <v>357</v>
      </c>
      <c r="C86" t="s">
        <v>3418</v>
      </c>
      <c r="D86" t="str">
        <f>TEXT(orders[[#This Row],[OrderDate]], "YYYY-MM")</f>
        <v>2024-12</v>
      </c>
      <c r="E86" t="s">
        <v>2776</v>
      </c>
      <c r="F86" s="1">
        <v>45628</v>
      </c>
      <c r="I86">
        <v>5</v>
      </c>
      <c r="J86">
        <v>4999</v>
      </c>
      <c r="K86">
        <v>5</v>
      </c>
      <c r="L86">
        <v>1249.75</v>
      </c>
      <c r="M86">
        <v>23745.25</v>
      </c>
      <c r="N86">
        <v>9745.25</v>
      </c>
      <c r="O86" t="s">
        <v>2781</v>
      </c>
      <c r="P86" t="s">
        <v>2770</v>
      </c>
      <c r="Q86" t="s">
        <v>2779</v>
      </c>
      <c r="R86" t="s">
        <v>35</v>
      </c>
      <c r="T86">
        <v>2024</v>
      </c>
      <c r="U86" t="s">
        <v>2763</v>
      </c>
      <c r="V86" t="s">
        <v>2764</v>
      </c>
      <c r="X8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86" t="str">
        <f>IF(orders[[#This Row],[Revenue]]&gt;AVERAGE(orders[Revenue])+3*STDEV(orders[Revenue]),"High Outlier",
 IF(orders[[#This Row],[Revenue]]&lt;AVERAGE(orders[Revenue])-3*STDEV(orders[Revenue]),"Low Outlier",
 "Normal"))</f>
        <v>Normal</v>
      </c>
      <c r="Z86">
        <f ca="1" xml:space="preserve"> _xlfn.DAYS(TODAY(), orders[[#This Row],[OrderDate]])</f>
        <v>514</v>
      </c>
      <c r="AA86"/>
    </row>
    <row r="87" spans="1:27">
      <c r="A87" t="s">
        <v>2870</v>
      </c>
      <c r="B87" t="s">
        <v>1697</v>
      </c>
      <c r="C87" t="s">
        <v>3325</v>
      </c>
      <c r="D87" t="str">
        <f>TEXT(orders[[#This Row],[OrderDate]], "YYYY-MM")</f>
        <v>2023-10</v>
      </c>
      <c r="E87" t="s">
        <v>2813</v>
      </c>
      <c r="F87" s="1">
        <v>45201</v>
      </c>
      <c r="I87">
        <v>3</v>
      </c>
      <c r="J87">
        <v>49990</v>
      </c>
      <c r="K87">
        <v>15</v>
      </c>
      <c r="L87">
        <v>22495.5</v>
      </c>
      <c r="M87">
        <v>127474.5</v>
      </c>
      <c r="N87">
        <v>22474.5</v>
      </c>
      <c r="O87" t="s">
        <v>2756</v>
      </c>
      <c r="P87" t="s">
        <v>2761</v>
      </c>
      <c r="Q87" t="s">
        <v>2779</v>
      </c>
      <c r="R87" t="s">
        <v>76</v>
      </c>
      <c r="T87">
        <v>2023</v>
      </c>
      <c r="U87" t="s">
        <v>2788</v>
      </c>
      <c r="V87" t="s">
        <v>2764</v>
      </c>
      <c r="X8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87" t="str">
        <f>IF(orders[[#This Row],[Revenue]]&gt;AVERAGE(orders[Revenue])+3*STDEV(orders[Revenue]),"High Outlier",
 IF(orders[[#This Row],[Revenue]]&lt;AVERAGE(orders[Revenue])-3*STDEV(orders[Revenue]),"Low Outlier",
 "Normal"))</f>
        <v>Normal</v>
      </c>
      <c r="Z87">
        <f ca="1" xml:space="preserve"> _xlfn.DAYS(TODAY(), orders[[#This Row],[OrderDate]])</f>
        <v>941</v>
      </c>
      <c r="AA87"/>
    </row>
    <row r="88" spans="1:27">
      <c r="A88" t="s">
        <v>2871</v>
      </c>
      <c r="B88" t="s">
        <v>722</v>
      </c>
      <c r="C88" t="s">
        <v>3405</v>
      </c>
      <c r="D88" t="str">
        <f>TEXT(orders[[#This Row],[OrderDate]], "YYYY-MM")</f>
        <v>2023-02</v>
      </c>
      <c r="E88" t="s">
        <v>2804</v>
      </c>
      <c r="F88" s="1">
        <v>44976</v>
      </c>
      <c r="G88" s="1">
        <v>44979</v>
      </c>
      <c r="H88" s="1">
        <v>44980</v>
      </c>
      <c r="I88">
        <v>4</v>
      </c>
      <c r="J88">
        <v>8495</v>
      </c>
      <c r="K88">
        <v>0</v>
      </c>
      <c r="L88">
        <v>0</v>
      </c>
      <c r="M88">
        <v>33980</v>
      </c>
      <c r="N88">
        <v>11980</v>
      </c>
      <c r="O88" t="s">
        <v>2749</v>
      </c>
      <c r="P88" t="s">
        <v>2778</v>
      </c>
      <c r="Q88" t="s">
        <v>2758</v>
      </c>
      <c r="R88" t="s">
        <v>46</v>
      </c>
      <c r="S88">
        <v>2</v>
      </c>
      <c r="T88">
        <v>2023</v>
      </c>
      <c r="U88" t="s">
        <v>2759</v>
      </c>
      <c r="V88" t="s">
        <v>2753</v>
      </c>
      <c r="W88">
        <v>3</v>
      </c>
      <c r="X8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88" t="str">
        <f>IF(orders[[#This Row],[Revenue]]&gt;AVERAGE(orders[Revenue])+3*STDEV(orders[Revenue]),"High Outlier",
 IF(orders[[#This Row],[Revenue]]&lt;AVERAGE(orders[Revenue])-3*STDEV(orders[Revenue]),"Low Outlier",
 "Normal"))</f>
        <v>Normal</v>
      </c>
      <c r="Z88">
        <f ca="1" xml:space="preserve"> _xlfn.DAYS(TODAY(), orders[[#This Row],[OrderDate]])</f>
        <v>1166</v>
      </c>
      <c r="AA88"/>
    </row>
    <row r="89" spans="1:27">
      <c r="A89" t="s">
        <v>2872</v>
      </c>
      <c r="B89" t="s">
        <v>1036</v>
      </c>
      <c r="C89" t="s">
        <v>3314</v>
      </c>
      <c r="D89" t="str">
        <f>TEXT(orders[[#This Row],[OrderDate]], "YYYY-MM")</f>
        <v>2023-01</v>
      </c>
      <c r="E89" t="s">
        <v>2813</v>
      </c>
      <c r="F89" s="1">
        <v>44939</v>
      </c>
      <c r="G89" s="1">
        <v>44946</v>
      </c>
      <c r="H89" s="1">
        <v>44947</v>
      </c>
      <c r="I89">
        <v>1</v>
      </c>
      <c r="J89">
        <v>114900</v>
      </c>
      <c r="K89">
        <v>10</v>
      </c>
      <c r="L89">
        <v>11490</v>
      </c>
      <c r="M89">
        <v>103410</v>
      </c>
      <c r="N89">
        <v>18410</v>
      </c>
      <c r="O89" t="s">
        <v>2749</v>
      </c>
      <c r="P89" t="s">
        <v>2770</v>
      </c>
      <c r="Q89" t="s">
        <v>2751</v>
      </c>
      <c r="R89" t="s">
        <v>76</v>
      </c>
      <c r="S89">
        <v>3</v>
      </c>
      <c r="T89">
        <v>2023</v>
      </c>
      <c r="U89" t="s">
        <v>2795</v>
      </c>
      <c r="V89" t="s">
        <v>2753</v>
      </c>
      <c r="W89">
        <v>7</v>
      </c>
      <c r="X8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89" t="str">
        <f>IF(orders[[#This Row],[Revenue]]&gt;AVERAGE(orders[Revenue])+3*STDEV(orders[Revenue]),"High Outlier",
 IF(orders[[#This Row],[Revenue]]&lt;AVERAGE(orders[Revenue])-3*STDEV(orders[Revenue]),"Low Outlier",
 "Normal"))</f>
        <v>Normal</v>
      </c>
      <c r="Z89">
        <f ca="1" xml:space="preserve"> _xlfn.DAYS(TODAY(), orders[[#This Row],[OrderDate]])</f>
        <v>1203</v>
      </c>
      <c r="AA89"/>
    </row>
    <row r="90" spans="1:27">
      <c r="A90" t="s">
        <v>2873</v>
      </c>
      <c r="B90" t="s">
        <v>1361</v>
      </c>
      <c r="C90" t="s">
        <v>3418</v>
      </c>
      <c r="D90" t="str">
        <f>TEXT(orders[[#This Row],[OrderDate]], "YYYY-MM")</f>
        <v>2022-11</v>
      </c>
      <c r="E90" t="s">
        <v>2755</v>
      </c>
      <c r="F90" s="1">
        <v>44873</v>
      </c>
      <c r="G90" s="1">
        <v>44874</v>
      </c>
      <c r="H90" s="1">
        <v>44875</v>
      </c>
      <c r="I90">
        <v>2</v>
      </c>
      <c r="J90">
        <v>4999</v>
      </c>
      <c r="K90">
        <v>0</v>
      </c>
      <c r="L90">
        <v>0</v>
      </c>
      <c r="M90">
        <v>9998</v>
      </c>
      <c r="N90">
        <v>4398</v>
      </c>
      <c r="O90" t="s">
        <v>2749</v>
      </c>
      <c r="P90" t="s">
        <v>2761</v>
      </c>
      <c r="Q90" t="s">
        <v>2758</v>
      </c>
      <c r="R90" t="s">
        <v>24</v>
      </c>
      <c r="S90">
        <v>3</v>
      </c>
      <c r="T90">
        <v>2022</v>
      </c>
      <c r="U90" t="s">
        <v>2786</v>
      </c>
      <c r="V90" t="s">
        <v>2764</v>
      </c>
      <c r="W90">
        <v>1</v>
      </c>
      <c r="X9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90" t="str">
        <f>IF(orders[[#This Row],[Revenue]]&gt;AVERAGE(orders[Revenue])+3*STDEV(orders[Revenue]),"High Outlier",
 IF(orders[[#This Row],[Revenue]]&lt;AVERAGE(orders[Revenue])-3*STDEV(orders[Revenue]),"Low Outlier",
 "Normal"))</f>
        <v>Normal</v>
      </c>
      <c r="Z90">
        <f ca="1" xml:space="preserve"> _xlfn.DAYS(TODAY(), orders[[#This Row],[OrderDate]])</f>
        <v>1269</v>
      </c>
      <c r="AA90"/>
    </row>
    <row r="91" spans="1:27">
      <c r="A91" t="s">
        <v>2874</v>
      </c>
      <c r="B91" t="s">
        <v>1786</v>
      </c>
      <c r="C91" t="s">
        <v>3394</v>
      </c>
      <c r="D91" t="str">
        <f>TEXT(orders[[#This Row],[OrderDate]], "YYYY-MM")</f>
        <v>2023-04</v>
      </c>
      <c r="E91" t="s">
        <v>2748</v>
      </c>
      <c r="F91" s="1">
        <v>45037</v>
      </c>
      <c r="G91" s="1">
        <v>45043</v>
      </c>
      <c r="H91" s="1">
        <v>45043</v>
      </c>
      <c r="I91">
        <v>3</v>
      </c>
      <c r="J91">
        <v>2499</v>
      </c>
      <c r="K91">
        <v>0</v>
      </c>
      <c r="L91">
        <v>0</v>
      </c>
      <c r="M91">
        <v>7497</v>
      </c>
      <c r="N91">
        <v>3897</v>
      </c>
      <c r="O91" t="s">
        <v>2749</v>
      </c>
      <c r="P91" t="s">
        <v>2778</v>
      </c>
      <c r="Q91" t="s">
        <v>2751</v>
      </c>
      <c r="R91" t="s">
        <v>188</v>
      </c>
      <c r="S91">
        <v>2</v>
      </c>
      <c r="T91">
        <v>2023</v>
      </c>
      <c r="U91" t="s">
        <v>2783</v>
      </c>
      <c r="V91" t="s">
        <v>2767</v>
      </c>
      <c r="W91">
        <v>6</v>
      </c>
      <c r="X9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91" t="str">
        <f>IF(orders[[#This Row],[Revenue]]&gt;AVERAGE(orders[Revenue])+3*STDEV(orders[Revenue]),"High Outlier",
 IF(orders[[#This Row],[Revenue]]&lt;AVERAGE(orders[Revenue])-3*STDEV(orders[Revenue]),"Low Outlier",
 "Normal"))</f>
        <v>Normal</v>
      </c>
      <c r="Z91">
        <f ca="1" xml:space="preserve"> _xlfn.DAYS(TODAY(), orders[[#This Row],[OrderDate]])</f>
        <v>1105</v>
      </c>
      <c r="AA91"/>
    </row>
    <row r="92" spans="1:27">
      <c r="A92" t="s">
        <v>2875</v>
      </c>
      <c r="B92" t="s">
        <v>1518</v>
      </c>
      <c r="C92" t="s">
        <v>3399</v>
      </c>
      <c r="D92" t="str">
        <f>TEXT(orders[[#This Row],[OrderDate]], "YYYY-MM")</f>
        <v>2024-02</v>
      </c>
      <c r="E92" t="s">
        <v>2755</v>
      </c>
      <c r="F92" s="1">
        <v>45327</v>
      </c>
      <c r="G92" s="1">
        <v>45334</v>
      </c>
      <c r="H92" s="1">
        <v>45337</v>
      </c>
      <c r="I92">
        <v>4</v>
      </c>
      <c r="J92">
        <v>3499</v>
      </c>
      <c r="K92">
        <v>15</v>
      </c>
      <c r="L92">
        <v>2099.4</v>
      </c>
      <c r="M92">
        <v>11896.6</v>
      </c>
      <c r="N92">
        <v>4696.6000000000004</v>
      </c>
      <c r="O92" t="s">
        <v>2749</v>
      </c>
      <c r="P92" t="s">
        <v>2782</v>
      </c>
      <c r="Q92" t="s">
        <v>2779</v>
      </c>
      <c r="R92" t="s">
        <v>24</v>
      </c>
      <c r="S92">
        <v>2</v>
      </c>
      <c r="T92">
        <v>2024</v>
      </c>
      <c r="U92" t="s">
        <v>2759</v>
      </c>
      <c r="V92" t="s">
        <v>2753</v>
      </c>
      <c r="W92">
        <v>7</v>
      </c>
      <c r="X9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92" t="str">
        <f>IF(orders[[#This Row],[Revenue]]&gt;AVERAGE(orders[Revenue])+3*STDEV(orders[Revenue]),"High Outlier",
 IF(orders[[#This Row],[Revenue]]&lt;AVERAGE(orders[Revenue])-3*STDEV(orders[Revenue]),"Low Outlier",
 "Normal"))</f>
        <v>Normal</v>
      </c>
      <c r="Z92">
        <f ca="1" xml:space="preserve"> _xlfn.DAYS(TODAY(), orders[[#This Row],[OrderDate]])</f>
        <v>815</v>
      </c>
      <c r="AA92"/>
    </row>
    <row r="93" spans="1:27">
      <c r="A93" t="s">
        <v>2876</v>
      </c>
      <c r="B93" t="s">
        <v>776</v>
      </c>
      <c r="C93" t="s">
        <v>3307</v>
      </c>
      <c r="D93" t="str">
        <f>TEXT(orders[[#This Row],[OrderDate]], "YYYY-MM")</f>
        <v>2022-01</v>
      </c>
      <c r="E93" t="s">
        <v>2755</v>
      </c>
      <c r="F93" s="1">
        <v>44592</v>
      </c>
      <c r="G93" s="1">
        <v>44596</v>
      </c>
      <c r="H93" s="1">
        <v>44597</v>
      </c>
      <c r="I93">
        <v>2</v>
      </c>
      <c r="J93">
        <v>69999</v>
      </c>
      <c r="K93">
        <v>5</v>
      </c>
      <c r="L93">
        <v>6999.9</v>
      </c>
      <c r="M93">
        <v>132998.1</v>
      </c>
      <c r="N93">
        <v>36998.1</v>
      </c>
      <c r="O93" t="s">
        <v>2749</v>
      </c>
      <c r="P93" t="s">
        <v>2757</v>
      </c>
      <c r="Q93" t="s">
        <v>2779</v>
      </c>
      <c r="R93" t="s">
        <v>24</v>
      </c>
      <c r="S93">
        <v>4</v>
      </c>
      <c r="T93">
        <v>2022</v>
      </c>
      <c r="U93" t="s">
        <v>2795</v>
      </c>
      <c r="V93" t="s">
        <v>2753</v>
      </c>
      <c r="W93">
        <v>4</v>
      </c>
      <c r="X9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93" t="str">
        <f>IF(orders[[#This Row],[Revenue]]&gt;AVERAGE(orders[Revenue])+3*STDEV(orders[Revenue]),"High Outlier",
 IF(orders[[#This Row],[Revenue]]&lt;AVERAGE(orders[Revenue])-3*STDEV(orders[Revenue]),"Low Outlier",
 "Normal"))</f>
        <v>Normal</v>
      </c>
      <c r="Z93">
        <f ca="1" xml:space="preserve"> _xlfn.DAYS(TODAY(), orders[[#This Row],[OrderDate]])</f>
        <v>1550</v>
      </c>
      <c r="AA93"/>
    </row>
    <row r="94" spans="1:27">
      <c r="A94" t="s">
        <v>2877</v>
      </c>
      <c r="B94" t="s">
        <v>2444</v>
      </c>
      <c r="C94" t="s">
        <v>3399</v>
      </c>
      <c r="D94" t="str">
        <f>TEXT(orders[[#This Row],[OrderDate]], "YYYY-MM")</f>
        <v>2023-10</v>
      </c>
      <c r="E94" t="s">
        <v>2769</v>
      </c>
      <c r="F94" s="1">
        <v>45227</v>
      </c>
      <c r="G94" s="1">
        <v>45229</v>
      </c>
      <c r="H94" s="1">
        <v>45232</v>
      </c>
      <c r="I94">
        <v>4</v>
      </c>
      <c r="J94">
        <v>3499</v>
      </c>
      <c r="K94">
        <v>0</v>
      </c>
      <c r="L94">
        <v>0</v>
      </c>
      <c r="M94">
        <v>13996</v>
      </c>
      <c r="N94">
        <v>6796</v>
      </c>
      <c r="O94" t="s">
        <v>2749</v>
      </c>
      <c r="P94" t="s">
        <v>2761</v>
      </c>
      <c r="Q94" t="s">
        <v>2751</v>
      </c>
      <c r="R94" t="s">
        <v>46</v>
      </c>
      <c r="S94">
        <v>3</v>
      </c>
      <c r="T94">
        <v>2023</v>
      </c>
      <c r="U94" t="s">
        <v>2788</v>
      </c>
      <c r="V94" t="s">
        <v>2764</v>
      </c>
      <c r="W94">
        <v>2</v>
      </c>
      <c r="X9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94" t="str">
        <f>IF(orders[[#This Row],[Revenue]]&gt;AVERAGE(orders[Revenue])+3*STDEV(orders[Revenue]),"High Outlier",
 IF(orders[[#This Row],[Revenue]]&lt;AVERAGE(orders[Revenue])-3*STDEV(orders[Revenue]),"Low Outlier",
 "Normal"))</f>
        <v>Normal</v>
      </c>
      <c r="Z94">
        <f ca="1" xml:space="preserve"> _xlfn.DAYS(TODAY(), orders[[#This Row],[OrderDate]])</f>
        <v>915</v>
      </c>
      <c r="AA94"/>
    </row>
    <row r="95" spans="1:27">
      <c r="A95" t="s">
        <v>2878</v>
      </c>
      <c r="B95" t="s">
        <v>1233</v>
      </c>
      <c r="C95" t="s">
        <v>3399</v>
      </c>
      <c r="D95" t="str">
        <f>TEXT(orders[[#This Row],[OrderDate]], "YYYY-MM")</f>
        <v>2024-12</v>
      </c>
      <c r="E95" t="s">
        <v>2748</v>
      </c>
      <c r="F95" s="1">
        <v>45628</v>
      </c>
      <c r="G95" s="1">
        <v>45632</v>
      </c>
      <c r="H95" s="1">
        <v>45635</v>
      </c>
      <c r="I95">
        <v>1</v>
      </c>
      <c r="J95">
        <v>3499</v>
      </c>
      <c r="K95">
        <v>5</v>
      </c>
      <c r="L95">
        <v>174.95</v>
      </c>
      <c r="M95">
        <v>3324.05</v>
      </c>
      <c r="N95">
        <v>1524.05</v>
      </c>
      <c r="O95" t="s">
        <v>2749</v>
      </c>
      <c r="P95" t="s">
        <v>2761</v>
      </c>
      <c r="Q95" t="s">
        <v>2758</v>
      </c>
      <c r="R95" t="s">
        <v>188</v>
      </c>
      <c r="S95">
        <v>4</v>
      </c>
      <c r="T95">
        <v>2024</v>
      </c>
      <c r="U95" t="s">
        <v>2763</v>
      </c>
      <c r="V95" t="s">
        <v>2764</v>
      </c>
      <c r="W95">
        <v>4</v>
      </c>
      <c r="X9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95" t="str">
        <f>IF(orders[[#This Row],[Revenue]]&gt;AVERAGE(orders[Revenue])+3*STDEV(orders[Revenue]),"High Outlier",
 IF(orders[[#This Row],[Revenue]]&lt;AVERAGE(orders[Revenue])-3*STDEV(orders[Revenue]),"Low Outlier",
 "Normal"))</f>
        <v>Normal</v>
      </c>
      <c r="Z95">
        <f ca="1" xml:space="preserve"> _xlfn.DAYS(TODAY(), orders[[#This Row],[OrderDate]])</f>
        <v>514</v>
      </c>
      <c r="AA95"/>
    </row>
    <row r="96" spans="1:27">
      <c r="A96" t="s">
        <v>2879</v>
      </c>
      <c r="B96" t="s">
        <v>2114</v>
      </c>
      <c r="C96" t="s">
        <v>3307</v>
      </c>
      <c r="D96" t="str">
        <f>TEXT(orders[[#This Row],[OrderDate]], "YYYY-MM")</f>
        <v>2024-11</v>
      </c>
      <c r="E96" t="s">
        <v>2785</v>
      </c>
      <c r="F96" s="1">
        <v>45619</v>
      </c>
      <c r="I96">
        <v>1</v>
      </c>
      <c r="J96">
        <v>69999</v>
      </c>
      <c r="K96">
        <v>5</v>
      </c>
      <c r="L96">
        <v>3499.95</v>
      </c>
      <c r="M96">
        <v>66499.05</v>
      </c>
      <c r="N96">
        <v>18499.05</v>
      </c>
      <c r="O96" t="s">
        <v>2781</v>
      </c>
      <c r="P96" t="s">
        <v>2750</v>
      </c>
      <c r="Q96" t="s">
        <v>2751</v>
      </c>
      <c r="R96" t="s">
        <v>188</v>
      </c>
      <c r="T96">
        <v>2024</v>
      </c>
      <c r="U96" t="s">
        <v>2786</v>
      </c>
      <c r="V96" t="s">
        <v>2764</v>
      </c>
      <c r="X9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96" t="str">
        <f>IF(orders[[#This Row],[Revenue]]&gt;AVERAGE(orders[Revenue])+3*STDEV(orders[Revenue]),"High Outlier",
 IF(orders[[#This Row],[Revenue]]&lt;AVERAGE(orders[Revenue])-3*STDEV(orders[Revenue]),"Low Outlier",
 "Normal"))</f>
        <v>Normal</v>
      </c>
      <c r="Z96">
        <f ca="1" xml:space="preserve"> _xlfn.DAYS(TODAY(), orders[[#This Row],[OrderDate]])</f>
        <v>523</v>
      </c>
      <c r="AA96"/>
    </row>
    <row r="97" spans="1:27">
      <c r="A97" t="s">
        <v>2880</v>
      </c>
      <c r="B97" t="s">
        <v>1244</v>
      </c>
      <c r="C97" t="s">
        <v>3350</v>
      </c>
      <c r="D97" t="str">
        <f>TEXT(orders[[#This Row],[OrderDate]], "YYYY-MM")</f>
        <v>2024-08</v>
      </c>
      <c r="E97" t="s">
        <v>2755</v>
      </c>
      <c r="F97" s="1">
        <v>45506</v>
      </c>
      <c r="G97" s="1">
        <v>45510</v>
      </c>
      <c r="H97" s="1">
        <v>45512</v>
      </c>
      <c r="I97">
        <v>5</v>
      </c>
      <c r="J97">
        <v>12999</v>
      </c>
      <c r="K97">
        <v>0</v>
      </c>
      <c r="L97">
        <v>0</v>
      </c>
      <c r="M97">
        <v>64995</v>
      </c>
      <c r="N97">
        <v>24995</v>
      </c>
      <c r="O97" t="s">
        <v>2749</v>
      </c>
      <c r="P97" t="s">
        <v>2778</v>
      </c>
      <c r="Q97" t="s">
        <v>2758</v>
      </c>
      <c r="R97" t="s">
        <v>24</v>
      </c>
      <c r="S97">
        <v>2</v>
      </c>
      <c r="T97">
        <v>2024</v>
      </c>
      <c r="U97" t="s">
        <v>2773</v>
      </c>
      <c r="V97" t="s">
        <v>2774</v>
      </c>
      <c r="W97">
        <v>4</v>
      </c>
      <c r="X9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97" t="str">
        <f>IF(orders[[#This Row],[Revenue]]&gt;AVERAGE(orders[Revenue])+3*STDEV(orders[Revenue]),"High Outlier",
 IF(orders[[#This Row],[Revenue]]&lt;AVERAGE(orders[Revenue])-3*STDEV(orders[Revenue]),"Low Outlier",
 "Normal"))</f>
        <v>Normal</v>
      </c>
      <c r="Z97">
        <f ca="1" xml:space="preserve"> _xlfn.DAYS(TODAY(), orders[[#This Row],[OrderDate]])</f>
        <v>636</v>
      </c>
      <c r="AA97"/>
    </row>
    <row r="98" spans="1:27">
      <c r="A98" t="s">
        <v>2881</v>
      </c>
      <c r="B98" t="s">
        <v>1418</v>
      </c>
      <c r="C98" t="s">
        <v>3405</v>
      </c>
      <c r="D98" t="str">
        <f>TEXT(orders[[#This Row],[OrderDate]], "YYYY-MM")</f>
        <v>2022-07</v>
      </c>
      <c r="E98" t="s">
        <v>2769</v>
      </c>
      <c r="F98" s="1">
        <v>44747</v>
      </c>
      <c r="I98">
        <v>5</v>
      </c>
      <c r="J98">
        <v>8495</v>
      </c>
      <c r="K98">
        <v>0</v>
      </c>
      <c r="L98">
        <v>0</v>
      </c>
      <c r="M98">
        <v>42475</v>
      </c>
      <c r="N98">
        <v>14975</v>
      </c>
      <c r="O98" t="s">
        <v>2781</v>
      </c>
      <c r="P98" t="s">
        <v>2782</v>
      </c>
      <c r="Q98" t="s">
        <v>2758</v>
      </c>
      <c r="R98" t="s">
        <v>46</v>
      </c>
      <c r="T98">
        <v>2022</v>
      </c>
      <c r="U98" t="s">
        <v>2792</v>
      </c>
      <c r="V98" t="s">
        <v>2774</v>
      </c>
      <c r="X9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98" t="str">
        <f>IF(orders[[#This Row],[Revenue]]&gt;AVERAGE(orders[Revenue])+3*STDEV(orders[Revenue]),"High Outlier",
 IF(orders[[#This Row],[Revenue]]&lt;AVERAGE(orders[Revenue])-3*STDEV(orders[Revenue]),"Low Outlier",
 "Normal"))</f>
        <v>Normal</v>
      </c>
      <c r="Z98">
        <f ca="1" xml:space="preserve"> _xlfn.DAYS(TODAY(), orders[[#This Row],[OrderDate]])</f>
        <v>1395</v>
      </c>
      <c r="AA98"/>
    </row>
    <row r="99" spans="1:27">
      <c r="A99" t="s">
        <v>2882</v>
      </c>
      <c r="B99" t="s">
        <v>2630</v>
      </c>
      <c r="C99" t="s">
        <v>3413</v>
      </c>
      <c r="D99" t="str">
        <f>TEXT(orders[[#This Row],[OrderDate]], "YYYY-MM")</f>
        <v>2024-03</v>
      </c>
      <c r="E99" t="s">
        <v>2813</v>
      </c>
      <c r="F99" s="1">
        <v>45367</v>
      </c>
      <c r="G99" s="1">
        <v>45370</v>
      </c>
      <c r="H99" s="1">
        <v>45373</v>
      </c>
      <c r="I99">
        <v>1</v>
      </c>
      <c r="J99">
        <v>5999</v>
      </c>
      <c r="K99">
        <v>0</v>
      </c>
      <c r="L99">
        <v>0</v>
      </c>
      <c r="M99">
        <v>5999</v>
      </c>
      <c r="N99">
        <v>2199</v>
      </c>
      <c r="O99" t="s">
        <v>2749</v>
      </c>
      <c r="P99" t="s">
        <v>2770</v>
      </c>
      <c r="Q99" t="s">
        <v>2758</v>
      </c>
      <c r="R99" t="s">
        <v>76</v>
      </c>
      <c r="S99">
        <v>2</v>
      </c>
      <c r="T99">
        <v>2024</v>
      </c>
      <c r="U99" t="s">
        <v>2752</v>
      </c>
      <c r="V99" t="s">
        <v>2753</v>
      </c>
      <c r="W99">
        <v>3</v>
      </c>
      <c r="X9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99" t="str">
        <f>IF(orders[[#This Row],[Revenue]]&gt;AVERAGE(orders[Revenue])+3*STDEV(orders[Revenue]),"High Outlier",
 IF(orders[[#This Row],[Revenue]]&lt;AVERAGE(orders[Revenue])-3*STDEV(orders[Revenue]),"Low Outlier",
 "Normal"))</f>
        <v>Normal</v>
      </c>
      <c r="Z99">
        <f ca="1" xml:space="preserve"> _xlfn.DAYS(TODAY(), orders[[#This Row],[OrderDate]])</f>
        <v>775</v>
      </c>
      <c r="AA99"/>
    </row>
    <row r="100" spans="1:27">
      <c r="A100" t="s">
        <v>2883</v>
      </c>
      <c r="B100" t="s">
        <v>2484</v>
      </c>
      <c r="C100" t="s">
        <v>3374</v>
      </c>
      <c r="D100" t="str">
        <f>TEXT(orders[[#This Row],[OrderDate]], "YYYY-MM")</f>
        <v>2023-05</v>
      </c>
      <c r="E100" t="s">
        <v>2809</v>
      </c>
      <c r="F100" s="1">
        <v>45074</v>
      </c>
      <c r="G100" s="1">
        <v>45080</v>
      </c>
      <c r="H100" s="1">
        <v>45081</v>
      </c>
      <c r="I100">
        <v>1</v>
      </c>
      <c r="J100">
        <v>64999</v>
      </c>
      <c r="K100">
        <v>0</v>
      </c>
      <c r="L100">
        <v>0</v>
      </c>
      <c r="M100">
        <v>64999</v>
      </c>
      <c r="N100">
        <v>19999</v>
      </c>
      <c r="O100" t="s">
        <v>2749</v>
      </c>
      <c r="P100" t="s">
        <v>2757</v>
      </c>
      <c r="Q100" t="s">
        <v>2751</v>
      </c>
      <c r="R100" t="s">
        <v>24</v>
      </c>
      <c r="S100">
        <v>3</v>
      </c>
      <c r="T100">
        <v>2023</v>
      </c>
      <c r="U100" t="s">
        <v>2766</v>
      </c>
      <c r="V100" t="s">
        <v>2767</v>
      </c>
      <c r="W100">
        <v>6</v>
      </c>
      <c r="X10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00" t="str">
        <f>IF(orders[[#This Row],[Revenue]]&gt;AVERAGE(orders[Revenue])+3*STDEV(orders[Revenue]),"High Outlier",
 IF(orders[[#This Row],[Revenue]]&lt;AVERAGE(orders[Revenue])-3*STDEV(orders[Revenue]),"Low Outlier",
 "Normal"))</f>
        <v>Normal</v>
      </c>
      <c r="Z100">
        <f ca="1" xml:space="preserve"> _xlfn.DAYS(TODAY(), orders[[#This Row],[OrderDate]])</f>
        <v>1068</v>
      </c>
      <c r="AA100"/>
    </row>
    <row r="101" spans="1:27">
      <c r="A101" t="s">
        <v>2884</v>
      </c>
      <c r="B101" t="s">
        <v>349</v>
      </c>
      <c r="C101" t="s">
        <v>3384</v>
      </c>
      <c r="D101" t="str">
        <f>TEXT(orders[[#This Row],[OrderDate]], "YYYY-MM")</f>
        <v>2024-11</v>
      </c>
      <c r="E101" t="s">
        <v>2785</v>
      </c>
      <c r="F101" s="1">
        <v>45609</v>
      </c>
      <c r="I101">
        <v>2</v>
      </c>
      <c r="J101">
        <v>59900</v>
      </c>
      <c r="K101">
        <v>10</v>
      </c>
      <c r="L101">
        <v>11980</v>
      </c>
      <c r="M101">
        <v>107820</v>
      </c>
      <c r="N101">
        <v>23820</v>
      </c>
      <c r="O101" t="s">
        <v>2756</v>
      </c>
      <c r="P101" t="s">
        <v>2761</v>
      </c>
      <c r="Q101" t="s">
        <v>2751</v>
      </c>
      <c r="R101" t="s">
        <v>188</v>
      </c>
      <c r="T101">
        <v>2024</v>
      </c>
      <c r="U101" t="s">
        <v>2786</v>
      </c>
      <c r="V101" t="s">
        <v>2764</v>
      </c>
      <c r="X10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01" t="str">
        <f>IF(orders[[#This Row],[Revenue]]&gt;AVERAGE(orders[Revenue])+3*STDEV(orders[Revenue]),"High Outlier",
 IF(orders[[#This Row],[Revenue]]&lt;AVERAGE(orders[Revenue])-3*STDEV(orders[Revenue]),"Low Outlier",
 "Normal"))</f>
        <v>Normal</v>
      </c>
      <c r="Z101">
        <f ca="1" xml:space="preserve"> _xlfn.DAYS(TODAY(), orders[[#This Row],[OrderDate]])</f>
        <v>533</v>
      </c>
      <c r="AA101"/>
    </row>
    <row r="102" spans="1:27">
      <c r="A102" t="s">
        <v>2885</v>
      </c>
      <c r="B102" t="s">
        <v>199</v>
      </c>
      <c r="C102" t="s">
        <v>3423</v>
      </c>
      <c r="D102" t="str">
        <f>TEXT(orders[[#This Row],[OrderDate]], "YYYY-MM")</f>
        <v>2023-11</v>
      </c>
      <c r="E102" t="s">
        <v>2804</v>
      </c>
      <c r="F102" s="1">
        <v>45248</v>
      </c>
      <c r="I102">
        <v>2</v>
      </c>
      <c r="J102">
        <v>1599</v>
      </c>
      <c r="K102">
        <v>0</v>
      </c>
      <c r="L102">
        <v>0</v>
      </c>
      <c r="M102">
        <v>3198</v>
      </c>
      <c r="N102">
        <v>1598</v>
      </c>
      <c r="O102" t="s">
        <v>2756</v>
      </c>
      <c r="P102" t="s">
        <v>2782</v>
      </c>
      <c r="Q102" t="s">
        <v>2779</v>
      </c>
      <c r="R102" t="s">
        <v>46</v>
      </c>
      <c r="T102">
        <v>2023</v>
      </c>
      <c r="U102" t="s">
        <v>2786</v>
      </c>
      <c r="V102" t="s">
        <v>2764</v>
      </c>
      <c r="X10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02" t="str">
        <f>IF(orders[[#This Row],[Revenue]]&gt;AVERAGE(orders[Revenue])+3*STDEV(orders[Revenue]),"High Outlier",
 IF(orders[[#This Row],[Revenue]]&lt;AVERAGE(orders[Revenue])-3*STDEV(orders[Revenue]),"Low Outlier",
 "Normal"))</f>
        <v>Normal</v>
      </c>
      <c r="Z102">
        <f ca="1" xml:space="preserve"> _xlfn.DAYS(TODAY(), orders[[#This Row],[OrderDate]])</f>
        <v>894</v>
      </c>
      <c r="AA102"/>
    </row>
    <row r="103" spans="1:27">
      <c r="A103" t="s">
        <v>2886</v>
      </c>
      <c r="B103" t="s">
        <v>2198</v>
      </c>
      <c r="C103" t="s">
        <v>3413</v>
      </c>
      <c r="D103" t="str">
        <f>TEXT(orders[[#This Row],[OrderDate]], "YYYY-MM")</f>
        <v>2024-05</v>
      </c>
      <c r="E103" t="s">
        <v>2804</v>
      </c>
      <c r="F103" s="1">
        <v>45421</v>
      </c>
      <c r="G103" s="1">
        <v>45424</v>
      </c>
      <c r="H103" s="1">
        <v>45427</v>
      </c>
      <c r="I103">
        <v>3</v>
      </c>
      <c r="J103">
        <v>5999</v>
      </c>
      <c r="K103">
        <v>0</v>
      </c>
      <c r="L103">
        <v>0</v>
      </c>
      <c r="M103">
        <v>17997</v>
      </c>
      <c r="N103">
        <v>6597</v>
      </c>
      <c r="O103" t="s">
        <v>2749</v>
      </c>
      <c r="P103" t="s">
        <v>2757</v>
      </c>
      <c r="Q103" t="s">
        <v>2779</v>
      </c>
      <c r="R103" t="s">
        <v>46</v>
      </c>
      <c r="S103">
        <v>2</v>
      </c>
      <c r="T103">
        <v>2024</v>
      </c>
      <c r="U103" t="s">
        <v>2766</v>
      </c>
      <c r="V103" t="s">
        <v>2767</v>
      </c>
      <c r="W103">
        <v>3</v>
      </c>
      <c r="X10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03" t="str">
        <f>IF(orders[[#This Row],[Revenue]]&gt;AVERAGE(orders[Revenue])+3*STDEV(orders[Revenue]),"High Outlier",
 IF(orders[[#This Row],[Revenue]]&lt;AVERAGE(orders[Revenue])-3*STDEV(orders[Revenue]),"Low Outlier",
 "Normal"))</f>
        <v>Normal</v>
      </c>
      <c r="Z103">
        <f ca="1" xml:space="preserve"> _xlfn.DAYS(TODAY(), orders[[#This Row],[OrderDate]])</f>
        <v>721</v>
      </c>
      <c r="AA103"/>
    </row>
    <row r="104" spans="1:27">
      <c r="A104" t="s">
        <v>2887</v>
      </c>
      <c r="B104" t="s">
        <v>27</v>
      </c>
      <c r="C104" t="s">
        <v>3399</v>
      </c>
      <c r="D104" t="str">
        <f>TEXT(orders[[#This Row],[OrderDate]], "YYYY-MM")</f>
        <v>2022-01</v>
      </c>
      <c r="E104" t="s">
        <v>2776</v>
      </c>
      <c r="F104" s="1">
        <v>44587</v>
      </c>
      <c r="G104" s="1">
        <v>44591</v>
      </c>
      <c r="H104" s="1">
        <v>44594</v>
      </c>
      <c r="I104">
        <v>5</v>
      </c>
      <c r="J104">
        <v>3499</v>
      </c>
      <c r="K104">
        <v>0</v>
      </c>
      <c r="L104">
        <v>0</v>
      </c>
      <c r="M104">
        <v>17495</v>
      </c>
      <c r="N104">
        <v>8495</v>
      </c>
      <c r="O104" t="s">
        <v>2749</v>
      </c>
      <c r="P104" t="s">
        <v>2761</v>
      </c>
      <c r="Q104" t="s">
        <v>2751</v>
      </c>
      <c r="R104" t="s">
        <v>35</v>
      </c>
      <c r="S104">
        <v>2</v>
      </c>
      <c r="T104">
        <v>2022</v>
      </c>
      <c r="U104" t="s">
        <v>2795</v>
      </c>
      <c r="V104" t="s">
        <v>2753</v>
      </c>
      <c r="W104">
        <v>4</v>
      </c>
      <c r="X10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04" t="str">
        <f>IF(orders[[#This Row],[Revenue]]&gt;AVERAGE(orders[Revenue])+3*STDEV(orders[Revenue]),"High Outlier",
 IF(orders[[#This Row],[Revenue]]&lt;AVERAGE(orders[Revenue])-3*STDEV(orders[Revenue]),"Low Outlier",
 "Normal"))</f>
        <v>Normal</v>
      </c>
      <c r="Z104">
        <f ca="1" xml:space="preserve"> _xlfn.DAYS(TODAY(), orders[[#This Row],[OrderDate]])</f>
        <v>1555</v>
      </c>
      <c r="AA104"/>
    </row>
    <row r="105" spans="1:27">
      <c r="A105" t="s">
        <v>2888</v>
      </c>
      <c r="B105" t="s">
        <v>755</v>
      </c>
      <c r="C105" t="s">
        <v>3394</v>
      </c>
      <c r="D105" t="str">
        <f>TEXT(orders[[#This Row],[OrderDate]], "YYYY-MM")</f>
        <v>2024-07</v>
      </c>
      <c r="E105" t="s">
        <v>2755</v>
      </c>
      <c r="F105" s="1">
        <v>45491</v>
      </c>
      <c r="G105" s="1">
        <v>45495</v>
      </c>
      <c r="H105" s="1">
        <v>45495</v>
      </c>
      <c r="I105">
        <v>5</v>
      </c>
      <c r="J105">
        <v>2499</v>
      </c>
      <c r="K105">
        <v>0</v>
      </c>
      <c r="L105">
        <v>0</v>
      </c>
      <c r="M105">
        <v>12495</v>
      </c>
      <c r="N105">
        <v>6495</v>
      </c>
      <c r="O105" t="s">
        <v>2749</v>
      </c>
      <c r="P105" t="s">
        <v>2782</v>
      </c>
      <c r="Q105" t="s">
        <v>2758</v>
      </c>
      <c r="R105" t="s">
        <v>24</v>
      </c>
      <c r="S105">
        <v>3</v>
      </c>
      <c r="T105">
        <v>2024</v>
      </c>
      <c r="U105" t="s">
        <v>2792</v>
      </c>
      <c r="V105" t="s">
        <v>2774</v>
      </c>
      <c r="W105">
        <v>4</v>
      </c>
      <c r="X10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05" t="str">
        <f>IF(orders[[#This Row],[Revenue]]&gt;AVERAGE(orders[Revenue])+3*STDEV(orders[Revenue]),"High Outlier",
 IF(orders[[#This Row],[Revenue]]&lt;AVERAGE(orders[Revenue])-3*STDEV(orders[Revenue]),"Low Outlier",
 "Normal"))</f>
        <v>Normal</v>
      </c>
      <c r="Z105">
        <f ca="1" xml:space="preserve"> _xlfn.DAYS(TODAY(), orders[[#This Row],[OrderDate]])</f>
        <v>651</v>
      </c>
      <c r="AA105"/>
    </row>
    <row r="106" spans="1:27">
      <c r="A106" t="s">
        <v>2889</v>
      </c>
      <c r="B106" t="s">
        <v>1821</v>
      </c>
      <c r="C106" t="s">
        <v>3405</v>
      </c>
      <c r="D106" t="str">
        <f>TEXT(orders[[#This Row],[OrderDate]], "YYYY-MM")</f>
        <v>2022-04</v>
      </c>
      <c r="E106" t="s">
        <v>2748</v>
      </c>
      <c r="F106" s="1">
        <v>44662</v>
      </c>
      <c r="G106" s="1">
        <v>44664</v>
      </c>
      <c r="H106" s="1">
        <v>44664</v>
      </c>
      <c r="I106">
        <v>3</v>
      </c>
      <c r="J106">
        <v>8495</v>
      </c>
      <c r="K106">
        <v>0</v>
      </c>
      <c r="L106">
        <v>0</v>
      </c>
      <c r="M106">
        <v>25485</v>
      </c>
      <c r="N106">
        <v>8985</v>
      </c>
      <c r="O106" t="s">
        <v>2749</v>
      </c>
      <c r="P106" t="s">
        <v>2782</v>
      </c>
      <c r="Q106" t="s">
        <v>2762</v>
      </c>
      <c r="R106" t="s">
        <v>188</v>
      </c>
      <c r="S106">
        <v>5</v>
      </c>
      <c r="T106">
        <v>2022</v>
      </c>
      <c r="U106" t="s">
        <v>2783</v>
      </c>
      <c r="V106" t="s">
        <v>2767</v>
      </c>
      <c r="W106">
        <v>2</v>
      </c>
      <c r="X10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06" t="str">
        <f>IF(orders[[#This Row],[Revenue]]&gt;AVERAGE(orders[Revenue])+3*STDEV(orders[Revenue]),"High Outlier",
 IF(orders[[#This Row],[Revenue]]&lt;AVERAGE(orders[Revenue])-3*STDEV(orders[Revenue]),"Low Outlier",
 "Normal"))</f>
        <v>Normal</v>
      </c>
      <c r="Z106">
        <f ca="1" xml:space="preserve"> _xlfn.DAYS(TODAY(), orders[[#This Row],[OrderDate]])</f>
        <v>1480</v>
      </c>
      <c r="AA106"/>
    </row>
    <row r="107" spans="1:27">
      <c r="A107" t="s">
        <v>2890</v>
      </c>
      <c r="B107" t="s">
        <v>2375</v>
      </c>
      <c r="C107" t="s">
        <v>3399</v>
      </c>
      <c r="D107" t="str">
        <f>TEXT(orders[[#This Row],[OrderDate]], "YYYY-MM")</f>
        <v>2023-11</v>
      </c>
      <c r="E107" t="s">
        <v>2785</v>
      </c>
      <c r="F107" s="1">
        <v>45240</v>
      </c>
      <c r="G107" s="1">
        <v>45241</v>
      </c>
      <c r="H107" s="1">
        <v>45241</v>
      </c>
      <c r="I107">
        <v>4</v>
      </c>
      <c r="J107">
        <v>3499</v>
      </c>
      <c r="K107">
        <v>0</v>
      </c>
      <c r="L107">
        <v>0</v>
      </c>
      <c r="M107">
        <v>13996</v>
      </c>
      <c r="N107">
        <v>6796</v>
      </c>
      <c r="O107" t="s">
        <v>2749</v>
      </c>
      <c r="P107" t="s">
        <v>2782</v>
      </c>
      <c r="Q107" t="s">
        <v>2794</v>
      </c>
      <c r="R107" t="s">
        <v>188</v>
      </c>
      <c r="S107">
        <v>5</v>
      </c>
      <c r="T107">
        <v>2023</v>
      </c>
      <c r="U107" t="s">
        <v>2786</v>
      </c>
      <c r="V107" t="s">
        <v>2764</v>
      </c>
      <c r="W107">
        <v>1</v>
      </c>
      <c r="X10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07" t="str">
        <f>IF(orders[[#This Row],[Revenue]]&gt;AVERAGE(orders[Revenue])+3*STDEV(orders[Revenue]),"High Outlier",
 IF(orders[[#This Row],[Revenue]]&lt;AVERAGE(orders[Revenue])-3*STDEV(orders[Revenue]),"Low Outlier",
 "Normal"))</f>
        <v>Normal</v>
      </c>
      <c r="Z107">
        <f ca="1" xml:space="preserve"> _xlfn.DAYS(TODAY(), orders[[#This Row],[OrderDate]])</f>
        <v>902</v>
      </c>
      <c r="AA107"/>
    </row>
    <row r="108" spans="1:27">
      <c r="A108" t="s">
        <v>2891</v>
      </c>
      <c r="B108" t="s">
        <v>1926</v>
      </c>
      <c r="C108" t="s">
        <v>3413</v>
      </c>
      <c r="D108" t="str">
        <f>TEXT(orders[[#This Row],[OrderDate]], "YYYY-MM")</f>
        <v>2024-07</v>
      </c>
      <c r="E108" t="s">
        <v>2748</v>
      </c>
      <c r="F108" s="1">
        <v>45494</v>
      </c>
      <c r="I108">
        <v>5</v>
      </c>
      <c r="J108">
        <v>5999</v>
      </c>
      <c r="K108">
        <v>10</v>
      </c>
      <c r="L108">
        <v>2999.5</v>
      </c>
      <c r="M108">
        <v>26995.5</v>
      </c>
      <c r="N108">
        <v>7995.5</v>
      </c>
      <c r="O108" t="s">
        <v>2781</v>
      </c>
      <c r="P108" t="s">
        <v>2757</v>
      </c>
      <c r="Q108" t="s">
        <v>2762</v>
      </c>
      <c r="R108" t="s">
        <v>188</v>
      </c>
      <c r="T108">
        <v>2024</v>
      </c>
      <c r="U108" t="s">
        <v>2792</v>
      </c>
      <c r="V108" t="s">
        <v>2774</v>
      </c>
      <c r="X10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08" t="str">
        <f>IF(orders[[#This Row],[Revenue]]&gt;AVERAGE(orders[Revenue])+3*STDEV(orders[Revenue]),"High Outlier",
 IF(orders[[#This Row],[Revenue]]&lt;AVERAGE(orders[Revenue])-3*STDEV(orders[Revenue]),"Low Outlier",
 "Normal"))</f>
        <v>Normal</v>
      </c>
      <c r="Z108">
        <f ca="1" xml:space="preserve"> _xlfn.DAYS(TODAY(), orders[[#This Row],[OrderDate]])</f>
        <v>648</v>
      </c>
      <c r="AA108"/>
    </row>
    <row r="109" spans="1:27">
      <c r="A109" t="s">
        <v>2892</v>
      </c>
      <c r="B109" t="s">
        <v>2198</v>
      </c>
      <c r="C109" t="s">
        <v>3350</v>
      </c>
      <c r="D109" t="str">
        <f>TEXT(orders[[#This Row],[OrderDate]], "YYYY-MM")</f>
        <v>2024-01</v>
      </c>
      <c r="E109" t="s">
        <v>2769</v>
      </c>
      <c r="F109" s="1">
        <v>45316</v>
      </c>
      <c r="G109" s="1">
        <v>45323</v>
      </c>
      <c r="H109" s="1">
        <v>45323</v>
      </c>
      <c r="I109">
        <v>4</v>
      </c>
      <c r="J109">
        <v>12999</v>
      </c>
      <c r="K109">
        <v>20</v>
      </c>
      <c r="L109">
        <v>10399.200000000001</v>
      </c>
      <c r="M109">
        <v>41596.800000000003</v>
      </c>
      <c r="N109">
        <v>9596.7999999999993</v>
      </c>
      <c r="O109" t="s">
        <v>2749</v>
      </c>
      <c r="P109" t="s">
        <v>2757</v>
      </c>
      <c r="Q109" t="s">
        <v>2794</v>
      </c>
      <c r="R109" t="s">
        <v>46</v>
      </c>
      <c r="S109">
        <v>4</v>
      </c>
      <c r="T109">
        <v>2024</v>
      </c>
      <c r="U109" t="s">
        <v>2795</v>
      </c>
      <c r="V109" t="s">
        <v>2753</v>
      </c>
      <c r="W109">
        <v>7</v>
      </c>
      <c r="X10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09" t="str">
        <f>IF(orders[[#This Row],[Revenue]]&gt;AVERAGE(orders[Revenue])+3*STDEV(orders[Revenue]),"High Outlier",
 IF(orders[[#This Row],[Revenue]]&lt;AVERAGE(orders[Revenue])-3*STDEV(orders[Revenue]),"Low Outlier",
 "Normal"))</f>
        <v>Normal</v>
      </c>
      <c r="Z109">
        <f ca="1" xml:space="preserve"> _xlfn.DAYS(TODAY(), orders[[#This Row],[OrderDate]])</f>
        <v>826</v>
      </c>
      <c r="AA109"/>
    </row>
    <row r="110" spans="1:27">
      <c r="A110" t="s">
        <v>2893</v>
      </c>
      <c r="B110" t="s">
        <v>508</v>
      </c>
      <c r="C110" t="s">
        <v>3319</v>
      </c>
      <c r="D110" t="str">
        <f>TEXT(orders[[#This Row],[OrderDate]], "YYYY-MM")</f>
        <v>2023-11</v>
      </c>
      <c r="E110" t="s">
        <v>2785</v>
      </c>
      <c r="F110" s="1">
        <v>45236</v>
      </c>
      <c r="I110">
        <v>4</v>
      </c>
      <c r="J110">
        <v>55990</v>
      </c>
      <c r="K110">
        <v>20</v>
      </c>
      <c r="L110">
        <v>44792</v>
      </c>
      <c r="M110">
        <v>179168</v>
      </c>
      <c r="N110">
        <v>19168</v>
      </c>
      <c r="O110" t="s">
        <v>2756</v>
      </c>
      <c r="P110" t="s">
        <v>2782</v>
      </c>
      <c r="Q110" t="s">
        <v>2779</v>
      </c>
      <c r="R110" t="s">
        <v>188</v>
      </c>
      <c r="T110">
        <v>2023</v>
      </c>
      <c r="U110" t="s">
        <v>2786</v>
      </c>
      <c r="V110" t="s">
        <v>2764</v>
      </c>
      <c r="X11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10" t="str">
        <f>IF(orders[[#This Row],[Revenue]]&gt;AVERAGE(orders[Revenue])+3*STDEV(orders[Revenue]),"High Outlier",
 IF(orders[[#This Row],[Revenue]]&lt;AVERAGE(orders[Revenue])-3*STDEV(orders[Revenue]),"Low Outlier",
 "Normal"))</f>
        <v>Normal</v>
      </c>
      <c r="Z110">
        <f ca="1" xml:space="preserve"> _xlfn.DAYS(TODAY(), orders[[#This Row],[OrderDate]])</f>
        <v>906</v>
      </c>
      <c r="AA110"/>
    </row>
    <row r="111" spans="1:27">
      <c r="A111" t="s">
        <v>2894</v>
      </c>
      <c r="B111" t="s">
        <v>1801</v>
      </c>
      <c r="C111" t="s">
        <v>3307</v>
      </c>
      <c r="D111" t="str">
        <f>TEXT(orders[[#This Row],[OrderDate]], "YYYY-MM")</f>
        <v>2024-12</v>
      </c>
      <c r="E111" t="s">
        <v>2809</v>
      </c>
      <c r="F111" s="1">
        <v>45645</v>
      </c>
      <c r="G111" s="1">
        <v>45649</v>
      </c>
      <c r="H111" s="1">
        <v>45651</v>
      </c>
      <c r="I111">
        <v>4</v>
      </c>
      <c r="J111">
        <v>69999</v>
      </c>
      <c r="K111">
        <v>10</v>
      </c>
      <c r="L111">
        <v>27999.599999999999</v>
      </c>
      <c r="M111">
        <v>251996.4</v>
      </c>
      <c r="N111">
        <v>59996.4</v>
      </c>
      <c r="O111" t="s">
        <v>2749</v>
      </c>
      <c r="P111" t="s">
        <v>2750</v>
      </c>
      <c r="Q111" t="s">
        <v>2758</v>
      </c>
      <c r="R111" t="s">
        <v>24</v>
      </c>
      <c r="S111">
        <v>5</v>
      </c>
      <c r="T111">
        <v>2024</v>
      </c>
      <c r="U111" t="s">
        <v>2763</v>
      </c>
      <c r="V111" t="s">
        <v>2764</v>
      </c>
      <c r="W111">
        <v>4</v>
      </c>
      <c r="X11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11" t="str">
        <f>IF(orders[[#This Row],[Revenue]]&gt;AVERAGE(orders[Revenue])+3*STDEV(orders[Revenue]),"High Outlier",
 IF(orders[[#This Row],[Revenue]]&lt;AVERAGE(orders[Revenue])-3*STDEV(orders[Revenue]),"Low Outlier",
 "Normal"))</f>
        <v>Normal</v>
      </c>
      <c r="Z111">
        <f ca="1" xml:space="preserve"> _xlfn.DAYS(TODAY(), orders[[#This Row],[OrderDate]])</f>
        <v>497</v>
      </c>
      <c r="AA111"/>
    </row>
    <row r="112" spans="1:27">
      <c r="A112" t="s">
        <v>2895</v>
      </c>
      <c r="B112" t="s">
        <v>1831</v>
      </c>
      <c r="C112" t="s">
        <v>3362</v>
      </c>
      <c r="D112" t="str">
        <f>TEXT(orders[[#This Row],[OrderDate]], "YYYY-MM")</f>
        <v>2024-10</v>
      </c>
      <c r="E112" t="s">
        <v>2804</v>
      </c>
      <c r="F112" s="1">
        <v>45578</v>
      </c>
      <c r="I112">
        <v>4</v>
      </c>
      <c r="J112">
        <v>41900</v>
      </c>
      <c r="K112">
        <v>15</v>
      </c>
      <c r="L112">
        <v>25140</v>
      </c>
      <c r="M112">
        <v>142460</v>
      </c>
      <c r="N112">
        <v>30460</v>
      </c>
      <c r="O112" t="s">
        <v>2756</v>
      </c>
      <c r="P112" t="s">
        <v>2782</v>
      </c>
      <c r="Q112" t="s">
        <v>2758</v>
      </c>
      <c r="R112" t="s">
        <v>46</v>
      </c>
      <c r="T112">
        <v>2024</v>
      </c>
      <c r="U112" t="s">
        <v>2788</v>
      </c>
      <c r="V112" t="s">
        <v>2764</v>
      </c>
      <c r="X11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12" t="str">
        <f>IF(orders[[#This Row],[Revenue]]&gt;AVERAGE(orders[Revenue])+3*STDEV(orders[Revenue]),"High Outlier",
 IF(orders[[#This Row],[Revenue]]&lt;AVERAGE(orders[Revenue])-3*STDEV(orders[Revenue]),"Low Outlier",
 "Normal"))</f>
        <v>Normal</v>
      </c>
      <c r="Z112">
        <f ca="1" xml:space="preserve"> _xlfn.DAYS(TODAY(), orders[[#This Row],[OrderDate]])</f>
        <v>564</v>
      </c>
      <c r="AA112"/>
    </row>
    <row r="113" spans="1:27">
      <c r="A113" t="s">
        <v>2896</v>
      </c>
      <c r="B113" t="s">
        <v>798</v>
      </c>
      <c r="C113" t="s">
        <v>3413</v>
      </c>
      <c r="D113" t="str">
        <f>TEXT(orders[[#This Row],[OrderDate]], "YYYY-MM")</f>
        <v>2023-02</v>
      </c>
      <c r="E113" t="s">
        <v>2813</v>
      </c>
      <c r="F113" s="1">
        <v>44958</v>
      </c>
      <c r="G113" s="1">
        <v>44959</v>
      </c>
      <c r="H113" s="1">
        <v>44959</v>
      </c>
      <c r="I113">
        <v>4</v>
      </c>
      <c r="J113">
        <v>5999</v>
      </c>
      <c r="K113">
        <v>0</v>
      </c>
      <c r="L113">
        <v>0</v>
      </c>
      <c r="M113">
        <v>23996</v>
      </c>
      <c r="N113">
        <v>8796</v>
      </c>
      <c r="O113" t="s">
        <v>2749</v>
      </c>
      <c r="P113" t="s">
        <v>2778</v>
      </c>
      <c r="Q113" t="s">
        <v>2779</v>
      </c>
      <c r="R113" t="s">
        <v>76</v>
      </c>
      <c r="S113">
        <v>5</v>
      </c>
      <c r="T113">
        <v>2023</v>
      </c>
      <c r="U113" t="s">
        <v>2759</v>
      </c>
      <c r="V113" t="s">
        <v>2753</v>
      </c>
      <c r="W113">
        <v>1</v>
      </c>
      <c r="X11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13" t="str">
        <f>IF(orders[[#This Row],[Revenue]]&gt;AVERAGE(orders[Revenue])+3*STDEV(orders[Revenue]),"High Outlier",
 IF(orders[[#This Row],[Revenue]]&lt;AVERAGE(orders[Revenue])-3*STDEV(orders[Revenue]),"Low Outlier",
 "Normal"))</f>
        <v>Normal</v>
      </c>
      <c r="Z113">
        <f ca="1" xml:space="preserve"> _xlfn.DAYS(TODAY(), orders[[#This Row],[OrderDate]])</f>
        <v>1184</v>
      </c>
      <c r="AA113"/>
    </row>
    <row r="114" spans="1:27">
      <c r="A114" t="s">
        <v>2897</v>
      </c>
      <c r="B114" t="s">
        <v>1291</v>
      </c>
      <c r="C114" t="s">
        <v>3370</v>
      </c>
      <c r="D114" t="str">
        <f>TEXT(orders[[#This Row],[OrderDate]], "YYYY-MM")</f>
        <v>2023-11</v>
      </c>
      <c r="E114" t="s">
        <v>2776</v>
      </c>
      <c r="F114" s="1">
        <v>45245</v>
      </c>
      <c r="G114" s="1">
        <v>45250</v>
      </c>
      <c r="H114" s="1">
        <v>45251</v>
      </c>
      <c r="I114">
        <v>1</v>
      </c>
      <c r="J114">
        <v>24999</v>
      </c>
      <c r="K114">
        <v>5</v>
      </c>
      <c r="L114">
        <v>1249.95</v>
      </c>
      <c r="M114">
        <v>23749.05</v>
      </c>
      <c r="N114">
        <v>6749.05</v>
      </c>
      <c r="O114" t="s">
        <v>2749</v>
      </c>
      <c r="P114" t="s">
        <v>2778</v>
      </c>
      <c r="Q114" t="s">
        <v>2794</v>
      </c>
      <c r="R114" t="s">
        <v>35</v>
      </c>
      <c r="S114">
        <v>3</v>
      </c>
      <c r="T114">
        <v>2023</v>
      </c>
      <c r="U114" t="s">
        <v>2786</v>
      </c>
      <c r="V114" t="s">
        <v>2764</v>
      </c>
      <c r="W114">
        <v>5</v>
      </c>
      <c r="X11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14" t="str">
        <f>IF(orders[[#This Row],[Revenue]]&gt;AVERAGE(orders[Revenue])+3*STDEV(orders[Revenue]),"High Outlier",
 IF(orders[[#This Row],[Revenue]]&lt;AVERAGE(orders[Revenue])-3*STDEV(orders[Revenue]),"Low Outlier",
 "Normal"))</f>
        <v>Normal</v>
      </c>
      <c r="Z114">
        <f ca="1" xml:space="preserve"> _xlfn.DAYS(TODAY(), orders[[#This Row],[OrderDate]])</f>
        <v>897</v>
      </c>
      <c r="AA114"/>
    </row>
    <row r="115" spans="1:27">
      <c r="A115" t="s">
        <v>2898</v>
      </c>
      <c r="B115" t="s">
        <v>2253</v>
      </c>
      <c r="C115" t="s">
        <v>3314</v>
      </c>
      <c r="D115" t="str">
        <f>TEXT(orders[[#This Row],[OrderDate]], "YYYY-MM")</f>
        <v>2023-09</v>
      </c>
      <c r="E115" t="s">
        <v>2785</v>
      </c>
      <c r="F115" s="1">
        <v>45176</v>
      </c>
      <c r="I115">
        <v>5</v>
      </c>
      <c r="J115">
        <v>114900</v>
      </c>
      <c r="K115">
        <v>10</v>
      </c>
      <c r="L115">
        <v>57450</v>
      </c>
      <c r="M115">
        <v>517050</v>
      </c>
      <c r="N115">
        <v>92050</v>
      </c>
      <c r="O115" t="s">
        <v>2756</v>
      </c>
      <c r="P115" t="s">
        <v>2757</v>
      </c>
      <c r="Q115" t="s">
        <v>2762</v>
      </c>
      <c r="R115" t="s">
        <v>188</v>
      </c>
      <c r="T115">
        <v>2023</v>
      </c>
      <c r="U115" t="s">
        <v>2790</v>
      </c>
      <c r="V115" t="s">
        <v>2774</v>
      </c>
      <c r="X11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15" t="str">
        <f>IF(orders[[#This Row],[Revenue]]&gt;AVERAGE(orders[Revenue])+3*STDEV(orders[Revenue]),"High Outlier",
 IF(orders[[#This Row],[Revenue]]&lt;AVERAGE(orders[Revenue])-3*STDEV(orders[Revenue]),"Low Outlier",
 "Normal"))</f>
        <v>High Outlier</v>
      </c>
      <c r="Z115">
        <f ca="1" xml:space="preserve"> _xlfn.DAYS(TODAY(), orders[[#This Row],[OrderDate]])</f>
        <v>966</v>
      </c>
      <c r="AA115"/>
    </row>
    <row r="116" spans="1:27">
      <c r="A116" t="s">
        <v>2899</v>
      </c>
      <c r="B116" t="s">
        <v>1991</v>
      </c>
      <c r="C116" t="s">
        <v>3356</v>
      </c>
      <c r="D116" t="str">
        <f>TEXT(orders[[#This Row],[OrderDate]], "YYYY-MM")</f>
        <v>2024-03</v>
      </c>
      <c r="E116" t="s">
        <v>2755</v>
      </c>
      <c r="F116" s="1">
        <v>45373</v>
      </c>
      <c r="I116">
        <v>5</v>
      </c>
      <c r="J116">
        <v>9999</v>
      </c>
      <c r="K116">
        <v>0</v>
      </c>
      <c r="L116">
        <v>0</v>
      </c>
      <c r="M116">
        <v>49995</v>
      </c>
      <c r="N116">
        <v>17495</v>
      </c>
      <c r="O116" t="s">
        <v>2781</v>
      </c>
      <c r="P116" t="s">
        <v>2782</v>
      </c>
      <c r="Q116" t="s">
        <v>2779</v>
      </c>
      <c r="R116" t="s">
        <v>24</v>
      </c>
      <c r="T116">
        <v>2024</v>
      </c>
      <c r="U116" t="s">
        <v>2752</v>
      </c>
      <c r="V116" t="s">
        <v>2753</v>
      </c>
      <c r="X11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16" t="str">
        <f>IF(orders[[#This Row],[Revenue]]&gt;AVERAGE(orders[Revenue])+3*STDEV(orders[Revenue]),"High Outlier",
 IF(orders[[#This Row],[Revenue]]&lt;AVERAGE(orders[Revenue])-3*STDEV(orders[Revenue]),"Low Outlier",
 "Normal"))</f>
        <v>Normal</v>
      </c>
      <c r="Z116">
        <f ca="1" xml:space="preserve"> _xlfn.DAYS(TODAY(), orders[[#This Row],[OrderDate]])</f>
        <v>769</v>
      </c>
      <c r="AA116"/>
    </row>
    <row r="117" spans="1:27">
      <c r="A117" t="s">
        <v>2900</v>
      </c>
      <c r="B117" t="s">
        <v>1072</v>
      </c>
      <c r="C117" t="s">
        <v>3356</v>
      </c>
      <c r="D117" t="str">
        <f>TEXT(orders[[#This Row],[OrderDate]], "YYYY-MM")</f>
        <v>2024-08</v>
      </c>
      <c r="E117" t="s">
        <v>2755</v>
      </c>
      <c r="F117" s="1">
        <v>45533</v>
      </c>
      <c r="G117" s="1">
        <v>45539</v>
      </c>
      <c r="H117" s="1">
        <v>45540</v>
      </c>
      <c r="I117">
        <v>4</v>
      </c>
      <c r="J117">
        <v>9999</v>
      </c>
      <c r="K117">
        <v>0</v>
      </c>
      <c r="L117">
        <v>0</v>
      </c>
      <c r="M117">
        <v>39996</v>
      </c>
      <c r="N117">
        <v>13996</v>
      </c>
      <c r="O117" t="s">
        <v>2749</v>
      </c>
      <c r="P117" t="s">
        <v>2778</v>
      </c>
      <c r="Q117" t="s">
        <v>2751</v>
      </c>
      <c r="R117" t="s">
        <v>24</v>
      </c>
      <c r="S117">
        <v>5</v>
      </c>
      <c r="T117">
        <v>2024</v>
      </c>
      <c r="U117" t="s">
        <v>2773</v>
      </c>
      <c r="V117" t="s">
        <v>2774</v>
      </c>
      <c r="W117">
        <v>6</v>
      </c>
      <c r="X11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17" t="str">
        <f>IF(orders[[#This Row],[Revenue]]&gt;AVERAGE(orders[Revenue])+3*STDEV(orders[Revenue]),"High Outlier",
 IF(orders[[#This Row],[Revenue]]&lt;AVERAGE(orders[Revenue])-3*STDEV(orders[Revenue]),"Low Outlier",
 "Normal"))</f>
        <v>Normal</v>
      </c>
      <c r="Z117">
        <f ca="1" xml:space="preserve"> _xlfn.DAYS(TODAY(), orders[[#This Row],[OrderDate]])</f>
        <v>609</v>
      </c>
      <c r="AA117"/>
    </row>
    <row r="118" spans="1:27">
      <c r="A118" t="s">
        <v>2901</v>
      </c>
      <c r="B118" t="s">
        <v>2519</v>
      </c>
      <c r="C118" t="s">
        <v>3356</v>
      </c>
      <c r="D118" t="str">
        <f>TEXT(orders[[#This Row],[OrderDate]], "YYYY-MM")</f>
        <v>2024-04</v>
      </c>
      <c r="E118" t="s">
        <v>2769</v>
      </c>
      <c r="F118" s="1">
        <v>45409</v>
      </c>
      <c r="I118">
        <v>1</v>
      </c>
      <c r="J118">
        <v>9999</v>
      </c>
      <c r="K118">
        <v>20</v>
      </c>
      <c r="L118">
        <v>1999.8</v>
      </c>
      <c r="M118">
        <v>7999.2</v>
      </c>
      <c r="N118">
        <v>1499.2</v>
      </c>
      <c r="O118" t="s">
        <v>2781</v>
      </c>
      <c r="P118" t="s">
        <v>2750</v>
      </c>
      <c r="Q118" t="s">
        <v>2758</v>
      </c>
      <c r="R118" t="s">
        <v>46</v>
      </c>
      <c r="T118">
        <v>2024</v>
      </c>
      <c r="U118" t="s">
        <v>2783</v>
      </c>
      <c r="V118" t="s">
        <v>2767</v>
      </c>
      <c r="X11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18" t="str">
        <f>IF(orders[[#This Row],[Revenue]]&gt;AVERAGE(orders[Revenue])+3*STDEV(orders[Revenue]),"High Outlier",
 IF(orders[[#This Row],[Revenue]]&lt;AVERAGE(orders[Revenue])-3*STDEV(orders[Revenue]),"Low Outlier",
 "Normal"))</f>
        <v>Normal</v>
      </c>
      <c r="Z118">
        <f ca="1" xml:space="preserve"> _xlfn.DAYS(TODAY(), orders[[#This Row],[OrderDate]])</f>
        <v>733</v>
      </c>
      <c r="AA118"/>
    </row>
    <row r="119" spans="1:27">
      <c r="A119" t="s">
        <v>2902</v>
      </c>
      <c r="B119" t="s">
        <v>2089</v>
      </c>
      <c r="C119" t="s">
        <v>3409</v>
      </c>
      <c r="D119" t="str">
        <f>TEXT(orders[[#This Row],[OrderDate]], "YYYY-MM")</f>
        <v>2022-02</v>
      </c>
      <c r="E119" t="s">
        <v>2785</v>
      </c>
      <c r="F119" s="1">
        <v>44600</v>
      </c>
      <c r="G119" s="1">
        <v>44605</v>
      </c>
      <c r="H119" s="1">
        <v>44607</v>
      </c>
      <c r="I119">
        <v>3</v>
      </c>
      <c r="J119">
        <v>7499</v>
      </c>
      <c r="K119">
        <v>0</v>
      </c>
      <c r="L119">
        <v>0</v>
      </c>
      <c r="M119">
        <v>22497</v>
      </c>
      <c r="N119">
        <v>8097</v>
      </c>
      <c r="O119" t="s">
        <v>2749</v>
      </c>
      <c r="P119" t="s">
        <v>2782</v>
      </c>
      <c r="Q119" t="s">
        <v>2794</v>
      </c>
      <c r="R119" t="s">
        <v>188</v>
      </c>
      <c r="S119">
        <v>1</v>
      </c>
      <c r="T119">
        <v>2022</v>
      </c>
      <c r="U119" t="s">
        <v>2759</v>
      </c>
      <c r="V119" t="s">
        <v>2753</v>
      </c>
      <c r="W119">
        <v>5</v>
      </c>
      <c r="X11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19" t="str">
        <f>IF(orders[[#This Row],[Revenue]]&gt;AVERAGE(orders[Revenue])+3*STDEV(orders[Revenue]),"High Outlier",
 IF(orders[[#This Row],[Revenue]]&lt;AVERAGE(orders[Revenue])-3*STDEV(orders[Revenue]),"Low Outlier",
 "Normal"))</f>
        <v>Normal</v>
      </c>
      <c r="Z119">
        <f ca="1" xml:space="preserve"> _xlfn.DAYS(TODAY(), orders[[#This Row],[OrderDate]])</f>
        <v>1542</v>
      </c>
      <c r="AA119"/>
    </row>
    <row r="120" spans="1:27">
      <c r="A120" t="s">
        <v>2903</v>
      </c>
      <c r="B120" t="s">
        <v>1093</v>
      </c>
      <c r="C120" t="s">
        <v>3366</v>
      </c>
      <c r="D120" t="str">
        <f>TEXT(orders[[#This Row],[OrderDate]], "YYYY-MM")</f>
        <v>2024-03</v>
      </c>
      <c r="E120" t="s">
        <v>2748</v>
      </c>
      <c r="F120" s="1">
        <v>45359</v>
      </c>
      <c r="G120" s="1">
        <v>45364</v>
      </c>
      <c r="H120" s="1">
        <v>45364</v>
      </c>
      <c r="I120">
        <v>3</v>
      </c>
      <c r="J120">
        <v>19999</v>
      </c>
      <c r="K120">
        <v>10</v>
      </c>
      <c r="L120">
        <v>5999.7</v>
      </c>
      <c r="M120">
        <v>53997.3</v>
      </c>
      <c r="N120">
        <v>14997.3</v>
      </c>
      <c r="O120" t="s">
        <v>2749</v>
      </c>
      <c r="P120" t="s">
        <v>2778</v>
      </c>
      <c r="Q120" t="s">
        <v>2762</v>
      </c>
      <c r="R120" t="s">
        <v>188</v>
      </c>
      <c r="S120">
        <v>3</v>
      </c>
      <c r="T120">
        <v>2024</v>
      </c>
      <c r="U120" t="s">
        <v>2752</v>
      </c>
      <c r="V120" t="s">
        <v>2753</v>
      </c>
      <c r="W120">
        <v>5</v>
      </c>
      <c r="X12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20" t="str">
        <f>IF(orders[[#This Row],[Revenue]]&gt;AVERAGE(orders[Revenue])+3*STDEV(orders[Revenue]),"High Outlier",
 IF(orders[[#This Row],[Revenue]]&lt;AVERAGE(orders[Revenue])-3*STDEV(orders[Revenue]),"Low Outlier",
 "Normal"))</f>
        <v>Normal</v>
      </c>
      <c r="Z120">
        <f ca="1" xml:space="preserve"> _xlfn.DAYS(TODAY(), orders[[#This Row],[OrderDate]])</f>
        <v>783</v>
      </c>
      <c r="AA120"/>
    </row>
    <row r="121" spans="1:27">
      <c r="A121" t="s">
        <v>2904</v>
      </c>
      <c r="B121" t="s">
        <v>1285</v>
      </c>
      <c r="C121" t="s">
        <v>3314</v>
      </c>
      <c r="D121" t="str">
        <f>TEXT(orders[[#This Row],[OrderDate]], "YYYY-MM")</f>
        <v>2023-05</v>
      </c>
      <c r="E121" t="s">
        <v>2769</v>
      </c>
      <c r="F121" s="1">
        <v>45048</v>
      </c>
      <c r="G121" s="1">
        <v>45052</v>
      </c>
      <c r="H121" s="1">
        <v>45054</v>
      </c>
      <c r="I121">
        <v>2</v>
      </c>
      <c r="J121">
        <v>114900</v>
      </c>
      <c r="K121">
        <v>20</v>
      </c>
      <c r="L121">
        <v>45960</v>
      </c>
      <c r="M121">
        <v>183840</v>
      </c>
      <c r="N121">
        <v>13840</v>
      </c>
      <c r="O121" t="s">
        <v>2749</v>
      </c>
      <c r="P121" t="s">
        <v>2750</v>
      </c>
      <c r="Q121" t="s">
        <v>2779</v>
      </c>
      <c r="R121" t="s">
        <v>46</v>
      </c>
      <c r="S121">
        <v>1</v>
      </c>
      <c r="T121">
        <v>2023</v>
      </c>
      <c r="U121" t="s">
        <v>2766</v>
      </c>
      <c r="V121" t="s">
        <v>2767</v>
      </c>
      <c r="W121">
        <v>4</v>
      </c>
      <c r="X12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21" t="str">
        <f>IF(orders[[#This Row],[Revenue]]&gt;AVERAGE(orders[Revenue])+3*STDEV(orders[Revenue]),"High Outlier",
 IF(orders[[#This Row],[Revenue]]&lt;AVERAGE(orders[Revenue])-3*STDEV(orders[Revenue]),"Low Outlier",
 "Normal"))</f>
        <v>Normal</v>
      </c>
      <c r="Z121">
        <f ca="1" xml:space="preserve"> _xlfn.DAYS(TODAY(), orders[[#This Row],[OrderDate]])</f>
        <v>1094</v>
      </c>
      <c r="AA121"/>
    </row>
    <row r="122" spans="1:27">
      <c r="A122" t="s">
        <v>2905</v>
      </c>
      <c r="B122" t="s">
        <v>1184</v>
      </c>
      <c r="C122" t="s">
        <v>3307</v>
      </c>
      <c r="D122" t="str">
        <f>TEXT(orders[[#This Row],[OrderDate]], "YYYY-MM")</f>
        <v>2022-07</v>
      </c>
      <c r="E122" t="s">
        <v>2809</v>
      </c>
      <c r="F122" s="1">
        <v>44751</v>
      </c>
      <c r="G122" s="1">
        <v>44756</v>
      </c>
      <c r="H122" s="1">
        <v>44756</v>
      </c>
      <c r="I122">
        <v>4</v>
      </c>
      <c r="J122">
        <v>69999</v>
      </c>
      <c r="K122">
        <v>20</v>
      </c>
      <c r="L122">
        <v>55999.199999999997</v>
      </c>
      <c r="M122">
        <v>223996.79999999999</v>
      </c>
      <c r="N122">
        <v>31996.799999999999</v>
      </c>
      <c r="O122" t="s">
        <v>2749</v>
      </c>
      <c r="P122" t="s">
        <v>2782</v>
      </c>
      <c r="Q122" t="s">
        <v>2779</v>
      </c>
      <c r="R122" t="s">
        <v>24</v>
      </c>
      <c r="S122">
        <v>3</v>
      </c>
      <c r="T122">
        <v>2022</v>
      </c>
      <c r="U122" t="s">
        <v>2792</v>
      </c>
      <c r="V122" t="s">
        <v>2774</v>
      </c>
      <c r="W122">
        <v>5</v>
      </c>
      <c r="X12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22" t="str">
        <f>IF(orders[[#This Row],[Revenue]]&gt;AVERAGE(orders[Revenue])+3*STDEV(orders[Revenue]),"High Outlier",
 IF(orders[[#This Row],[Revenue]]&lt;AVERAGE(orders[Revenue])-3*STDEV(orders[Revenue]),"Low Outlier",
 "Normal"))</f>
        <v>Normal</v>
      </c>
      <c r="Z122">
        <f ca="1" xml:space="preserve"> _xlfn.DAYS(TODAY(), orders[[#This Row],[OrderDate]])</f>
        <v>1391</v>
      </c>
      <c r="AA122"/>
    </row>
    <row r="123" spans="1:27">
      <c r="A123" t="s">
        <v>2906</v>
      </c>
      <c r="B123" t="s">
        <v>2590</v>
      </c>
      <c r="C123" t="s">
        <v>3379</v>
      </c>
      <c r="D123" t="str">
        <f>TEXT(orders[[#This Row],[OrderDate]], "YYYY-MM")</f>
        <v>2023-11</v>
      </c>
      <c r="E123" t="s">
        <v>2769</v>
      </c>
      <c r="F123" s="1">
        <v>45232</v>
      </c>
      <c r="G123" s="1">
        <v>45239</v>
      </c>
      <c r="H123" s="1">
        <v>45239</v>
      </c>
      <c r="I123">
        <v>5</v>
      </c>
      <c r="J123">
        <v>29999</v>
      </c>
      <c r="K123">
        <v>0</v>
      </c>
      <c r="L123">
        <v>0</v>
      </c>
      <c r="M123">
        <v>149995</v>
      </c>
      <c r="N123">
        <v>49995</v>
      </c>
      <c r="O123" t="s">
        <v>2749</v>
      </c>
      <c r="P123" t="s">
        <v>2782</v>
      </c>
      <c r="Q123" t="s">
        <v>2762</v>
      </c>
      <c r="R123" t="s">
        <v>46</v>
      </c>
      <c r="S123">
        <v>4</v>
      </c>
      <c r="T123">
        <v>2023</v>
      </c>
      <c r="U123" t="s">
        <v>2786</v>
      </c>
      <c r="V123" t="s">
        <v>2764</v>
      </c>
      <c r="W123">
        <v>7</v>
      </c>
      <c r="X12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23" t="str">
        <f>IF(orders[[#This Row],[Revenue]]&gt;AVERAGE(orders[Revenue])+3*STDEV(orders[Revenue]),"High Outlier",
 IF(orders[[#This Row],[Revenue]]&lt;AVERAGE(orders[Revenue])-3*STDEV(orders[Revenue]),"Low Outlier",
 "Normal"))</f>
        <v>Normal</v>
      </c>
      <c r="Z123">
        <f ca="1" xml:space="preserve"> _xlfn.DAYS(TODAY(), orders[[#This Row],[OrderDate]])</f>
        <v>910</v>
      </c>
      <c r="AA123"/>
    </row>
    <row r="124" spans="1:27">
      <c r="A124" t="s">
        <v>2907</v>
      </c>
      <c r="B124" t="s">
        <v>1218</v>
      </c>
      <c r="C124" t="s">
        <v>3413</v>
      </c>
      <c r="D124" t="str">
        <f>TEXT(orders[[#This Row],[OrderDate]], "YYYY-MM")</f>
        <v>2022-01</v>
      </c>
      <c r="E124" t="s">
        <v>2809</v>
      </c>
      <c r="F124" s="1">
        <v>44570</v>
      </c>
      <c r="G124" s="1">
        <v>44571</v>
      </c>
      <c r="H124" s="1">
        <v>44571</v>
      </c>
      <c r="I124">
        <v>3</v>
      </c>
      <c r="J124">
        <v>5999</v>
      </c>
      <c r="K124">
        <v>15</v>
      </c>
      <c r="L124">
        <v>2699.55</v>
      </c>
      <c r="M124">
        <v>15297.45</v>
      </c>
      <c r="N124">
        <v>3897.45</v>
      </c>
      <c r="O124" t="s">
        <v>2749</v>
      </c>
      <c r="P124" t="s">
        <v>2757</v>
      </c>
      <c r="Q124" t="s">
        <v>2762</v>
      </c>
      <c r="R124" t="s">
        <v>24</v>
      </c>
      <c r="S124">
        <v>5</v>
      </c>
      <c r="T124">
        <v>2022</v>
      </c>
      <c r="U124" t="s">
        <v>2795</v>
      </c>
      <c r="V124" t="s">
        <v>2753</v>
      </c>
      <c r="W124">
        <v>1</v>
      </c>
      <c r="X12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24" t="str">
        <f>IF(orders[[#This Row],[Revenue]]&gt;AVERAGE(orders[Revenue])+3*STDEV(orders[Revenue]),"High Outlier",
 IF(orders[[#This Row],[Revenue]]&lt;AVERAGE(orders[Revenue])-3*STDEV(orders[Revenue]),"Low Outlier",
 "Normal"))</f>
        <v>Normal</v>
      </c>
      <c r="Z124">
        <f ca="1" xml:space="preserve"> _xlfn.DAYS(TODAY(), orders[[#This Row],[OrderDate]])</f>
        <v>1572</v>
      </c>
      <c r="AA124"/>
    </row>
    <row r="125" spans="1:27">
      <c r="A125" t="s">
        <v>2908</v>
      </c>
      <c r="B125" t="s">
        <v>2193</v>
      </c>
      <c r="C125" t="s">
        <v>3409</v>
      </c>
      <c r="D125" t="str">
        <f>TEXT(orders[[#This Row],[OrderDate]], "YYYY-MM")</f>
        <v>2022-02</v>
      </c>
      <c r="E125" t="s">
        <v>2785</v>
      </c>
      <c r="F125" s="1">
        <v>44608</v>
      </c>
      <c r="I125">
        <v>3</v>
      </c>
      <c r="J125">
        <v>7499</v>
      </c>
      <c r="K125">
        <v>5</v>
      </c>
      <c r="L125">
        <v>1124.8499999999999</v>
      </c>
      <c r="M125">
        <v>21372.15</v>
      </c>
      <c r="N125">
        <v>6972.15</v>
      </c>
      <c r="O125" t="s">
        <v>2756</v>
      </c>
      <c r="P125" t="s">
        <v>2750</v>
      </c>
      <c r="Q125" t="s">
        <v>2779</v>
      </c>
      <c r="R125" t="s">
        <v>188</v>
      </c>
      <c r="T125">
        <v>2022</v>
      </c>
      <c r="U125" t="s">
        <v>2759</v>
      </c>
      <c r="V125" t="s">
        <v>2753</v>
      </c>
      <c r="X12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25" t="str">
        <f>IF(orders[[#This Row],[Revenue]]&gt;AVERAGE(orders[Revenue])+3*STDEV(orders[Revenue]),"High Outlier",
 IF(orders[[#This Row],[Revenue]]&lt;AVERAGE(orders[Revenue])-3*STDEV(orders[Revenue]),"Low Outlier",
 "Normal"))</f>
        <v>Normal</v>
      </c>
      <c r="Z125">
        <f ca="1" xml:space="preserve"> _xlfn.DAYS(TODAY(), orders[[#This Row],[OrderDate]])</f>
        <v>1534</v>
      </c>
      <c r="AA125"/>
    </row>
    <row r="126" spans="1:27">
      <c r="A126" t="s">
        <v>2909</v>
      </c>
      <c r="B126" t="s">
        <v>681</v>
      </c>
      <c r="C126" t="s">
        <v>3350</v>
      </c>
      <c r="D126" t="str">
        <f>TEXT(orders[[#This Row],[OrderDate]], "YYYY-MM")</f>
        <v>2024-12</v>
      </c>
      <c r="E126" t="s">
        <v>2785</v>
      </c>
      <c r="F126" s="1">
        <v>45652</v>
      </c>
      <c r="G126" s="1">
        <v>45659</v>
      </c>
      <c r="H126" s="1">
        <v>45662</v>
      </c>
      <c r="I126">
        <v>1</v>
      </c>
      <c r="J126">
        <v>12999</v>
      </c>
      <c r="K126">
        <v>5</v>
      </c>
      <c r="L126">
        <v>649.95000000000005</v>
      </c>
      <c r="M126">
        <v>12349.05</v>
      </c>
      <c r="N126">
        <v>4349.05</v>
      </c>
      <c r="O126" t="s">
        <v>2749</v>
      </c>
      <c r="P126" t="s">
        <v>2782</v>
      </c>
      <c r="Q126" t="s">
        <v>2779</v>
      </c>
      <c r="R126" t="s">
        <v>188</v>
      </c>
      <c r="S126">
        <v>3</v>
      </c>
      <c r="T126">
        <v>2024</v>
      </c>
      <c r="U126" t="s">
        <v>2763</v>
      </c>
      <c r="V126" t="s">
        <v>2764</v>
      </c>
      <c r="W126">
        <v>7</v>
      </c>
      <c r="X12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26" t="str">
        <f>IF(orders[[#This Row],[Revenue]]&gt;AVERAGE(orders[Revenue])+3*STDEV(orders[Revenue]),"High Outlier",
 IF(orders[[#This Row],[Revenue]]&lt;AVERAGE(orders[Revenue])-3*STDEV(orders[Revenue]),"Low Outlier",
 "Normal"))</f>
        <v>Normal</v>
      </c>
      <c r="Z126">
        <f ca="1" xml:space="preserve"> _xlfn.DAYS(TODAY(), orders[[#This Row],[OrderDate]])</f>
        <v>490</v>
      </c>
      <c r="AA126"/>
    </row>
    <row r="127" spans="1:27">
      <c r="A127" t="s">
        <v>2910</v>
      </c>
      <c r="B127" t="s">
        <v>444</v>
      </c>
      <c r="C127" t="s">
        <v>3298</v>
      </c>
      <c r="D127" t="str">
        <f>TEXT(orders[[#This Row],[OrderDate]], "YYYY-MM")</f>
        <v>2023-02</v>
      </c>
      <c r="E127" t="s">
        <v>2809</v>
      </c>
      <c r="F127" s="1">
        <v>44985</v>
      </c>
      <c r="I127">
        <v>3</v>
      </c>
      <c r="J127">
        <v>79999</v>
      </c>
      <c r="K127">
        <v>20</v>
      </c>
      <c r="L127">
        <v>47999.4</v>
      </c>
      <c r="M127">
        <v>191997.6</v>
      </c>
      <c r="N127">
        <v>26997.599999999999</v>
      </c>
      <c r="O127" t="s">
        <v>2756</v>
      </c>
      <c r="P127" t="s">
        <v>2750</v>
      </c>
      <c r="Q127" t="s">
        <v>2794</v>
      </c>
      <c r="R127" t="s">
        <v>24</v>
      </c>
      <c r="T127">
        <v>2023</v>
      </c>
      <c r="U127" t="s">
        <v>2759</v>
      </c>
      <c r="V127" t="s">
        <v>2753</v>
      </c>
      <c r="X12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27" t="str">
        <f>IF(orders[[#This Row],[Revenue]]&gt;AVERAGE(orders[Revenue])+3*STDEV(orders[Revenue]),"High Outlier",
 IF(orders[[#This Row],[Revenue]]&lt;AVERAGE(orders[Revenue])-3*STDEV(orders[Revenue]),"Low Outlier",
 "Normal"))</f>
        <v>Normal</v>
      </c>
      <c r="Z127">
        <f ca="1" xml:space="preserve"> _xlfn.DAYS(TODAY(), orders[[#This Row],[OrderDate]])</f>
        <v>1157</v>
      </c>
      <c r="AA127"/>
    </row>
    <row r="128" spans="1:27">
      <c r="A128" t="s">
        <v>2911</v>
      </c>
      <c r="B128" t="s">
        <v>531</v>
      </c>
      <c r="C128" t="s">
        <v>3413</v>
      </c>
      <c r="D128" t="str">
        <f>TEXT(orders[[#This Row],[OrderDate]], "YYYY-MM")</f>
        <v>2023-05</v>
      </c>
      <c r="E128" t="s">
        <v>2755</v>
      </c>
      <c r="F128" s="1">
        <v>45063</v>
      </c>
      <c r="G128" s="1">
        <v>45064</v>
      </c>
      <c r="H128" s="1">
        <v>45066</v>
      </c>
      <c r="I128">
        <v>5</v>
      </c>
      <c r="J128">
        <v>5999</v>
      </c>
      <c r="K128">
        <v>10</v>
      </c>
      <c r="L128">
        <v>2999.5</v>
      </c>
      <c r="M128">
        <v>26995.5</v>
      </c>
      <c r="N128">
        <v>7995.5</v>
      </c>
      <c r="O128" t="s">
        <v>2749</v>
      </c>
      <c r="P128" t="s">
        <v>2761</v>
      </c>
      <c r="Q128" t="s">
        <v>2751</v>
      </c>
      <c r="R128" t="s">
        <v>24</v>
      </c>
      <c r="S128">
        <v>1</v>
      </c>
      <c r="T128">
        <v>2023</v>
      </c>
      <c r="U128" t="s">
        <v>2766</v>
      </c>
      <c r="V128" t="s">
        <v>2767</v>
      </c>
      <c r="W128">
        <v>1</v>
      </c>
      <c r="X12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28" t="str">
        <f>IF(orders[[#This Row],[Revenue]]&gt;AVERAGE(orders[Revenue])+3*STDEV(orders[Revenue]),"High Outlier",
 IF(orders[[#This Row],[Revenue]]&lt;AVERAGE(orders[Revenue])-3*STDEV(orders[Revenue]),"Low Outlier",
 "Normal"))</f>
        <v>Normal</v>
      </c>
      <c r="Z128">
        <f ca="1" xml:space="preserve"> _xlfn.DAYS(TODAY(), orders[[#This Row],[OrderDate]])</f>
        <v>1079</v>
      </c>
      <c r="AA128"/>
    </row>
    <row r="129" spans="1:27">
      <c r="A129" t="s">
        <v>2912</v>
      </c>
      <c r="B129" t="s">
        <v>495</v>
      </c>
      <c r="C129" t="s">
        <v>3298</v>
      </c>
      <c r="D129" t="str">
        <f>TEXT(orders[[#This Row],[OrderDate]], "YYYY-MM")</f>
        <v>2022-04</v>
      </c>
      <c r="E129" t="s">
        <v>2755</v>
      </c>
      <c r="F129" s="1">
        <v>44665</v>
      </c>
      <c r="G129" s="1">
        <v>44669</v>
      </c>
      <c r="H129" s="1">
        <v>44669</v>
      </c>
      <c r="I129">
        <v>1</v>
      </c>
      <c r="J129">
        <v>79999</v>
      </c>
      <c r="K129">
        <v>10</v>
      </c>
      <c r="L129">
        <v>7999.9</v>
      </c>
      <c r="M129">
        <v>71999.100000000006</v>
      </c>
      <c r="N129">
        <v>16999.099999999999</v>
      </c>
      <c r="O129" t="s">
        <v>2749</v>
      </c>
      <c r="P129" t="s">
        <v>2770</v>
      </c>
      <c r="Q129" t="s">
        <v>2779</v>
      </c>
      <c r="R129" t="s">
        <v>24</v>
      </c>
      <c r="S129">
        <v>5</v>
      </c>
      <c r="T129">
        <v>2022</v>
      </c>
      <c r="U129" t="s">
        <v>2783</v>
      </c>
      <c r="V129" t="s">
        <v>2767</v>
      </c>
      <c r="W129">
        <v>4</v>
      </c>
      <c r="X12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29" t="str">
        <f>IF(orders[[#This Row],[Revenue]]&gt;AVERAGE(orders[Revenue])+3*STDEV(orders[Revenue]),"High Outlier",
 IF(orders[[#This Row],[Revenue]]&lt;AVERAGE(orders[Revenue])-3*STDEV(orders[Revenue]),"Low Outlier",
 "Normal"))</f>
        <v>Normal</v>
      </c>
      <c r="Z129">
        <f ca="1" xml:space="preserve"> _xlfn.DAYS(TODAY(), orders[[#This Row],[OrderDate]])</f>
        <v>1477</v>
      </c>
      <c r="AA129"/>
    </row>
    <row r="130" spans="1:27">
      <c r="A130" t="s">
        <v>2913</v>
      </c>
      <c r="B130" t="s">
        <v>2509</v>
      </c>
      <c r="C130" t="s">
        <v>3394</v>
      </c>
      <c r="D130" t="str">
        <f>TEXT(orders[[#This Row],[OrderDate]], "YYYY-MM")</f>
        <v>2023-12</v>
      </c>
      <c r="E130" t="s">
        <v>2785</v>
      </c>
      <c r="F130" s="1">
        <v>45290</v>
      </c>
      <c r="G130" s="1">
        <v>45293</v>
      </c>
      <c r="H130" s="1">
        <v>45294</v>
      </c>
      <c r="I130">
        <v>5</v>
      </c>
      <c r="J130">
        <v>2499</v>
      </c>
      <c r="K130">
        <v>0</v>
      </c>
      <c r="L130">
        <v>0</v>
      </c>
      <c r="M130">
        <v>12495</v>
      </c>
      <c r="N130">
        <v>6495</v>
      </c>
      <c r="O130" t="s">
        <v>2749</v>
      </c>
      <c r="P130" t="s">
        <v>2770</v>
      </c>
      <c r="Q130" t="s">
        <v>2758</v>
      </c>
      <c r="R130" t="s">
        <v>188</v>
      </c>
      <c r="S130">
        <v>2</v>
      </c>
      <c r="T130">
        <v>2023</v>
      </c>
      <c r="U130" t="s">
        <v>2763</v>
      </c>
      <c r="V130" t="s">
        <v>2764</v>
      </c>
      <c r="W130">
        <v>3</v>
      </c>
      <c r="X13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30" t="str">
        <f>IF(orders[[#This Row],[Revenue]]&gt;AVERAGE(orders[Revenue])+3*STDEV(orders[Revenue]),"High Outlier",
 IF(orders[[#This Row],[Revenue]]&lt;AVERAGE(orders[Revenue])-3*STDEV(orders[Revenue]),"Low Outlier",
 "Normal"))</f>
        <v>Normal</v>
      </c>
      <c r="Z130">
        <f ca="1" xml:space="preserve"> _xlfn.DAYS(TODAY(), orders[[#This Row],[OrderDate]])</f>
        <v>852</v>
      </c>
      <c r="AA130"/>
    </row>
    <row r="131" spans="1:27">
      <c r="A131" t="s">
        <v>2914</v>
      </c>
      <c r="B131" t="s">
        <v>376</v>
      </c>
      <c r="C131" t="s">
        <v>3413</v>
      </c>
      <c r="D131" t="str">
        <f>TEXT(orders[[#This Row],[OrderDate]], "YYYY-MM")</f>
        <v>2022-07</v>
      </c>
      <c r="E131" t="s">
        <v>2755</v>
      </c>
      <c r="F131" s="1">
        <v>44761</v>
      </c>
      <c r="G131" s="1">
        <v>44764</v>
      </c>
      <c r="H131" s="1">
        <v>44767</v>
      </c>
      <c r="I131">
        <v>4</v>
      </c>
      <c r="J131">
        <v>5999</v>
      </c>
      <c r="K131">
        <v>5</v>
      </c>
      <c r="L131">
        <v>1199.8</v>
      </c>
      <c r="M131">
        <v>22796.2</v>
      </c>
      <c r="N131">
        <v>7596.2</v>
      </c>
      <c r="O131" t="s">
        <v>2749</v>
      </c>
      <c r="P131" t="s">
        <v>2782</v>
      </c>
      <c r="Q131" t="s">
        <v>2779</v>
      </c>
      <c r="R131" t="s">
        <v>24</v>
      </c>
      <c r="S131">
        <v>5</v>
      </c>
      <c r="T131">
        <v>2022</v>
      </c>
      <c r="U131" t="s">
        <v>2792</v>
      </c>
      <c r="V131" t="s">
        <v>2774</v>
      </c>
      <c r="W131">
        <v>3</v>
      </c>
      <c r="X13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31" t="str">
        <f>IF(orders[[#This Row],[Revenue]]&gt;AVERAGE(orders[Revenue])+3*STDEV(orders[Revenue]),"High Outlier",
 IF(orders[[#This Row],[Revenue]]&lt;AVERAGE(orders[Revenue])-3*STDEV(orders[Revenue]),"Low Outlier",
 "Normal"))</f>
        <v>Normal</v>
      </c>
      <c r="Z131">
        <f ca="1" xml:space="preserve"> _xlfn.DAYS(TODAY(), orders[[#This Row],[OrderDate]])</f>
        <v>1381</v>
      </c>
      <c r="AA131"/>
    </row>
    <row r="132" spans="1:27">
      <c r="A132" t="s">
        <v>2915</v>
      </c>
      <c r="B132" t="s">
        <v>872</v>
      </c>
      <c r="C132" t="s">
        <v>3362</v>
      </c>
      <c r="D132" t="str">
        <f>TEXT(orders[[#This Row],[OrderDate]], "YYYY-MM")</f>
        <v>2023-01</v>
      </c>
      <c r="E132" t="s">
        <v>2776</v>
      </c>
      <c r="F132" s="1">
        <v>44937</v>
      </c>
      <c r="I132">
        <v>3</v>
      </c>
      <c r="J132">
        <v>41900</v>
      </c>
      <c r="K132">
        <v>10</v>
      </c>
      <c r="L132">
        <v>12570</v>
      </c>
      <c r="M132">
        <v>113130</v>
      </c>
      <c r="N132">
        <v>29130</v>
      </c>
      <c r="O132" t="s">
        <v>2781</v>
      </c>
      <c r="P132" t="s">
        <v>2770</v>
      </c>
      <c r="Q132" t="s">
        <v>2751</v>
      </c>
      <c r="R132" t="s">
        <v>35</v>
      </c>
      <c r="T132">
        <v>2023</v>
      </c>
      <c r="U132" t="s">
        <v>2795</v>
      </c>
      <c r="V132" t="s">
        <v>2753</v>
      </c>
      <c r="X13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32" t="str">
        <f>IF(orders[[#This Row],[Revenue]]&gt;AVERAGE(orders[Revenue])+3*STDEV(orders[Revenue]),"High Outlier",
 IF(orders[[#This Row],[Revenue]]&lt;AVERAGE(orders[Revenue])-3*STDEV(orders[Revenue]),"Low Outlier",
 "Normal"))</f>
        <v>Normal</v>
      </c>
      <c r="Z132">
        <f ca="1" xml:space="preserve"> _xlfn.DAYS(TODAY(), orders[[#This Row],[OrderDate]])</f>
        <v>1205</v>
      </c>
      <c r="AA132"/>
    </row>
    <row r="133" spans="1:27">
      <c r="A133" t="s">
        <v>2916</v>
      </c>
      <c r="B133" t="s">
        <v>146</v>
      </c>
      <c r="C133" t="s">
        <v>3314</v>
      </c>
      <c r="D133" t="str">
        <f>TEXT(orders[[#This Row],[OrderDate]], "YYYY-MM")</f>
        <v>2022-08</v>
      </c>
      <c r="E133" t="s">
        <v>2813</v>
      </c>
      <c r="F133" s="1">
        <v>44793</v>
      </c>
      <c r="G133" s="1">
        <v>44797</v>
      </c>
      <c r="H133" s="1">
        <v>44800</v>
      </c>
      <c r="I133">
        <v>2</v>
      </c>
      <c r="J133">
        <v>114900</v>
      </c>
      <c r="K133">
        <v>5</v>
      </c>
      <c r="L133">
        <v>11490</v>
      </c>
      <c r="M133">
        <v>218310</v>
      </c>
      <c r="N133">
        <v>48310</v>
      </c>
      <c r="O133" t="s">
        <v>2749</v>
      </c>
      <c r="P133" t="s">
        <v>2750</v>
      </c>
      <c r="Q133" t="s">
        <v>2758</v>
      </c>
      <c r="R133" t="s">
        <v>76</v>
      </c>
      <c r="S133">
        <v>5</v>
      </c>
      <c r="T133">
        <v>2022</v>
      </c>
      <c r="U133" t="s">
        <v>2773</v>
      </c>
      <c r="V133" t="s">
        <v>2774</v>
      </c>
      <c r="W133">
        <v>4</v>
      </c>
      <c r="X13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33" t="str">
        <f>IF(orders[[#This Row],[Revenue]]&gt;AVERAGE(orders[Revenue])+3*STDEV(orders[Revenue]),"High Outlier",
 IF(orders[[#This Row],[Revenue]]&lt;AVERAGE(orders[Revenue])-3*STDEV(orders[Revenue]),"Low Outlier",
 "Normal"))</f>
        <v>Normal</v>
      </c>
      <c r="Z133">
        <f ca="1" xml:space="preserve"> _xlfn.DAYS(TODAY(), orders[[#This Row],[OrderDate]])</f>
        <v>1349</v>
      </c>
      <c r="AA133"/>
    </row>
    <row r="134" spans="1:27">
      <c r="A134" t="s">
        <v>2917</v>
      </c>
      <c r="B134" t="s">
        <v>489</v>
      </c>
      <c r="C134" t="s">
        <v>3384</v>
      </c>
      <c r="D134" t="str">
        <f>TEXT(orders[[#This Row],[OrderDate]], "YYYY-MM")</f>
        <v>2024-04</v>
      </c>
      <c r="E134" t="s">
        <v>2809</v>
      </c>
      <c r="F134" s="1">
        <v>45392</v>
      </c>
      <c r="I134">
        <v>1</v>
      </c>
      <c r="J134">
        <v>59900</v>
      </c>
      <c r="K134">
        <v>10</v>
      </c>
      <c r="L134">
        <v>5990</v>
      </c>
      <c r="M134">
        <v>53910</v>
      </c>
      <c r="N134">
        <v>11910</v>
      </c>
      <c r="O134" t="s">
        <v>2781</v>
      </c>
      <c r="P134" t="s">
        <v>2761</v>
      </c>
      <c r="Q134" t="s">
        <v>2762</v>
      </c>
      <c r="R134" t="s">
        <v>24</v>
      </c>
      <c r="T134">
        <v>2024</v>
      </c>
      <c r="U134" t="s">
        <v>2783</v>
      </c>
      <c r="V134" t="s">
        <v>2767</v>
      </c>
      <c r="X13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34" t="str">
        <f>IF(orders[[#This Row],[Revenue]]&gt;AVERAGE(orders[Revenue])+3*STDEV(orders[Revenue]),"High Outlier",
 IF(orders[[#This Row],[Revenue]]&lt;AVERAGE(orders[Revenue])-3*STDEV(orders[Revenue]),"Low Outlier",
 "Normal"))</f>
        <v>Normal</v>
      </c>
      <c r="Z134">
        <f ca="1" xml:space="preserve"> _xlfn.DAYS(TODAY(), orders[[#This Row],[OrderDate]])</f>
        <v>750</v>
      </c>
      <c r="AA134"/>
    </row>
    <row r="135" spans="1:27">
      <c r="A135" t="s">
        <v>2918</v>
      </c>
      <c r="B135" t="s">
        <v>2258</v>
      </c>
      <c r="C135" t="s">
        <v>3350</v>
      </c>
      <c r="D135" t="str">
        <f>TEXT(orders[[#This Row],[OrderDate]], "YYYY-MM")</f>
        <v>2024-03</v>
      </c>
      <c r="E135" t="s">
        <v>2769</v>
      </c>
      <c r="F135" s="1">
        <v>45382</v>
      </c>
      <c r="I135">
        <v>4</v>
      </c>
      <c r="J135">
        <v>12999</v>
      </c>
      <c r="K135">
        <v>5</v>
      </c>
      <c r="L135">
        <v>2599.8000000000002</v>
      </c>
      <c r="M135">
        <v>49396.2</v>
      </c>
      <c r="N135">
        <v>17396.2</v>
      </c>
      <c r="O135" t="s">
        <v>2756</v>
      </c>
      <c r="P135" t="s">
        <v>2761</v>
      </c>
      <c r="Q135" t="s">
        <v>2779</v>
      </c>
      <c r="R135" t="s">
        <v>46</v>
      </c>
      <c r="T135">
        <v>2024</v>
      </c>
      <c r="U135" t="s">
        <v>2752</v>
      </c>
      <c r="V135" t="s">
        <v>2753</v>
      </c>
      <c r="X13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35" t="str">
        <f>IF(orders[[#This Row],[Revenue]]&gt;AVERAGE(orders[Revenue])+3*STDEV(orders[Revenue]),"High Outlier",
 IF(orders[[#This Row],[Revenue]]&lt;AVERAGE(orders[Revenue])-3*STDEV(orders[Revenue]),"Low Outlier",
 "Normal"))</f>
        <v>Normal</v>
      </c>
      <c r="Z135">
        <f ca="1" xml:space="preserve"> _xlfn.DAYS(TODAY(), orders[[#This Row],[OrderDate]])</f>
        <v>760</v>
      </c>
      <c r="AA135"/>
    </row>
    <row r="136" spans="1:27">
      <c r="A136" t="s">
        <v>2919</v>
      </c>
      <c r="B136" t="s">
        <v>1633</v>
      </c>
      <c r="C136" t="s">
        <v>3331</v>
      </c>
      <c r="D136" t="str">
        <f>TEXT(orders[[#This Row],[OrderDate]], "YYYY-MM")</f>
        <v>2024-02</v>
      </c>
      <c r="E136" t="s">
        <v>2755</v>
      </c>
      <c r="F136" s="1">
        <v>45348</v>
      </c>
      <c r="G136" s="1">
        <v>45351</v>
      </c>
      <c r="H136" s="1">
        <v>45352</v>
      </c>
      <c r="I136">
        <v>5</v>
      </c>
      <c r="J136">
        <v>38999</v>
      </c>
      <c r="K136">
        <v>10</v>
      </c>
      <c r="L136">
        <v>19499.5</v>
      </c>
      <c r="M136">
        <v>175495.5</v>
      </c>
      <c r="N136">
        <v>40495.5</v>
      </c>
      <c r="O136" t="s">
        <v>2749</v>
      </c>
      <c r="P136" t="s">
        <v>2770</v>
      </c>
      <c r="Q136" t="s">
        <v>2758</v>
      </c>
      <c r="R136" t="s">
        <v>24</v>
      </c>
      <c r="S136">
        <v>3</v>
      </c>
      <c r="T136">
        <v>2024</v>
      </c>
      <c r="U136" t="s">
        <v>2759</v>
      </c>
      <c r="V136" t="s">
        <v>2753</v>
      </c>
      <c r="W136">
        <v>3</v>
      </c>
      <c r="X13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36" t="str">
        <f>IF(orders[[#This Row],[Revenue]]&gt;AVERAGE(orders[Revenue])+3*STDEV(orders[Revenue]),"High Outlier",
 IF(orders[[#This Row],[Revenue]]&lt;AVERAGE(orders[Revenue])-3*STDEV(orders[Revenue]),"Low Outlier",
 "Normal"))</f>
        <v>Normal</v>
      </c>
      <c r="Z136">
        <f ca="1" xml:space="preserve"> _xlfn.DAYS(TODAY(), orders[[#This Row],[OrderDate]])</f>
        <v>794</v>
      </c>
      <c r="AA136"/>
    </row>
    <row r="137" spans="1:27">
      <c r="A137" t="s">
        <v>2920</v>
      </c>
      <c r="B137" t="s">
        <v>1623</v>
      </c>
      <c r="C137" t="s">
        <v>3413</v>
      </c>
      <c r="D137" t="str">
        <f>TEXT(orders[[#This Row],[OrderDate]], "YYYY-MM")</f>
        <v>2022-12</v>
      </c>
      <c r="E137" t="s">
        <v>2804</v>
      </c>
      <c r="F137" s="1">
        <v>44916</v>
      </c>
      <c r="I137">
        <v>1</v>
      </c>
      <c r="J137">
        <v>5999</v>
      </c>
      <c r="K137">
        <v>15</v>
      </c>
      <c r="L137">
        <v>899.85</v>
      </c>
      <c r="M137">
        <v>5099.1499999999996</v>
      </c>
      <c r="N137">
        <v>1299.1500000000001</v>
      </c>
      <c r="O137" t="s">
        <v>2781</v>
      </c>
      <c r="P137" t="s">
        <v>2757</v>
      </c>
      <c r="Q137" t="s">
        <v>2758</v>
      </c>
      <c r="R137" t="s">
        <v>46</v>
      </c>
      <c r="T137">
        <v>2022</v>
      </c>
      <c r="U137" t="s">
        <v>2763</v>
      </c>
      <c r="V137" t="s">
        <v>2764</v>
      </c>
      <c r="X13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37" t="str">
        <f>IF(orders[[#This Row],[Revenue]]&gt;AVERAGE(orders[Revenue])+3*STDEV(orders[Revenue]),"High Outlier",
 IF(orders[[#This Row],[Revenue]]&lt;AVERAGE(orders[Revenue])-3*STDEV(orders[Revenue]),"Low Outlier",
 "Normal"))</f>
        <v>Normal</v>
      </c>
      <c r="Z137">
        <f ca="1" xml:space="preserve"> _xlfn.DAYS(TODAY(), orders[[#This Row],[OrderDate]])</f>
        <v>1226</v>
      </c>
      <c r="AA137"/>
    </row>
    <row r="138" spans="1:27">
      <c r="A138" t="s">
        <v>2921</v>
      </c>
      <c r="B138" t="s">
        <v>1760</v>
      </c>
      <c r="C138" t="s">
        <v>3374</v>
      </c>
      <c r="D138" t="str">
        <f>TEXT(orders[[#This Row],[OrderDate]], "YYYY-MM")</f>
        <v>2022-07</v>
      </c>
      <c r="E138" t="s">
        <v>2785</v>
      </c>
      <c r="F138" s="1">
        <v>44761</v>
      </c>
      <c r="G138" s="1">
        <v>44763</v>
      </c>
      <c r="H138" s="1">
        <v>44765</v>
      </c>
      <c r="I138">
        <v>4</v>
      </c>
      <c r="J138">
        <v>64999</v>
      </c>
      <c r="K138">
        <v>0</v>
      </c>
      <c r="L138">
        <v>0</v>
      </c>
      <c r="M138">
        <v>259996</v>
      </c>
      <c r="N138">
        <v>79996</v>
      </c>
      <c r="O138" t="s">
        <v>2749</v>
      </c>
      <c r="P138" t="s">
        <v>2761</v>
      </c>
      <c r="Q138" t="s">
        <v>2762</v>
      </c>
      <c r="R138" t="s">
        <v>188</v>
      </c>
      <c r="S138">
        <v>5</v>
      </c>
      <c r="T138">
        <v>2022</v>
      </c>
      <c r="U138" t="s">
        <v>2792</v>
      </c>
      <c r="V138" t="s">
        <v>2774</v>
      </c>
      <c r="W138">
        <v>2</v>
      </c>
      <c r="X13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38" t="str">
        <f>IF(orders[[#This Row],[Revenue]]&gt;AVERAGE(orders[Revenue])+3*STDEV(orders[Revenue]),"High Outlier",
 IF(orders[[#This Row],[Revenue]]&lt;AVERAGE(orders[Revenue])-3*STDEV(orders[Revenue]),"Low Outlier",
 "Normal"))</f>
        <v>Normal</v>
      </c>
      <c r="Z138">
        <f ca="1" xml:space="preserve"> _xlfn.DAYS(TODAY(), orders[[#This Row],[OrderDate]])</f>
        <v>1381</v>
      </c>
      <c r="AA138"/>
    </row>
    <row r="139" spans="1:27">
      <c r="A139" t="s">
        <v>2922</v>
      </c>
      <c r="B139" t="s">
        <v>2203</v>
      </c>
      <c r="C139" t="s">
        <v>3366</v>
      </c>
      <c r="D139" t="str">
        <f>TEXT(orders[[#This Row],[OrderDate]], "YYYY-MM")</f>
        <v>2024-10</v>
      </c>
      <c r="E139" t="s">
        <v>2785</v>
      </c>
      <c r="F139" s="1">
        <v>45574</v>
      </c>
      <c r="I139">
        <v>1</v>
      </c>
      <c r="J139">
        <v>19999</v>
      </c>
      <c r="K139">
        <v>0</v>
      </c>
      <c r="L139">
        <v>0</v>
      </c>
      <c r="M139">
        <v>19999</v>
      </c>
      <c r="N139">
        <v>6999</v>
      </c>
      <c r="O139" t="s">
        <v>2781</v>
      </c>
      <c r="P139" t="s">
        <v>2782</v>
      </c>
      <c r="Q139" t="s">
        <v>2779</v>
      </c>
      <c r="R139" t="s">
        <v>188</v>
      </c>
      <c r="T139">
        <v>2024</v>
      </c>
      <c r="U139" t="s">
        <v>2788</v>
      </c>
      <c r="V139" t="s">
        <v>2764</v>
      </c>
      <c r="X13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39" t="str">
        <f>IF(orders[[#This Row],[Revenue]]&gt;AVERAGE(orders[Revenue])+3*STDEV(orders[Revenue]),"High Outlier",
 IF(orders[[#This Row],[Revenue]]&lt;AVERAGE(orders[Revenue])-3*STDEV(orders[Revenue]),"Low Outlier",
 "Normal"))</f>
        <v>Normal</v>
      </c>
      <c r="Z139">
        <f ca="1" xml:space="preserve"> _xlfn.DAYS(TODAY(), orders[[#This Row],[OrderDate]])</f>
        <v>568</v>
      </c>
      <c r="AA139"/>
    </row>
    <row r="140" spans="1:27">
      <c r="A140" t="s">
        <v>2923</v>
      </c>
      <c r="B140" t="s">
        <v>2499</v>
      </c>
      <c r="C140" t="s">
        <v>3394</v>
      </c>
      <c r="D140" t="str">
        <f>TEXT(orders[[#This Row],[OrderDate]], "YYYY-MM")</f>
        <v>2022-10</v>
      </c>
      <c r="E140" t="s">
        <v>2804</v>
      </c>
      <c r="F140" s="1">
        <v>44862</v>
      </c>
      <c r="I140">
        <v>2</v>
      </c>
      <c r="J140">
        <v>2499</v>
      </c>
      <c r="K140">
        <v>15</v>
      </c>
      <c r="L140">
        <v>749.7</v>
      </c>
      <c r="M140">
        <v>4248.3</v>
      </c>
      <c r="N140">
        <v>1848.3</v>
      </c>
      <c r="O140" t="s">
        <v>2781</v>
      </c>
      <c r="P140" t="s">
        <v>2761</v>
      </c>
      <c r="Q140" t="s">
        <v>2794</v>
      </c>
      <c r="R140" t="s">
        <v>46</v>
      </c>
      <c r="T140">
        <v>2022</v>
      </c>
      <c r="U140" t="s">
        <v>2788</v>
      </c>
      <c r="V140" t="s">
        <v>2764</v>
      </c>
      <c r="X14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40" t="str">
        <f>IF(orders[[#This Row],[Revenue]]&gt;AVERAGE(orders[Revenue])+3*STDEV(orders[Revenue]),"High Outlier",
 IF(orders[[#This Row],[Revenue]]&lt;AVERAGE(orders[Revenue])-3*STDEV(orders[Revenue]),"Low Outlier",
 "Normal"))</f>
        <v>Normal</v>
      </c>
      <c r="Z140">
        <f ca="1" xml:space="preserve"> _xlfn.DAYS(TODAY(), orders[[#This Row],[OrderDate]])</f>
        <v>1280</v>
      </c>
      <c r="AA140"/>
    </row>
    <row r="141" spans="1:27">
      <c r="A141" t="s">
        <v>2924</v>
      </c>
      <c r="B141" t="s">
        <v>1224</v>
      </c>
      <c r="C141" t="s">
        <v>3399</v>
      </c>
      <c r="D141" t="str">
        <f>TEXT(orders[[#This Row],[OrderDate]], "YYYY-MM")</f>
        <v>2023-02</v>
      </c>
      <c r="E141" t="s">
        <v>2755</v>
      </c>
      <c r="F141" s="1">
        <v>44962</v>
      </c>
      <c r="G141" s="1">
        <v>44968</v>
      </c>
      <c r="H141" s="1">
        <v>44970</v>
      </c>
      <c r="I141">
        <v>3</v>
      </c>
      <c r="J141">
        <v>3499</v>
      </c>
      <c r="K141">
        <v>5</v>
      </c>
      <c r="L141">
        <v>524.85</v>
      </c>
      <c r="M141">
        <v>9972.15</v>
      </c>
      <c r="N141">
        <v>4572.1499999999996</v>
      </c>
      <c r="O141" t="s">
        <v>2749</v>
      </c>
      <c r="P141" t="s">
        <v>2770</v>
      </c>
      <c r="Q141" t="s">
        <v>2794</v>
      </c>
      <c r="R141" t="s">
        <v>24</v>
      </c>
      <c r="S141">
        <v>1</v>
      </c>
      <c r="T141">
        <v>2023</v>
      </c>
      <c r="U141" t="s">
        <v>2759</v>
      </c>
      <c r="V141" t="s">
        <v>2753</v>
      </c>
      <c r="W141">
        <v>6</v>
      </c>
      <c r="X14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41" t="str">
        <f>IF(orders[[#This Row],[Revenue]]&gt;AVERAGE(orders[Revenue])+3*STDEV(orders[Revenue]),"High Outlier",
 IF(orders[[#This Row],[Revenue]]&lt;AVERAGE(orders[Revenue])-3*STDEV(orders[Revenue]),"Low Outlier",
 "Normal"))</f>
        <v>Normal</v>
      </c>
      <c r="Z141">
        <f ca="1" xml:space="preserve"> _xlfn.DAYS(TODAY(), orders[[#This Row],[OrderDate]])</f>
        <v>1180</v>
      </c>
      <c r="AA141"/>
    </row>
    <row r="142" spans="1:27">
      <c r="A142" t="s">
        <v>2925</v>
      </c>
      <c r="B142" t="s">
        <v>1724</v>
      </c>
      <c r="C142" t="s">
        <v>3298</v>
      </c>
      <c r="D142" t="str">
        <f>TEXT(orders[[#This Row],[OrderDate]], "YYYY-MM")</f>
        <v>2022-09</v>
      </c>
      <c r="E142" t="s">
        <v>2755</v>
      </c>
      <c r="F142" s="1">
        <v>44823</v>
      </c>
      <c r="G142" s="1">
        <v>44824</v>
      </c>
      <c r="H142" s="1">
        <v>44826</v>
      </c>
      <c r="I142">
        <v>5</v>
      </c>
      <c r="J142">
        <v>79999</v>
      </c>
      <c r="K142">
        <v>0</v>
      </c>
      <c r="L142">
        <v>0</v>
      </c>
      <c r="M142">
        <v>399995</v>
      </c>
      <c r="N142">
        <v>124995</v>
      </c>
      <c r="O142" t="s">
        <v>2749</v>
      </c>
      <c r="P142" t="s">
        <v>2757</v>
      </c>
      <c r="Q142" t="s">
        <v>2758</v>
      </c>
      <c r="R142" t="s">
        <v>24</v>
      </c>
      <c r="S142">
        <v>3</v>
      </c>
      <c r="T142">
        <v>2022</v>
      </c>
      <c r="U142" t="s">
        <v>2790</v>
      </c>
      <c r="V142" t="s">
        <v>2774</v>
      </c>
      <c r="W142">
        <v>1</v>
      </c>
      <c r="X14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42" t="str">
        <f>IF(orders[[#This Row],[Revenue]]&gt;AVERAGE(orders[Revenue])+3*STDEV(orders[Revenue]),"High Outlier",
 IF(orders[[#This Row],[Revenue]]&lt;AVERAGE(orders[Revenue])-3*STDEV(orders[Revenue]),"Low Outlier",
 "Normal"))</f>
        <v>High Outlier</v>
      </c>
      <c r="Z142">
        <f ca="1" xml:space="preserve"> _xlfn.DAYS(TODAY(), orders[[#This Row],[OrderDate]])</f>
        <v>1319</v>
      </c>
      <c r="AA142"/>
    </row>
    <row r="143" spans="1:27">
      <c r="A143" t="s">
        <v>2926</v>
      </c>
      <c r="B143" t="s">
        <v>432</v>
      </c>
      <c r="C143" t="s">
        <v>3350</v>
      </c>
      <c r="D143" t="str">
        <f>TEXT(orders[[#This Row],[OrderDate]], "YYYY-MM")</f>
        <v>2023-04</v>
      </c>
      <c r="E143" t="s">
        <v>2748</v>
      </c>
      <c r="F143" s="1">
        <v>45043</v>
      </c>
      <c r="G143" s="1">
        <v>45049</v>
      </c>
      <c r="H143" s="1">
        <v>45052</v>
      </c>
      <c r="I143">
        <v>3</v>
      </c>
      <c r="J143">
        <v>12999</v>
      </c>
      <c r="K143">
        <v>10</v>
      </c>
      <c r="L143">
        <v>3899.7</v>
      </c>
      <c r="M143">
        <v>35097.300000000003</v>
      </c>
      <c r="N143">
        <v>11097.3</v>
      </c>
      <c r="O143" t="s">
        <v>2749</v>
      </c>
      <c r="P143" t="s">
        <v>2770</v>
      </c>
      <c r="Q143" t="s">
        <v>2751</v>
      </c>
      <c r="R143" t="s">
        <v>188</v>
      </c>
      <c r="S143">
        <v>4</v>
      </c>
      <c r="T143">
        <v>2023</v>
      </c>
      <c r="U143" t="s">
        <v>2783</v>
      </c>
      <c r="V143" t="s">
        <v>2767</v>
      </c>
      <c r="W143">
        <v>6</v>
      </c>
      <c r="X14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43" t="str">
        <f>IF(orders[[#This Row],[Revenue]]&gt;AVERAGE(orders[Revenue])+3*STDEV(orders[Revenue]),"High Outlier",
 IF(orders[[#This Row],[Revenue]]&lt;AVERAGE(orders[Revenue])-3*STDEV(orders[Revenue]),"Low Outlier",
 "Normal"))</f>
        <v>Normal</v>
      </c>
      <c r="Z143">
        <f ca="1" xml:space="preserve"> _xlfn.DAYS(TODAY(), orders[[#This Row],[OrderDate]])</f>
        <v>1099</v>
      </c>
      <c r="AA143"/>
    </row>
    <row r="144" spans="1:27">
      <c r="A144" t="s">
        <v>2927</v>
      </c>
      <c r="B144" t="s">
        <v>1628</v>
      </c>
      <c r="C144" t="s">
        <v>3336</v>
      </c>
      <c r="D144" t="str">
        <f>TEXT(orders[[#This Row],[OrderDate]], "YYYY-MM")</f>
        <v>2024-08</v>
      </c>
      <c r="E144" t="s">
        <v>2809</v>
      </c>
      <c r="F144" s="1">
        <v>45534</v>
      </c>
      <c r="G144" s="1">
        <v>45536</v>
      </c>
      <c r="H144" s="1">
        <v>45539</v>
      </c>
      <c r="I144">
        <v>3</v>
      </c>
      <c r="J144">
        <v>26990</v>
      </c>
      <c r="K144">
        <v>10</v>
      </c>
      <c r="L144">
        <v>8097</v>
      </c>
      <c r="M144">
        <v>72873</v>
      </c>
      <c r="N144">
        <v>18873</v>
      </c>
      <c r="O144" t="s">
        <v>2749</v>
      </c>
      <c r="P144" t="s">
        <v>2782</v>
      </c>
      <c r="Q144" t="s">
        <v>2794</v>
      </c>
      <c r="R144" t="s">
        <v>24</v>
      </c>
      <c r="S144">
        <v>2</v>
      </c>
      <c r="T144">
        <v>2024</v>
      </c>
      <c r="U144" t="s">
        <v>2773</v>
      </c>
      <c r="V144" t="s">
        <v>2774</v>
      </c>
      <c r="W144">
        <v>2</v>
      </c>
      <c r="X14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44" t="str">
        <f>IF(orders[[#This Row],[Revenue]]&gt;AVERAGE(orders[Revenue])+3*STDEV(orders[Revenue]),"High Outlier",
 IF(orders[[#This Row],[Revenue]]&lt;AVERAGE(orders[Revenue])-3*STDEV(orders[Revenue]),"Low Outlier",
 "Normal"))</f>
        <v>Normal</v>
      </c>
      <c r="Z144">
        <f ca="1" xml:space="preserve"> _xlfn.DAYS(TODAY(), orders[[#This Row],[OrderDate]])</f>
        <v>608</v>
      </c>
      <c r="AA144"/>
    </row>
    <row r="145" spans="1:27">
      <c r="A145" t="s">
        <v>2928</v>
      </c>
      <c r="B145" t="s">
        <v>508</v>
      </c>
      <c r="C145" t="s">
        <v>3298</v>
      </c>
      <c r="D145" t="str">
        <f>TEXT(orders[[#This Row],[OrderDate]], "YYYY-MM")</f>
        <v>2022-02</v>
      </c>
      <c r="E145" t="s">
        <v>2748</v>
      </c>
      <c r="F145" s="1">
        <v>44594</v>
      </c>
      <c r="G145" s="1">
        <v>44600</v>
      </c>
      <c r="H145" s="1">
        <v>44603</v>
      </c>
      <c r="I145">
        <v>4</v>
      </c>
      <c r="J145">
        <v>79999</v>
      </c>
      <c r="K145">
        <v>0</v>
      </c>
      <c r="L145">
        <v>0</v>
      </c>
      <c r="M145">
        <v>319996</v>
      </c>
      <c r="N145">
        <v>99996</v>
      </c>
      <c r="O145" t="s">
        <v>2749</v>
      </c>
      <c r="P145" t="s">
        <v>2757</v>
      </c>
      <c r="Q145" t="s">
        <v>2779</v>
      </c>
      <c r="R145" t="s">
        <v>188</v>
      </c>
      <c r="S145">
        <v>4</v>
      </c>
      <c r="T145">
        <v>2022</v>
      </c>
      <c r="U145" t="s">
        <v>2759</v>
      </c>
      <c r="V145" t="s">
        <v>2753</v>
      </c>
      <c r="W145">
        <v>6</v>
      </c>
      <c r="X14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45" t="str">
        <f>IF(orders[[#This Row],[Revenue]]&gt;AVERAGE(orders[Revenue])+3*STDEV(orders[Revenue]),"High Outlier",
 IF(orders[[#This Row],[Revenue]]&lt;AVERAGE(orders[Revenue])-3*STDEV(orders[Revenue]),"Low Outlier",
 "Normal"))</f>
        <v>Normal</v>
      </c>
      <c r="Z145">
        <f ca="1" xml:space="preserve"> _xlfn.DAYS(TODAY(), orders[[#This Row],[OrderDate]])</f>
        <v>1548</v>
      </c>
      <c r="AA145"/>
    </row>
    <row r="146" spans="1:27">
      <c r="A146" t="s">
        <v>2929</v>
      </c>
      <c r="B146" t="s">
        <v>2429</v>
      </c>
      <c r="C146" t="s">
        <v>3374</v>
      </c>
      <c r="D146" t="str">
        <f>TEXT(orders[[#This Row],[OrderDate]], "YYYY-MM")</f>
        <v>2023-01</v>
      </c>
      <c r="E146" t="s">
        <v>2776</v>
      </c>
      <c r="F146" s="1">
        <v>44930</v>
      </c>
      <c r="G146" s="1">
        <v>44935</v>
      </c>
      <c r="H146" s="1">
        <v>44938</v>
      </c>
      <c r="I146">
        <v>5</v>
      </c>
      <c r="J146">
        <v>64999</v>
      </c>
      <c r="K146">
        <v>15</v>
      </c>
      <c r="L146">
        <v>48749.25</v>
      </c>
      <c r="M146">
        <v>276245.75</v>
      </c>
      <c r="N146">
        <v>51245.75</v>
      </c>
      <c r="O146" t="s">
        <v>2749</v>
      </c>
      <c r="P146" t="s">
        <v>2770</v>
      </c>
      <c r="Q146" t="s">
        <v>2794</v>
      </c>
      <c r="R146" t="s">
        <v>35</v>
      </c>
      <c r="S146">
        <v>2</v>
      </c>
      <c r="T146">
        <v>2023</v>
      </c>
      <c r="U146" t="s">
        <v>2795</v>
      </c>
      <c r="V146" t="s">
        <v>2753</v>
      </c>
      <c r="W146">
        <v>5</v>
      </c>
      <c r="X14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46" t="str">
        <f>IF(orders[[#This Row],[Revenue]]&gt;AVERAGE(orders[Revenue])+3*STDEV(orders[Revenue]),"High Outlier",
 IF(orders[[#This Row],[Revenue]]&lt;AVERAGE(orders[Revenue])-3*STDEV(orders[Revenue]),"Low Outlier",
 "Normal"))</f>
        <v>Normal</v>
      </c>
      <c r="Z146">
        <f ca="1" xml:space="preserve"> _xlfn.DAYS(TODAY(), orders[[#This Row],[OrderDate]])</f>
        <v>1212</v>
      </c>
      <c r="AA146"/>
    </row>
    <row r="147" spans="1:27">
      <c r="A147" t="s">
        <v>2930</v>
      </c>
      <c r="B147" t="s">
        <v>665</v>
      </c>
      <c r="C147" t="s">
        <v>3370</v>
      </c>
      <c r="D147" t="str">
        <f>TEXT(orders[[#This Row],[OrderDate]], "YYYY-MM")</f>
        <v>2024-10</v>
      </c>
      <c r="E147" t="s">
        <v>2813</v>
      </c>
      <c r="F147" s="1">
        <v>45582</v>
      </c>
      <c r="I147">
        <v>2</v>
      </c>
      <c r="J147">
        <v>24999</v>
      </c>
      <c r="K147">
        <v>20</v>
      </c>
      <c r="L147">
        <v>9999.6</v>
      </c>
      <c r="M147">
        <v>39998.400000000001</v>
      </c>
      <c r="N147">
        <v>5998.4</v>
      </c>
      <c r="O147" t="s">
        <v>2781</v>
      </c>
      <c r="P147" t="s">
        <v>2750</v>
      </c>
      <c r="Q147" t="s">
        <v>2751</v>
      </c>
      <c r="R147" t="s">
        <v>76</v>
      </c>
      <c r="T147">
        <v>2024</v>
      </c>
      <c r="U147" t="s">
        <v>2788</v>
      </c>
      <c r="V147" t="s">
        <v>2764</v>
      </c>
      <c r="X14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47" t="str">
        <f>IF(orders[[#This Row],[Revenue]]&gt;AVERAGE(orders[Revenue])+3*STDEV(orders[Revenue]),"High Outlier",
 IF(orders[[#This Row],[Revenue]]&lt;AVERAGE(orders[Revenue])-3*STDEV(orders[Revenue]),"Low Outlier",
 "Normal"))</f>
        <v>Normal</v>
      </c>
      <c r="Z147">
        <f ca="1" xml:space="preserve"> _xlfn.DAYS(TODAY(), orders[[#This Row],[OrderDate]])</f>
        <v>560</v>
      </c>
      <c r="AA147"/>
    </row>
    <row r="148" spans="1:27">
      <c r="A148" t="s">
        <v>2931</v>
      </c>
      <c r="B148" t="s">
        <v>2600</v>
      </c>
      <c r="C148" t="s">
        <v>3390</v>
      </c>
      <c r="D148" t="str">
        <f>TEXT(orders[[#This Row],[OrderDate]], "YYYY-MM")</f>
        <v>2022-03</v>
      </c>
      <c r="E148" t="s">
        <v>2769</v>
      </c>
      <c r="F148" s="1">
        <v>44630</v>
      </c>
      <c r="G148" s="1">
        <v>44635</v>
      </c>
      <c r="H148" s="1">
        <v>44638</v>
      </c>
      <c r="I148">
        <v>3</v>
      </c>
      <c r="J148">
        <v>54999</v>
      </c>
      <c r="K148">
        <v>0</v>
      </c>
      <c r="L148">
        <v>0</v>
      </c>
      <c r="M148">
        <v>164997</v>
      </c>
      <c r="N148">
        <v>50997</v>
      </c>
      <c r="O148" t="s">
        <v>2749</v>
      </c>
      <c r="P148" t="s">
        <v>2761</v>
      </c>
      <c r="Q148" t="s">
        <v>2751</v>
      </c>
      <c r="R148" t="s">
        <v>46</v>
      </c>
      <c r="S148">
        <v>1</v>
      </c>
      <c r="T148">
        <v>2022</v>
      </c>
      <c r="U148" t="s">
        <v>2752</v>
      </c>
      <c r="V148" t="s">
        <v>2753</v>
      </c>
      <c r="W148">
        <v>5</v>
      </c>
      <c r="X14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48" t="str">
        <f>IF(orders[[#This Row],[Revenue]]&gt;AVERAGE(orders[Revenue])+3*STDEV(orders[Revenue]),"High Outlier",
 IF(orders[[#This Row],[Revenue]]&lt;AVERAGE(orders[Revenue])-3*STDEV(orders[Revenue]),"Low Outlier",
 "Normal"))</f>
        <v>Normal</v>
      </c>
      <c r="Z148">
        <f ca="1" xml:space="preserve"> _xlfn.DAYS(TODAY(), orders[[#This Row],[OrderDate]])</f>
        <v>1512</v>
      </c>
      <c r="AA148"/>
    </row>
    <row r="149" spans="1:27">
      <c r="A149" t="s">
        <v>2932</v>
      </c>
      <c r="B149" t="s">
        <v>531</v>
      </c>
      <c r="C149" t="s">
        <v>3418</v>
      </c>
      <c r="D149" t="str">
        <f>TEXT(orders[[#This Row],[OrderDate]], "YYYY-MM")</f>
        <v>2024-08</v>
      </c>
      <c r="E149" t="s">
        <v>2755</v>
      </c>
      <c r="F149" s="1">
        <v>45514</v>
      </c>
      <c r="I149">
        <v>1</v>
      </c>
      <c r="J149">
        <v>4999</v>
      </c>
      <c r="K149">
        <v>20</v>
      </c>
      <c r="L149">
        <v>999.8</v>
      </c>
      <c r="M149">
        <v>3999.2</v>
      </c>
      <c r="N149">
        <v>1199.2</v>
      </c>
      <c r="O149" t="s">
        <v>2756</v>
      </c>
      <c r="P149" t="s">
        <v>2761</v>
      </c>
      <c r="Q149" t="s">
        <v>2762</v>
      </c>
      <c r="R149" t="s">
        <v>24</v>
      </c>
      <c r="T149">
        <v>2024</v>
      </c>
      <c r="U149" t="s">
        <v>2773</v>
      </c>
      <c r="V149" t="s">
        <v>2774</v>
      </c>
      <c r="X14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49" t="str">
        <f>IF(orders[[#This Row],[Revenue]]&gt;AVERAGE(orders[Revenue])+3*STDEV(orders[Revenue]),"High Outlier",
 IF(orders[[#This Row],[Revenue]]&lt;AVERAGE(orders[Revenue])-3*STDEV(orders[Revenue]),"Low Outlier",
 "Normal"))</f>
        <v>Normal</v>
      </c>
      <c r="Z149">
        <f ca="1" xml:space="preserve"> _xlfn.DAYS(TODAY(), orders[[#This Row],[OrderDate]])</f>
        <v>628</v>
      </c>
      <c r="AA149"/>
    </row>
    <row r="150" spans="1:27">
      <c r="A150" t="s">
        <v>2933</v>
      </c>
      <c r="B150" t="s">
        <v>832</v>
      </c>
      <c r="C150" t="s">
        <v>3379</v>
      </c>
      <c r="D150" t="str">
        <f>TEXT(orders[[#This Row],[OrderDate]], "YYYY-MM")</f>
        <v>2023-10</v>
      </c>
      <c r="E150" t="s">
        <v>2809</v>
      </c>
      <c r="F150" s="1">
        <v>45201</v>
      </c>
      <c r="I150">
        <v>1</v>
      </c>
      <c r="J150">
        <v>29999</v>
      </c>
      <c r="K150">
        <v>10</v>
      </c>
      <c r="L150">
        <v>2999.9</v>
      </c>
      <c r="M150">
        <v>26999.1</v>
      </c>
      <c r="N150">
        <v>6999.1</v>
      </c>
      <c r="O150" t="s">
        <v>2756</v>
      </c>
      <c r="P150" t="s">
        <v>2761</v>
      </c>
      <c r="Q150" t="s">
        <v>2762</v>
      </c>
      <c r="R150" t="s">
        <v>24</v>
      </c>
      <c r="T150">
        <v>2023</v>
      </c>
      <c r="U150" t="s">
        <v>2788</v>
      </c>
      <c r="V150" t="s">
        <v>2764</v>
      </c>
      <c r="X15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50" t="str">
        <f>IF(orders[[#This Row],[Revenue]]&gt;AVERAGE(orders[Revenue])+3*STDEV(orders[Revenue]),"High Outlier",
 IF(orders[[#This Row],[Revenue]]&lt;AVERAGE(orders[Revenue])-3*STDEV(orders[Revenue]),"Low Outlier",
 "Normal"))</f>
        <v>Normal</v>
      </c>
      <c r="Z150">
        <f ca="1" xml:space="preserve"> _xlfn.DAYS(TODAY(), orders[[#This Row],[OrderDate]])</f>
        <v>941</v>
      </c>
      <c r="AA150"/>
    </row>
    <row r="151" spans="1:27">
      <c r="A151" t="s">
        <v>2934</v>
      </c>
      <c r="B151" t="s">
        <v>1433</v>
      </c>
      <c r="C151" t="s">
        <v>3374</v>
      </c>
      <c r="D151" t="str">
        <f>TEXT(orders[[#This Row],[OrderDate]], "YYYY-MM")</f>
        <v>2023-11</v>
      </c>
      <c r="E151" t="s">
        <v>2755</v>
      </c>
      <c r="F151" s="1">
        <v>45240</v>
      </c>
      <c r="G151" s="1">
        <v>45243</v>
      </c>
      <c r="H151" s="1">
        <v>45245</v>
      </c>
      <c r="I151">
        <v>3</v>
      </c>
      <c r="J151">
        <v>64999</v>
      </c>
      <c r="K151">
        <v>0</v>
      </c>
      <c r="L151">
        <v>0</v>
      </c>
      <c r="M151">
        <v>194997</v>
      </c>
      <c r="N151">
        <v>59997</v>
      </c>
      <c r="O151" t="s">
        <v>2749</v>
      </c>
      <c r="P151" t="s">
        <v>2757</v>
      </c>
      <c r="Q151" t="s">
        <v>2758</v>
      </c>
      <c r="R151" t="s">
        <v>24</v>
      </c>
      <c r="S151">
        <v>3</v>
      </c>
      <c r="T151">
        <v>2023</v>
      </c>
      <c r="U151" t="s">
        <v>2786</v>
      </c>
      <c r="V151" t="s">
        <v>2764</v>
      </c>
      <c r="W151">
        <v>3</v>
      </c>
      <c r="X15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51" t="str">
        <f>IF(orders[[#This Row],[Revenue]]&gt;AVERAGE(orders[Revenue])+3*STDEV(orders[Revenue]),"High Outlier",
 IF(orders[[#This Row],[Revenue]]&lt;AVERAGE(orders[Revenue])-3*STDEV(orders[Revenue]),"Low Outlier",
 "Normal"))</f>
        <v>Normal</v>
      </c>
      <c r="Z151">
        <f ca="1" xml:space="preserve"> _xlfn.DAYS(TODAY(), orders[[#This Row],[OrderDate]])</f>
        <v>902</v>
      </c>
      <c r="AA151"/>
    </row>
    <row r="152" spans="1:27">
      <c r="A152" t="s">
        <v>2935</v>
      </c>
      <c r="B152" t="s">
        <v>2094</v>
      </c>
      <c r="C152" t="s">
        <v>3394</v>
      </c>
      <c r="D152" t="str">
        <f>TEXT(orders[[#This Row],[OrderDate]], "YYYY-MM")</f>
        <v>2022-05</v>
      </c>
      <c r="E152" t="s">
        <v>2785</v>
      </c>
      <c r="F152" s="1">
        <v>44687</v>
      </c>
      <c r="I152">
        <v>4</v>
      </c>
      <c r="J152">
        <v>2499</v>
      </c>
      <c r="K152">
        <v>0</v>
      </c>
      <c r="L152">
        <v>0</v>
      </c>
      <c r="M152">
        <v>9996</v>
      </c>
      <c r="N152">
        <v>5196</v>
      </c>
      <c r="O152" t="s">
        <v>2781</v>
      </c>
      <c r="P152" t="s">
        <v>2761</v>
      </c>
      <c r="Q152" t="s">
        <v>2762</v>
      </c>
      <c r="R152" t="s">
        <v>188</v>
      </c>
      <c r="T152">
        <v>2022</v>
      </c>
      <c r="U152" t="s">
        <v>2766</v>
      </c>
      <c r="V152" t="s">
        <v>2767</v>
      </c>
      <c r="X15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52" t="str">
        <f>IF(orders[[#This Row],[Revenue]]&gt;AVERAGE(orders[Revenue])+3*STDEV(orders[Revenue]),"High Outlier",
 IF(orders[[#This Row],[Revenue]]&lt;AVERAGE(orders[Revenue])-3*STDEV(orders[Revenue]),"Low Outlier",
 "Normal"))</f>
        <v>Normal</v>
      </c>
      <c r="Z152">
        <f ca="1" xml:space="preserve"> _xlfn.DAYS(TODAY(), orders[[#This Row],[OrderDate]])</f>
        <v>1455</v>
      </c>
      <c r="AA152"/>
    </row>
    <row r="153" spans="1:27">
      <c r="A153" t="s">
        <v>2936</v>
      </c>
      <c r="B153" t="s">
        <v>1916</v>
      </c>
      <c r="C153" t="s">
        <v>3350</v>
      </c>
      <c r="D153" t="str">
        <f>TEXT(orders[[#This Row],[OrderDate]], "YYYY-MM")</f>
        <v>2023-08</v>
      </c>
      <c r="E153" t="s">
        <v>2748</v>
      </c>
      <c r="F153" s="1">
        <v>45149</v>
      </c>
      <c r="G153" s="1">
        <v>45150</v>
      </c>
      <c r="H153" s="1">
        <v>45151</v>
      </c>
      <c r="I153">
        <v>5</v>
      </c>
      <c r="J153">
        <v>12999</v>
      </c>
      <c r="K153">
        <v>0</v>
      </c>
      <c r="L153">
        <v>0</v>
      </c>
      <c r="M153">
        <v>64995</v>
      </c>
      <c r="N153">
        <v>24995</v>
      </c>
      <c r="O153" t="s">
        <v>2749</v>
      </c>
      <c r="P153" t="s">
        <v>2750</v>
      </c>
      <c r="Q153" t="s">
        <v>2794</v>
      </c>
      <c r="R153" t="s">
        <v>188</v>
      </c>
      <c r="S153">
        <v>2</v>
      </c>
      <c r="T153">
        <v>2023</v>
      </c>
      <c r="U153" t="s">
        <v>2773</v>
      </c>
      <c r="V153" t="s">
        <v>2774</v>
      </c>
      <c r="W153">
        <v>1</v>
      </c>
      <c r="X15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53" t="str">
        <f>IF(orders[[#This Row],[Revenue]]&gt;AVERAGE(orders[Revenue])+3*STDEV(orders[Revenue]),"High Outlier",
 IF(orders[[#This Row],[Revenue]]&lt;AVERAGE(orders[Revenue])-3*STDEV(orders[Revenue]),"Low Outlier",
 "Normal"))</f>
        <v>Normal</v>
      </c>
      <c r="Z153">
        <f ca="1" xml:space="preserve"> _xlfn.DAYS(TODAY(), orders[[#This Row],[OrderDate]])</f>
        <v>993</v>
      </c>
      <c r="AA153"/>
    </row>
    <row r="154" spans="1:27">
      <c r="A154" t="s">
        <v>2937</v>
      </c>
      <c r="B154" t="s">
        <v>1811</v>
      </c>
      <c r="C154" t="s">
        <v>3345</v>
      </c>
      <c r="D154" t="str">
        <f>TEXT(orders[[#This Row],[OrderDate]], "YYYY-MM")</f>
        <v>2023-06</v>
      </c>
      <c r="E154" t="s">
        <v>2755</v>
      </c>
      <c r="F154" s="1">
        <v>45088</v>
      </c>
      <c r="G154" s="1">
        <v>45094</v>
      </c>
      <c r="H154" s="1">
        <v>45094</v>
      </c>
      <c r="I154">
        <v>5</v>
      </c>
      <c r="J154">
        <v>29900</v>
      </c>
      <c r="K154">
        <v>0</v>
      </c>
      <c r="L154">
        <v>0</v>
      </c>
      <c r="M154">
        <v>149500</v>
      </c>
      <c r="N154">
        <v>49500</v>
      </c>
      <c r="O154" t="s">
        <v>2749</v>
      </c>
      <c r="P154" t="s">
        <v>2761</v>
      </c>
      <c r="Q154" t="s">
        <v>2779</v>
      </c>
      <c r="R154" t="s">
        <v>24</v>
      </c>
      <c r="S154">
        <v>4</v>
      </c>
      <c r="T154">
        <v>2023</v>
      </c>
      <c r="U154" t="s">
        <v>2771</v>
      </c>
      <c r="V154" t="s">
        <v>2767</v>
      </c>
      <c r="W154">
        <v>6</v>
      </c>
      <c r="X15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54" t="str">
        <f>IF(orders[[#This Row],[Revenue]]&gt;AVERAGE(orders[Revenue])+3*STDEV(orders[Revenue]),"High Outlier",
 IF(orders[[#This Row],[Revenue]]&lt;AVERAGE(orders[Revenue])-3*STDEV(orders[Revenue]),"Low Outlier",
 "Normal"))</f>
        <v>Normal</v>
      </c>
      <c r="Z154">
        <f ca="1" xml:space="preserve"> _xlfn.DAYS(TODAY(), orders[[#This Row],[OrderDate]])</f>
        <v>1054</v>
      </c>
      <c r="AA154"/>
    </row>
    <row r="155" spans="1:27">
      <c r="A155" t="s">
        <v>2938</v>
      </c>
      <c r="B155" t="s">
        <v>1173</v>
      </c>
      <c r="C155" t="s">
        <v>3331</v>
      </c>
      <c r="D155" t="str">
        <f>TEXT(orders[[#This Row],[OrderDate]], "YYYY-MM")</f>
        <v>2023-04</v>
      </c>
      <c r="E155" t="s">
        <v>2755</v>
      </c>
      <c r="F155" s="1">
        <v>45045</v>
      </c>
      <c r="G155" s="1">
        <v>45047</v>
      </c>
      <c r="H155" s="1">
        <v>45047</v>
      </c>
      <c r="I155">
        <v>3</v>
      </c>
      <c r="J155">
        <v>38999</v>
      </c>
      <c r="K155">
        <v>0</v>
      </c>
      <c r="L155">
        <v>0</v>
      </c>
      <c r="M155">
        <v>116997</v>
      </c>
      <c r="N155">
        <v>35997</v>
      </c>
      <c r="O155" t="s">
        <v>2749</v>
      </c>
      <c r="P155" t="s">
        <v>2782</v>
      </c>
      <c r="Q155" t="s">
        <v>2758</v>
      </c>
      <c r="R155" t="s">
        <v>24</v>
      </c>
      <c r="S155">
        <v>2</v>
      </c>
      <c r="T155">
        <v>2023</v>
      </c>
      <c r="U155" t="s">
        <v>2783</v>
      </c>
      <c r="V155" t="s">
        <v>2767</v>
      </c>
      <c r="W155">
        <v>2</v>
      </c>
      <c r="X15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55" t="str">
        <f>IF(orders[[#This Row],[Revenue]]&gt;AVERAGE(orders[Revenue])+3*STDEV(orders[Revenue]),"High Outlier",
 IF(orders[[#This Row],[Revenue]]&lt;AVERAGE(orders[Revenue])-3*STDEV(orders[Revenue]),"Low Outlier",
 "Normal"))</f>
        <v>Normal</v>
      </c>
      <c r="Z155">
        <f ca="1" xml:space="preserve"> _xlfn.DAYS(TODAY(), orders[[#This Row],[OrderDate]])</f>
        <v>1097</v>
      </c>
      <c r="AA155"/>
    </row>
    <row r="156" spans="1:27">
      <c r="A156" t="s">
        <v>2939</v>
      </c>
      <c r="B156" t="s">
        <v>2370</v>
      </c>
      <c r="C156" t="s">
        <v>3379</v>
      </c>
      <c r="D156" t="str">
        <f>TEXT(orders[[#This Row],[OrderDate]], "YYYY-MM")</f>
        <v>2024-02</v>
      </c>
      <c r="E156" t="s">
        <v>2769</v>
      </c>
      <c r="F156" s="1">
        <v>45346</v>
      </c>
      <c r="G156" s="1">
        <v>45352</v>
      </c>
      <c r="H156" s="1">
        <v>45355</v>
      </c>
      <c r="I156">
        <v>2</v>
      </c>
      <c r="J156">
        <v>29999</v>
      </c>
      <c r="K156">
        <v>5</v>
      </c>
      <c r="L156">
        <v>2999.9</v>
      </c>
      <c r="M156">
        <v>56998.1</v>
      </c>
      <c r="N156">
        <v>16998.099999999999</v>
      </c>
      <c r="O156" t="s">
        <v>2749</v>
      </c>
      <c r="P156" t="s">
        <v>2761</v>
      </c>
      <c r="Q156" t="s">
        <v>2794</v>
      </c>
      <c r="R156" t="s">
        <v>46</v>
      </c>
      <c r="S156">
        <v>1</v>
      </c>
      <c r="T156">
        <v>2024</v>
      </c>
      <c r="U156" t="s">
        <v>2759</v>
      </c>
      <c r="V156" t="s">
        <v>2753</v>
      </c>
      <c r="W156">
        <v>6</v>
      </c>
      <c r="X15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56" t="str">
        <f>IF(orders[[#This Row],[Revenue]]&gt;AVERAGE(orders[Revenue])+3*STDEV(orders[Revenue]),"High Outlier",
 IF(orders[[#This Row],[Revenue]]&lt;AVERAGE(orders[Revenue])-3*STDEV(orders[Revenue]),"Low Outlier",
 "Normal"))</f>
        <v>Normal</v>
      </c>
      <c r="Z156">
        <f ca="1" xml:space="preserve"> _xlfn.DAYS(TODAY(), orders[[#This Row],[OrderDate]])</f>
        <v>796</v>
      </c>
      <c r="AA156"/>
    </row>
    <row r="157" spans="1:27">
      <c r="A157" t="s">
        <v>2940</v>
      </c>
      <c r="B157" t="s">
        <v>1875</v>
      </c>
      <c r="C157" t="s">
        <v>3345</v>
      </c>
      <c r="D157" t="str">
        <f>TEXT(orders[[#This Row],[OrderDate]], "YYYY-MM")</f>
        <v>2022-04</v>
      </c>
      <c r="E157" t="s">
        <v>2809</v>
      </c>
      <c r="F157" s="1">
        <v>44669</v>
      </c>
      <c r="G157" s="1">
        <v>44673</v>
      </c>
      <c r="H157" s="1">
        <v>44676</v>
      </c>
      <c r="I157">
        <v>4</v>
      </c>
      <c r="J157">
        <v>29900</v>
      </c>
      <c r="K157">
        <v>5</v>
      </c>
      <c r="L157">
        <v>5980</v>
      </c>
      <c r="M157">
        <v>113620</v>
      </c>
      <c r="N157">
        <v>33620</v>
      </c>
      <c r="O157" t="s">
        <v>2749</v>
      </c>
      <c r="P157" t="s">
        <v>2770</v>
      </c>
      <c r="Q157" t="s">
        <v>2758</v>
      </c>
      <c r="R157" t="s">
        <v>24</v>
      </c>
      <c r="S157">
        <v>2</v>
      </c>
      <c r="T157">
        <v>2022</v>
      </c>
      <c r="U157" t="s">
        <v>2783</v>
      </c>
      <c r="V157" t="s">
        <v>2767</v>
      </c>
      <c r="W157">
        <v>4</v>
      </c>
      <c r="X15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57" t="str">
        <f>IF(orders[[#This Row],[Revenue]]&gt;AVERAGE(orders[Revenue])+3*STDEV(orders[Revenue]),"High Outlier",
 IF(orders[[#This Row],[Revenue]]&lt;AVERAGE(orders[Revenue])-3*STDEV(orders[Revenue]),"Low Outlier",
 "Normal"))</f>
        <v>Normal</v>
      </c>
      <c r="Z157">
        <f ca="1" xml:space="preserve"> _xlfn.DAYS(TODAY(), orders[[#This Row],[OrderDate]])</f>
        <v>1473</v>
      </c>
      <c r="AA157"/>
    </row>
    <row r="158" spans="1:27">
      <c r="A158" t="s">
        <v>2941</v>
      </c>
      <c r="B158" t="s">
        <v>1199</v>
      </c>
      <c r="C158" t="s">
        <v>3409</v>
      </c>
      <c r="D158" t="str">
        <f>TEXT(orders[[#This Row],[OrderDate]], "YYYY-MM")</f>
        <v>2024-08</v>
      </c>
      <c r="E158" t="s">
        <v>2755</v>
      </c>
      <c r="F158" s="1">
        <v>45533</v>
      </c>
      <c r="G158" s="1">
        <v>45535</v>
      </c>
      <c r="H158" s="1">
        <v>45538</v>
      </c>
      <c r="I158">
        <v>1</v>
      </c>
      <c r="J158">
        <v>7499</v>
      </c>
      <c r="K158">
        <v>5</v>
      </c>
      <c r="L158">
        <v>374.95</v>
      </c>
      <c r="M158">
        <v>7124.05</v>
      </c>
      <c r="N158">
        <v>2324.0500000000002</v>
      </c>
      <c r="O158" t="s">
        <v>2749</v>
      </c>
      <c r="P158" t="s">
        <v>2770</v>
      </c>
      <c r="Q158" t="s">
        <v>2751</v>
      </c>
      <c r="R158" t="s">
        <v>24</v>
      </c>
      <c r="S158">
        <v>3</v>
      </c>
      <c r="T158">
        <v>2024</v>
      </c>
      <c r="U158" t="s">
        <v>2773</v>
      </c>
      <c r="V158" t="s">
        <v>2774</v>
      </c>
      <c r="W158">
        <v>2</v>
      </c>
      <c r="X15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58" t="str">
        <f>IF(orders[[#This Row],[Revenue]]&gt;AVERAGE(orders[Revenue])+3*STDEV(orders[Revenue]),"High Outlier",
 IF(orders[[#This Row],[Revenue]]&lt;AVERAGE(orders[Revenue])-3*STDEV(orders[Revenue]),"Low Outlier",
 "Normal"))</f>
        <v>Normal</v>
      </c>
      <c r="Z158">
        <f ca="1" xml:space="preserve"> _xlfn.DAYS(TODAY(), orders[[#This Row],[OrderDate]])</f>
        <v>609</v>
      </c>
      <c r="AA158"/>
    </row>
    <row r="159" spans="1:27">
      <c r="A159" t="s">
        <v>2942</v>
      </c>
      <c r="B159" t="s">
        <v>2688</v>
      </c>
      <c r="C159" t="s">
        <v>3384</v>
      </c>
      <c r="D159" t="str">
        <f>TEXT(orders[[#This Row],[OrderDate]], "YYYY-MM")</f>
        <v>2022-07</v>
      </c>
      <c r="E159" t="s">
        <v>2776</v>
      </c>
      <c r="F159" s="1">
        <v>44761</v>
      </c>
      <c r="I159">
        <v>3</v>
      </c>
      <c r="J159">
        <v>59900</v>
      </c>
      <c r="K159">
        <v>10</v>
      </c>
      <c r="L159">
        <v>17970</v>
      </c>
      <c r="M159">
        <v>161730</v>
      </c>
      <c r="N159">
        <v>35730</v>
      </c>
      <c r="O159" t="s">
        <v>2756</v>
      </c>
      <c r="P159" t="s">
        <v>2761</v>
      </c>
      <c r="Q159" t="s">
        <v>2794</v>
      </c>
      <c r="R159" t="s">
        <v>35</v>
      </c>
      <c r="T159">
        <v>2022</v>
      </c>
      <c r="U159" t="s">
        <v>2792</v>
      </c>
      <c r="V159" t="s">
        <v>2774</v>
      </c>
      <c r="X15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59" t="str">
        <f>IF(orders[[#This Row],[Revenue]]&gt;AVERAGE(orders[Revenue])+3*STDEV(orders[Revenue]),"High Outlier",
 IF(orders[[#This Row],[Revenue]]&lt;AVERAGE(orders[Revenue])-3*STDEV(orders[Revenue]),"Low Outlier",
 "Normal"))</f>
        <v>Normal</v>
      </c>
      <c r="Z159">
        <f ca="1" xml:space="preserve"> _xlfn.DAYS(TODAY(), orders[[#This Row],[OrderDate]])</f>
        <v>1381</v>
      </c>
      <c r="AA159"/>
    </row>
    <row r="160" spans="1:27">
      <c r="A160" t="s">
        <v>2943</v>
      </c>
      <c r="B160" t="s">
        <v>1082</v>
      </c>
      <c r="C160" t="s">
        <v>3345</v>
      </c>
      <c r="D160" t="str">
        <f>TEXT(orders[[#This Row],[OrderDate]], "YYYY-MM")</f>
        <v>2022-07</v>
      </c>
      <c r="E160" t="s">
        <v>2755</v>
      </c>
      <c r="F160" s="1">
        <v>44763</v>
      </c>
      <c r="G160" s="1">
        <v>44769</v>
      </c>
      <c r="H160" s="1">
        <v>44772</v>
      </c>
      <c r="I160">
        <v>4</v>
      </c>
      <c r="J160">
        <v>29900</v>
      </c>
      <c r="K160">
        <v>5</v>
      </c>
      <c r="L160">
        <v>5980</v>
      </c>
      <c r="M160">
        <v>113620</v>
      </c>
      <c r="N160">
        <v>33620</v>
      </c>
      <c r="O160" t="s">
        <v>2749</v>
      </c>
      <c r="P160" t="s">
        <v>2778</v>
      </c>
      <c r="Q160" t="s">
        <v>2758</v>
      </c>
      <c r="R160" t="s">
        <v>24</v>
      </c>
      <c r="S160">
        <v>2</v>
      </c>
      <c r="T160">
        <v>2022</v>
      </c>
      <c r="U160" t="s">
        <v>2792</v>
      </c>
      <c r="V160" t="s">
        <v>2774</v>
      </c>
      <c r="W160">
        <v>6</v>
      </c>
      <c r="X16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60" t="str">
        <f>IF(orders[[#This Row],[Revenue]]&gt;AVERAGE(orders[Revenue])+3*STDEV(orders[Revenue]),"High Outlier",
 IF(orders[[#This Row],[Revenue]]&lt;AVERAGE(orders[Revenue])-3*STDEV(orders[Revenue]),"Low Outlier",
 "Normal"))</f>
        <v>Normal</v>
      </c>
      <c r="Z160">
        <f ca="1" xml:space="preserve"> _xlfn.DAYS(TODAY(), orders[[#This Row],[OrderDate]])</f>
        <v>1379</v>
      </c>
      <c r="AA160"/>
    </row>
    <row r="161" spans="1:27">
      <c r="A161" t="s">
        <v>2944</v>
      </c>
      <c r="B161" t="s">
        <v>1563</v>
      </c>
      <c r="C161" t="s">
        <v>3356</v>
      </c>
      <c r="D161" t="str">
        <f>TEXT(orders[[#This Row],[OrderDate]], "YYYY-MM")</f>
        <v>2023-10</v>
      </c>
      <c r="E161" t="s">
        <v>2776</v>
      </c>
      <c r="F161" s="1">
        <v>45203</v>
      </c>
      <c r="I161">
        <v>1</v>
      </c>
      <c r="J161">
        <v>9999</v>
      </c>
      <c r="K161">
        <v>0</v>
      </c>
      <c r="L161">
        <v>0</v>
      </c>
      <c r="M161">
        <v>9999</v>
      </c>
      <c r="N161">
        <v>3499</v>
      </c>
      <c r="O161" t="s">
        <v>2756</v>
      </c>
      <c r="P161" t="s">
        <v>2757</v>
      </c>
      <c r="Q161" t="s">
        <v>2762</v>
      </c>
      <c r="R161" t="s">
        <v>35</v>
      </c>
      <c r="T161">
        <v>2023</v>
      </c>
      <c r="U161" t="s">
        <v>2788</v>
      </c>
      <c r="V161" t="s">
        <v>2764</v>
      </c>
      <c r="X16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61" t="str">
        <f>IF(orders[[#This Row],[Revenue]]&gt;AVERAGE(orders[Revenue])+3*STDEV(orders[Revenue]),"High Outlier",
 IF(orders[[#This Row],[Revenue]]&lt;AVERAGE(orders[Revenue])-3*STDEV(orders[Revenue]),"Low Outlier",
 "Normal"))</f>
        <v>Normal</v>
      </c>
      <c r="Z161">
        <f ca="1" xml:space="preserve"> _xlfn.DAYS(TODAY(), orders[[#This Row],[OrderDate]])</f>
        <v>939</v>
      </c>
      <c r="AA161"/>
    </row>
    <row r="162" spans="1:27">
      <c r="A162" t="s">
        <v>2945</v>
      </c>
      <c r="B162" t="s">
        <v>1280</v>
      </c>
      <c r="C162" t="s">
        <v>3319</v>
      </c>
      <c r="D162" t="str">
        <f>TEXT(orders[[#This Row],[OrderDate]], "YYYY-MM")</f>
        <v>2024-07</v>
      </c>
      <c r="E162" t="s">
        <v>2748</v>
      </c>
      <c r="F162" s="1">
        <v>45475</v>
      </c>
      <c r="G162" s="1">
        <v>45477</v>
      </c>
      <c r="H162" s="1">
        <v>45479</v>
      </c>
      <c r="I162">
        <v>3</v>
      </c>
      <c r="J162">
        <v>55990</v>
      </c>
      <c r="K162">
        <v>5</v>
      </c>
      <c r="L162">
        <v>8398.5</v>
      </c>
      <c r="M162">
        <v>159571.5</v>
      </c>
      <c r="N162">
        <v>39571.5</v>
      </c>
      <c r="O162" t="s">
        <v>2749</v>
      </c>
      <c r="P162" t="s">
        <v>2757</v>
      </c>
      <c r="Q162" t="s">
        <v>2762</v>
      </c>
      <c r="R162" t="s">
        <v>188</v>
      </c>
      <c r="S162">
        <v>5</v>
      </c>
      <c r="T162">
        <v>2024</v>
      </c>
      <c r="U162" t="s">
        <v>2792</v>
      </c>
      <c r="V162" t="s">
        <v>2774</v>
      </c>
      <c r="W162">
        <v>2</v>
      </c>
      <c r="X16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62" t="str">
        <f>IF(orders[[#This Row],[Revenue]]&gt;AVERAGE(orders[Revenue])+3*STDEV(orders[Revenue]),"High Outlier",
 IF(orders[[#This Row],[Revenue]]&lt;AVERAGE(orders[Revenue])-3*STDEV(orders[Revenue]),"Low Outlier",
 "Normal"))</f>
        <v>Normal</v>
      </c>
      <c r="Z162">
        <f ca="1" xml:space="preserve"> _xlfn.DAYS(TODAY(), orders[[#This Row],[OrderDate]])</f>
        <v>667</v>
      </c>
      <c r="AA162"/>
    </row>
    <row r="163" spans="1:27">
      <c r="A163" t="s">
        <v>2946</v>
      </c>
      <c r="B163" t="s">
        <v>376</v>
      </c>
      <c r="C163" t="s">
        <v>3307</v>
      </c>
      <c r="D163" t="str">
        <f>TEXT(orders[[#This Row],[OrderDate]], "YYYY-MM")</f>
        <v>2022-09</v>
      </c>
      <c r="E163" t="s">
        <v>2809</v>
      </c>
      <c r="F163" s="1">
        <v>44811</v>
      </c>
      <c r="I163">
        <v>1</v>
      </c>
      <c r="J163">
        <v>69999</v>
      </c>
      <c r="K163">
        <v>0</v>
      </c>
      <c r="L163">
        <v>0</v>
      </c>
      <c r="M163">
        <v>69999</v>
      </c>
      <c r="N163">
        <v>21999</v>
      </c>
      <c r="O163" t="s">
        <v>2781</v>
      </c>
      <c r="P163" t="s">
        <v>2761</v>
      </c>
      <c r="Q163" t="s">
        <v>2779</v>
      </c>
      <c r="R163" t="s">
        <v>24</v>
      </c>
      <c r="T163">
        <v>2022</v>
      </c>
      <c r="U163" t="s">
        <v>2790</v>
      </c>
      <c r="V163" t="s">
        <v>2774</v>
      </c>
      <c r="X16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63" t="str">
        <f>IF(orders[[#This Row],[Revenue]]&gt;AVERAGE(orders[Revenue])+3*STDEV(orders[Revenue]),"High Outlier",
 IF(orders[[#This Row],[Revenue]]&lt;AVERAGE(orders[Revenue])-3*STDEV(orders[Revenue]),"Low Outlier",
 "Normal"))</f>
        <v>Normal</v>
      </c>
      <c r="Z163">
        <f ca="1" xml:space="preserve"> _xlfn.DAYS(TODAY(), orders[[#This Row],[OrderDate]])</f>
        <v>1331</v>
      </c>
      <c r="AA163"/>
    </row>
    <row r="164" spans="1:27">
      <c r="A164" t="s">
        <v>2947</v>
      </c>
      <c r="B164" t="s">
        <v>1190</v>
      </c>
      <c r="C164" t="s">
        <v>3409</v>
      </c>
      <c r="D164" t="str">
        <f>TEXT(orders[[#This Row],[OrderDate]], "YYYY-MM")</f>
        <v>2022-08</v>
      </c>
      <c r="E164" t="s">
        <v>2809</v>
      </c>
      <c r="F164" s="1">
        <v>44789</v>
      </c>
      <c r="I164">
        <v>2</v>
      </c>
      <c r="J164">
        <v>7499</v>
      </c>
      <c r="K164">
        <v>5</v>
      </c>
      <c r="L164">
        <v>749.9</v>
      </c>
      <c r="M164">
        <v>14248.1</v>
      </c>
      <c r="N164">
        <v>4648.1000000000004</v>
      </c>
      <c r="O164" t="s">
        <v>2781</v>
      </c>
      <c r="P164" t="s">
        <v>2750</v>
      </c>
      <c r="Q164" t="s">
        <v>2751</v>
      </c>
      <c r="R164" t="s">
        <v>24</v>
      </c>
      <c r="T164">
        <v>2022</v>
      </c>
      <c r="U164" t="s">
        <v>2773</v>
      </c>
      <c r="V164" t="s">
        <v>2774</v>
      </c>
      <c r="X16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64" t="str">
        <f>IF(orders[[#This Row],[Revenue]]&gt;AVERAGE(orders[Revenue])+3*STDEV(orders[Revenue]),"High Outlier",
 IF(orders[[#This Row],[Revenue]]&lt;AVERAGE(orders[Revenue])-3*STDEV(orders[Revenue]),"Low Outlier",
 "Normal"))</f>
        <v>Normal</v>
      </c>
      <c r="Z164">
        <f ca="1" xml:space="preserve"> _xlfn.DAYS(TODAY(), orders[[#This Row],[OrderDate]])</f>
        <v>1353</v>
      </c>
      <c r="AA164"/>
    </row>
    <row r="165" spans="1:27">
      <c r="A165" t="s">
        <v>2948</v>
      </c>
      <c r="B165" t="s">
        <v>1926</v>
      </c>
      <c r="C165" t="s">
        <v>3314</v>
      </c>
      <c r="D165" t="str">
        <f>TEXT(orders[[#This Row],[OrderDate]], "YYYY-MM")</f>
        <v>2023-07</v>
      </c>
      <c r="E165" t="s">
        <v>2785</v>
      </c>
      <c r="F165" s="1">
        <v>45128</v>
      </c>
      <c r="G165" s="1">
        <v>45134</v>
      </c>
      <c r="H165" s="1">
        <v>45136</v>
      </c>
      <c r="I165">
        <v>3</v>
      </c>
      <c r="J165">
        <v>114900</v>
      </c>
      <c r="K165">
        <v>0</v>
      </c>
      <c r="L165">
        <v>0</v>
      </c>
      <c r="M165">
        <v>344700</v>
      </c>
      <c r="N165">
        <v>89700</v>
      </c>
      <c r="O165" t="s">
        <v>2749</v>
      </c>
      <c r="P165" t="s">
        <v>2757</v>
      </c>
      <c r="Q165" t="s">
        <v>2794</v>
      </c>
      <c r="R165" t="s">
        <v>188</v>
      </c>
      <c r="S165">
        <v>1</v>
      </c>
      <c r="T165">
        <v>2023</v>
      </c>
      <c r="U165" t="s">
        <v>2792</v>
      </c>
      <c r="V165" t="s">
        <v>2774</v>
      </c>
      <c r="W165">
        <v>6</v>
      </c>
      <c r="X16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65" t="str">
        <f>IF(orders[[#This Row],[Revenue]]&gt;AVERAGE(orders[Revenue])+3*STDEV(orders[Revenue]),"High Outlier",
 IF(orders[[#This Row],[Revenue]]&lt;AVERAGE(orders[Revenue])-3*STDEV(orders[Revenue]),"Low Outlier",
 "Normal"))</f>
        <v>Normal</v>
      </c>
      <c r="Z165">
        <f ca="1" xml:space="preserve"> _xlfn.DAYS(TODAY(), orders[[#This Row],[OrderDate]])</f>
        <v>1014</v>
      </c>
      <c r="AA165"/>
    </row>
    <row r="166" spans="1:27">
      <c r="A166" t="s">
        <v>2949</v>
      </c>
      <c r="B166" t="s">
        <v>1204</v>
      </c>
      <c r="C166" t="s">
        <v>3366</v>
      </c>
      <c r="D166" t="str">
        <f>TEXT(orders[[#This Row],[OrderDate]], "YYYY-MM")</f>
        <v>2022-05</v>
      </c>
      <c r="E166" t="s">
        <v>2776</v>
      </c>
      <c r="F166" s="1">
        <v>44685</v>
      </c>
      <c r="G166" s="1">
        <v>44692</v>
      </c>
      <c r="H166" s="1">
        <v>44694</v>
      </c>
      <c r="I166">
        <v>2</v>
      </c>
      <c r="J166">
        <v>19999</v>
      </c>
      <c r="K166">
        <v>15</v>
      </c>
      <c r="L166">
        <v>5999.7</v>
      </c>
      <c r="M166">
        <v>33998.300000000003</v>
      </c>
      <c r="N166">
        <v>7998.3</v>
      </c>
      <c r="O166" t="s">
        <v>2749</v>
      </c>
      <c r="P166" t="s">
        <v>2757</v>
      </c>
      <c r="Q166" t="s">
        <v>2751</v>
      </c>
      <c r="R166" t="s">
        <v>35</v>
      </c>
      <c r="S166">
        <v>2</v>
      </c>
      <c r="T166">
        <v>2022</v>
      </c>
      <c r="U166" t="s">
        <v>2766</v>
      </c>
      <c r="V166" t="s">
        <v>2767</v>
      </c>
      <c r="W166">
        <v>7</v>
      </c>
      <c r="X16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66" t="str">
        <f>IF(orders[[#This Row],[Revenue]]&gt;AVERAGE(orders[Revenue])+3*STDEV(orders[Revenue]),"High Outlier",
 IF(orders[[#This Row],[Revenue]]&lt;AVERAGE(orders[Revenue])-3*STDEV(orders[Revenue]),"Low Outlier",
 "Normal"))</f>
        <v>Normal</v>
      </c>
      <c r="Z166">
        <f ca="1" xml:space="preserve"> _xlfn.DAYS(TODAY(), orders[[#This Row],[OrderDate]])</f>
        <v>1457</v>
      </c>
      <c r="AA166"/>
    </row>
    <row r="167" spans="1:27">
      <c r="A167" t="s">
        <v>2950</v>
      </c>
      <c r="B167" t="s">
        <v>1796</v>
      </c>
      <c r="C167" t="s">
        <v>3366</v>
      </c>
      <c r="D167" t="str">
        <f>TEXT(orders[[#This Row],[OrderDate]], "YYYY-MM")</f>
        <v>2024-10</v>
      </c>
      <c r="E167" t="s">
        <v>2748</v>
      </c>
      <c r="F167" s="1">
        <v>45569</v>
      </c>
      <c r="G167" s="1">
        <v>45571</v>
      </c>
      <c r="H167" s="1">
        <v>45574</v>
      </c>
      <c r="I167">
        <v>2</v>
      </c>
      <c r="J167">
        <v>19999</v>
      </c>
      <c r="K167">
        <v>0</v>
      </c>
      <c r="L167">
        <v>0</v>
      </c>
      <c r="M167">
        <v>39998</v>
      </c>
      <c r="N167">
        <v>13998</v>
      </c>
      <c r="O167" t="s">
        <v>2749</v>
      </c>
      <c r="P167" t="s">
        <v>2770</v>
      </c>
      <c r="Q167" t="s">
        <v>2794</v>
      </c>
      <c r="R167" t="s">
        <v>188</v>
      </c>
      <c r="S167">
        <v>1</v>
      </c>
      <c r="T167">
        <v>2024</v>
      </c>
      <c r="U167" t="s">
        <v>2788</v>
      </c>
      <c r="V167" t="s">
        <v>2764</v>
      </c>
      <c r="W167">
        <v>2</v>
      </c>
      <c r="X16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67" t="str">
        <f>IF(orders[[#This Row],[Revenue]]&gt;AVERAGE(orders[Revenue])+3*STDEV(orders[Revenue]),"High Outlier",
 IF(orders[[#This Row],[Revenue]]&lt;AVERAGE(orders[Revenue])-3*STDEV(orders[Revenue]),"Low Outlier",
 "Normal"))</f>
        <v>Normal</v>
      </c>
      <c r="Z167">
        <f ca="1" xml:space="preserve"> _xlfn.DAYS(TODAY(), orders[[#This Row],[OrderDate]])</f>
        <v>573</v>
      </c>
      <c r="AA167"/>
    </row>
    <row r="168" spans="1:27">
      <c r="A168" t="s">
        <v>2951</v>
      </c>
      <c r="B168" t="s">
        <v>160</v>
      </c>
      <c r="C168" t="s">
        <v>3314</v>
      </c>
      <c r="D168" t="str">
        <f>TEXT(orders[[#This Row],[OrderDate]], "YYYY-MM")</f>
        <v>2023-05</v>
      </c>
      <c r="E168" t="s">
        <v>2776</v>
      </c>
      <c r="F168" s="1">
        <v>45075</v>
      </c>
      <c r="G168" s="1">
        <v>45076</v>
      </c>
      <c r="H168" s="1">
        <v>45079</v>
      </c>
      <c r="I168">
        <v>2</v>
      </c>
      <c r="J168">
        <v>114900</v>
      </c>
      <c r="K168">
        <v>0</v>
      </c>
      <c r="L168">
        <v>0</v>
      </c>
      <c r="M168">
        <v>229800</v>
      </c>
      <c r="N168">
        <v>59800</v>
      </c>
      <c r="O168" t="s">
        <v>2749</v>
      </c>
      <c r="P168" t="s">
        <v>2757</v>
      </c>
      <c r="Q168" t="s">
        <v>2751</v>
      </c>
      <c r="R168" t="s">
        <v>35</v>
      </c>
      <c r="S168">
        <v>3</v>
      </c>
      <c r="T168">
        <v>2023</v>
      </c>
      <c r="U168" t="s">
        <v>2766</v>
      </c>
      <c r="V168" t="s">
        <v>2767</v>
      </c>
      <c r="W168">
        <v>1</v>
      </c>
      <c r="X16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68" t="str">
        <f>IF(orders[[#This Row],[Revenue]]&gt;AVERAGE(orders[Revenue])+3*STDEV(orders[Revenue]),"High Outlier",
 IF(orders[[#This Row],[Revenue]]&lt;AVERAGE(orders[Revenue])-3*STDEV(orders[Revenue]),"Low Outlier",
 "Normal"))</f>
        <v>Normal</v>
      </c>
      <c r="Z168">
        <f ca="1" xml:space="preserve"> _xlfn.DAYS(TODAY(), orders[[#This Row],[OrderDate]])</f>
        <v>1067</v>
      </c>
      <c r="AA168"/>
    </row>
    <row r="169" spans="1:27">
      <c r="A169" t="s">
        <v>2952</v>
      </c>
      <c r="B169" t="s">
        <v>562</v>
      </c>
      <c r="C169" t="s">
        <v>3413</v>
      </c>
      <c r="D169" t="str">
        <f>TEXT(orders[[#This Row],[OrderDate]], "YYYY-MM")</f>
        <v>2024-03</v>
      </c>
      <c r="E169" t="s">
        <v>2785</v>
      </c>
      <c r="F169" s="1">
        <v>45363</v>
      </c>
      <c r="I169">
        <v>1</v>
      </c>
      <c r="J169">
        <v>5999</v>
      </c>
      <c r="K169">
        <v>20</v>
      </c>
      <c r="L169">
        <v>1199.8</v>
      </c>
      <c r="M169">
        <v>4799.2</v>
      </c>
      <c r="N169">
        <v>999.2</v>
      </c>
      <c r="O169" t="s">
        <v>2756</v>
      </c>
      <c r="P169" t="s">
        <v>2778</v>
      </c>
      <c r="Q169" t="s">
        <v>2751</v>
      </c>
      <c r="R169" t="s">
        <v>188</v>
      </c>
      <c r="T169">
        <v>2024</v>
      </c>
      <c r="U169" t="s">
        <v>2752</v>
      </c>
      <c r="V169" t="s">
        <v>2753</v>
      </c>
      <c r="X16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69" t="str">
        <f>IF(orders[[#This Row],[Revenue]]&gt;AVERAGE(orders[Revenue])+3*STDEV(orders[Revenue]),"High Outlier",
 IF(orders[[#This Row],[Revenue]]&lt;AVERAGE(orders[Revenue])-3*STDEV(orders[Revenue]),"Low Outlier",
 "Normal"))</f>
        <v>Normal</v>
      </c>
      <c r="Z169">
        <f ca="1" xml:space="preserve"> _xlfn.DAYS(TODAY(), orders[[#This Row],[OrderDate]])</f>
        <v>779</v>
      </c>
      <c r="AA169"/>
    </row>
    <row r="170" spans="1:27">
      <c r="A170" t="s">
        <v>2953</v>
      </c>
      <c r="B170" t="s">
        <v>1452</v>
      </c>
      <c r="C170" t="s">
        <v>3370</v>
      </c>
      <c r="D170" t="str">
        <f>TEXT(orders[[#This Row],[OrderDate]], "YYYY-MM")</f>
        <v>2022-05</v>
      </c>
      <c r="E170" t="s">
        <v>2813</v>
      </c>
      <c r="F170" s="1">
        <v>44705</v>
      </c>
      <c r="I170">
        <v>2</v>
      </c>
      <c r="J170">
        <v>24999</v>
      </c>
      <c r="K170">
        <v>0</v>
      </c>
      <c r="L170">
        <v>0</v>
      </c>
      <c r="M170">
        <v>49998</v>
      </c>
      <c r="N170">
        <v>15998</v>
      </c>
      <c r="O170" t="s">
        <v>2756</v>
      </c>
      <c r="P170" t="s">
        <v>2770</v>
      </c>
      <c r="Q170" t="s">
        <v>2751</v>
      </c>
      <c r="R170" t="s">
        <v>76</v>
      </c>
      <c r="T170">
        <v>2022</v>
      </c>
      <c r="U170" t="s">
        <v>2766</v>
      </c>
      <c r="V170" t="s">
        <v>2767</v>
      </c>
      <c r="X17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70" t="str">
        <f>IF(orders[[#This Row],[Revenue]]&gt;AVERAGE(orders[Revenue])+3*STDEV(orders[Revenue]),"High Outlier",
 IF(orders[[#This Row],[Revenue]]&lt;AVERAGE(orders[Revenue])-3*STDEV(orders[Revenue]),"Low Outlier",
 "Normal"))</f>
        <v>Normal</v>
      </c>
      <c r="Z170">
        <f ca="1" xml:space="preserve"> _xlfn.DAYS(TODAY(), orders[[#This Row],[OrderDate]])</f>
        <v>1437</v>
      </c>
      <c r="AA170"/>
    </row>
    <row r="171" spans="1:27">
      <c r="A171" t="s">
        <v>2954</v>
      </c>
      <c r="B171" t="s">
        <v>470</v>
      </c>
      <c r="C171" t="s">
        <v>3394</v>
      </c>
      <c r="D171" t="str">
        <f>TEXT(orders[[#This Row],[OrderDate]], "YYYY-MM")</f>
        <v>2023-11</v>
      </c>
      <c r="E171" t="s">
        <v>2755</v>
      </c>
      <c r="F171" s="1">
        <v>45244</v>
      </c>
      <c r="I171">
        <v>3</v>
      </c>
      <c r="J171">
        <v>2499</v>
      </c>
      <c r="K171">
        <v>10</v>
      </c>
      <c r="L171">
        <v>749.7</v>
      </c>
      <c r="M171">
        <v>6747.3</v>
      </c>
      <c r="N171">
        <v>3147.3</v>
      </c>
      <c r="O171" t="s">
        <v>2781</v>
      </c>
      <c r="P171" t="s">
        <v>2757</v>
      </c>
      <c r="Q171" t="s">
        <v>2762</v>
      </c>
      <c r="R171" t="s">
        <v>24</v>
      </c>
      <c r="T171">
        <v>2023</v>
      </c>
      <c r="U171" t="s">
        <v>2786</v>
      </c>
      <c r="V171" t="s">
        <v>2764</v>
      </c>
      <c r="X17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71" t="str">
        <f>IF(orders[[#This Row],[Revenue]]&gt;AVERAGE(orders[Revenue])+3*STDEV(orders[Revenue]),"High Outlier",
 IF(orders[[#This Row],[Revenue]]&lt;AVERAGE(orders[Revenue])-3*STDEV(orders[Revenue]),"Low Outlier",
 "Normal"))</f>
        <v>Normal</v>
      </c>
      <c r="Z171">
        <f ca="1" xml:space="preserve"> _xlfn.DAYS(TODAY(), orders[[#This Row],[OrderDate]])</f>
        <v>898</v>
      </c>
      <c r="AA171"/>
    </row>
    <row r="172" spans="1:27">
      <c r="A172" t="s">
        <v>2955</v>
      </c>
      <c r="B172" t="s">
        <v>1163</v>
      </c>
      <c r="C172" t="s">
        <v>3390</v>
      </c>
      <c r="D172" t="str">
        <f>TEXT(orders[[#This Row],[OrderDate]], "YYYY-MM")</f>
        <v>2022-06</v>
      </c>
      <c r="E172" t="s">
        <v>2769</v>
      </c>
      <c r="F172" s="1">
        <v>44726</v>
      </c>
      <c r="G172" s="1">
        <v>44733</v>
      </c>
      <c r="H172" s="1">
        <v>44735</v>
      </c>
      <c r="I172">
        <v>2</v>
      </c>
      <c r="J172">
        <v>54999</v>
      </c>
      <c r="K172">
        <v>0</v>
      </c>
      <c r="L172">
        <v>0</v>
      </c>
      <c r="M172">
        <v>109998</v>
      </c>
      <c r="N172">
        <v>33998</v>
      </c>
      <c r="O172" t="s">
        <v>2749</v>
      </c>
      <c r="P172" t="s">
        <v>2761</v>
      </c>
      <c r="Q172" t="s">
        <v>2762</v>
      </c>
      <c r="R172" t="s">
        <v>46</v>
      </c>
      <c r="S172">
        <v>4</v>
      </c>
      <c r="T172">
        <v>2022</v>
      </c>
      <c r="U172" t="s">
        <v>2771</v>
      </c>
      <c r="V172" t="s">
        <v>2767</v>
      </c>
      <c r="W172">
        <v>7</v>
      </c>
      <c r="X17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72" t="str">
        <f>IF(orders[[#This Row],[Revenue]]&gt;AVERAGE(orders[Revenue])+3*STDEV(orders[Revenue]),"High Outlier",
 IF(orders[[#This Row],[Revenue]]&lt;AVERAGE(orders[Revenue])-3*STDEV(orders[Revenue]),"Low Outlier",
 "Normal"))</f>
        <v>Normal</v>
      </c>
      <c r="Z172">
        <f ca="1" xml:space="preserve"> _xlfn.DAYS(TODAY(), orders[[#This Row],[OrderDate]])</f>
        <v>1416</v>
      </c>
      <c r="AA172"/>
    </row>
    <row r="173" spans="1:27">
      <c r="A173" t="s">
        <v>2956</v>
      </c>
      <c r="B173" t="s">
        <v>1926</v>
      </c>
      <c r="C173" t="s">
        <v>3336</v>
      </c>
      <c r="D173" t="str">
        <f>TEXT(orders[[#This Row],[OrderDate]], "YYYY-MM")</f>
        <v>2024-03</v>
      </c>
      <c r="E173" t="s">
        <v>2785</v>
      </c>
      <c r="F173" s="1">
        <v>45360</v>
      </c>
      <c r="G173" s="1">
        <v>45366</v>
      </c>
      <c r="H173" s="1">
        <v>45368</v>
      </c>
      <c r="I173">
        <v>4</v>
      </c>
      <c r="J173">
        <v>26990</v>
      </c>
      <c r="K173">
        <v>0</v>
      </c>
      <c r="L173">
        <v>0</v>
      </c>
      <c r="M173">
        <v>107960</v>
      </c>
      <c r="N173">
        <v>35960</v>
      </c>
      <c r="O173" t="s">
        <v>2749</v>
      </c>
      <c r="P173" t="s">
        <v>2778</v>
      </c>
      <c r="Q173" t="s">
        <v>2751</v>
      </c>
      <c r="R173" t="s">
        <v>188</v>
      </c>
      <c r="S173">
        <v>2</v>
      </c>
      <c r="T173">
        <v>2024</v>
      </c>
      <c r="U173" t="s">
        <v>2752</v>
      </c>
      <c r="V173" t="s">
        <v>2753</v>
      </c>
      <c r="W173">
        <v>6</v>
      </c>
      <c r="X17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73" t="str">
        <f>IF(orders[[#This Row],[Revenue]]&gt;AVERAGE(orders[Revenue])+3*STDEV(orders[Revenue]),"High Outlier",
 IF(orders[[#This Row],[Revenue]]&lt;AVERAGE(orders[Revenue])-3*STDEV(orders[Revenue]),"Low Outlier",
 "Normal"))</f>
        <v>Normal</v>
      </c>
      <c r="Z173">
        <f ca="1" xml:space="preserve"> _xlfn.DAYS(TODAY(), orders[[#This Row],[OrderDate]])</f>
        <v>782</v>
      </c>
      <c r="AA173"/>
    </row>
    <row r="174" spans="1:27">
      <c r="A174" t="s">
        <v>2957</v>
      </c>
      <c r="B174" t="s">
        <v>525</v>
      </c>
      <c r="C174" t="s">
        <v>3307</v>
      </c>
      <c r="D174" t="str">
        <f>TEXT(orders[[#This Row],[OrderDate]], "YYYY-MM")</f>
        <v>2022-02</v>
      </c>
      <c r="E174" t="s">
        <v>2748</v>
      </c>
      <c r="F174" s="1">
        <v>44613</v>
      </c>
      <c r="I174">
        <v>5</v>
      </c>
      <c r="J174">
        <v>69999</v>
      </c>
      <c r="K174">
        <v>5</v>
      </c>
      <c r="L174">
        <v>17499.75</v>
      </c>
      <c r="M174">
        <v>332495.25</v>
      </c>
      <c r="N174">
        <v>92495.25</v>
      </c>
      <c r="O174" t="s">
        <v>2781</v>
      </c>
      <c r="P174" t="s">
        <v>2770</v>
      </c>
      <c r="Q174" t="s">
        <v>2751</v>
      </c>
      <c r="R174" t="s">
        <v>188</v>
      </c>
      <c r="T174">
        <v>2022</v>
      </c>
      <c r="U174" t="s">
        <v>2759</v>
      </c>
      <c r="V174" t="s">
        <v>2753</v>
      </c>
      <c r="X17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74" t="str">
        <f>IF(orders[[#This Row],[Revenue]]&gt;AVERAGE(orders[Revenue])+3*STDEV(orders[Revenue]),"High Outlier",
 IF(orders[[#This Row],[Revenue]]&lt;AVERAGE(orders[Revenue])-3*STDEV(orders[Revenue]),"Low Outlier",
 "Normal"))</f>
        <v>Normal</v>
      </c>
      <c r="Z174">
        <f ca="1" xml:space="preserve"> _xlfn.DAYS(TODAY(), orders[[#This Row],[OrderDate]])</f>
        <v>1529</v>
      </c>
      <c r="AA174"/>
    </row>
    <row r="175" spans="1:27">
      <c r="A175" t="s">
        <v>2958</v>
      </c>
      <c r="B175" t="s">
        <v>273</v>
      </c>
      <c r="C175" t="s">
        <v>3390</v>
      </c>
      <c r="D175" t="str">
        <f>TEXT(orders[[#This Row],[OrderDate]], "YYYY-MM")</f>
        <v>2024-10</v>
      </c>
      <c r="E175" t="s">
        <v>2785</v>
      </c>
      <c r="F175" s="1">
        <v>45585</v>
      </c>
      <c r="I175">
        <v>4</v>
      </c>
      <c r="J175">
        <v>54999</v>
      </c>
      <c r="K175">
        <v>0</v>
      </c>
      <c r="L175">
        <v>0</v>
      </c>
      <c r="M175">
        <v>219996</v>
      </c>
      <c r="N175">
        <v>67996</v>
      </c>
      <c r="O175" t="s">
        <v>2756</v>
      </c>
      <c r="P175" t="s">
        <v>2757</v>
      </c>
      <c r="Q175" t="s">
        <v>2794</v>
      </c>
      <c r="R175" t="s">
        <v>188</v>
      </c>
      <c r="T175">
        <v>2024</v>
      </c>
      <c r="U175" t="s">
        <v>2788</v>
      </c>
      <c r="V175" t="s">
        <v>2764</v>
      </c>
      <c r="X17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75" t="str">
        <f>IF(orders[[#This Row],[Revenue]]&gt;AVERAGE(orders[Revenue])+3*STDEV(orders[Revenue]),"High Outlier",
 IF(orders[[#This Row],[Revenue]]&lt;AVERAGE(orders[Revenue])-3*STDEV(orders[Revenue]),"Low Outlier",
 "Normal"))</f>
        <v>Normal</v>
      </c>
      <c r="Z175">
        <f ca="1" xml:space="preserve"> _xlfn.DAYS(TODAY(), orders[[#This Row],[OrderDate]])</f>
        <v>557</v>
      </c>
      <c r="AA175"/>
    </row>
    <row r="176" spans="1:27">
      <c r="A176" t="s">
        <v>2959</v>
      </c>
      <c r="B176" t="s">
        <v>243</v>
      </c>
      <c r="C176" t="s">
        <v>3356</v>
      </c>
      <c r="D176" t="str">
        <f>TEXT(orders[[#This Row],[OrderDate]], "YYYY-MM")</f>
        <v>2024-04</v>
      </c>
      <c r="E176" t="s">
        <v>2748</v>
      </c>
      <c r="F176" s="1">
        <v>45392</v>
      </c>
      <c r="G176" s="1">
        <v>45394</v>
      </c>
      <c r="H176" s="1">
        <v>45397</v>
      </c>
      <c r="I176">
        <v>5</v>
      </c>
      <c r="J176">
        <v>9999</v>
      </c>
      <c r="K176">
        <v>0</v>
      </c>
      <c r="L176">
        <v>0</v>
      </c>
      <c r="M176">
        <v>49995</v>
      </c>
      <c r="N176">
        <v>17495</v>
      </c>
      <c r="O176" t="s">
        <v>2749</v>
      </c>
      <c r="P176" t="s">
        <v>2778</v>
      </c>
      <c r="Q176" t="s">
        <v>2758</v>
      </c>
      <c r="R176" t="s">
        <v>188</v>
      </c>
      <c r="S176">
        <v>2</v>
      </c>
      <c r="T176">
        <v>2024</v>
      </c>
      <c r="U176" t="s">
        <v>2783</v>
      </c>
      <c r="V176" t="s">
        <v>2767</v>
      </c>
      <c r="W176">
        <v>2</v>
      </c>
      <c r="X17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76" t="str">
        <f>IF(orders[[#This Row],[Revenue]]&gt;AVERAGE(orders[Revenue])+3*STDEV(orders[Revenue]),"High Outlier",
 IF(orders[[#This Row],[Revenue]]&lt;AVERAGE(orders[Revenue])-3*STDEV(orders[Revenue]),"Low Outlier",
 "Normal"))</f>
        <v>Normal</v>
      </c>
      <c r="Z176">
        <f ca="1" xml:space="preserve"> _xlfn.DAYS(TODAY(), orders[[#This Row],[OrderDate]])</f>
        <v>750</v>
      </c>
      <c r="AA176"/>
    </row>
    <row r="177" spans="1:27">
      <c r="A177" t="s">
        <v>2960</v>
      </c>
      <c r="B177" t="s">
        <v>2595</v>
      </c>
      <c r="C177" t="s">
        <v>3314</v>
      </c>
      <c r="D177" t="str">
        <f>TEXT(orders[[#This Row],[OrderDate]], "YYYY-MM")</f>
        <v>2022-10</v>
      </c>
      <c r="E177" t="s">
        <v>2809</v>
      </c>
      <c r="F177" s="1">
        <v>44851</v>
      </c>
      <c r="G177" s="1">
        <v>44857</v>
      </c>
      <c r="H177" s="1">
        <v>44857</v>
      </c>
      <c r="I177">
        <v>4</v>
      </c>
      <c r="J177">
        <v>114900</v>
      </c>
      <c r="K177">
        <v>0</v>
      </c>
      <c r="L177">
        <v>0</v>
      </c>
      <c r="M177">
        <v>459600</v>
      </c>
      <c r="N177">
        <v>119600</v>
      </c>
      <c r="O177" t="s">
        <v>2749</v>
      </c>
      <c r="P177" t="s">
        <v>2782</v>
      </c>
      <c r="Q177" t="s">
        <v>2779</v>
      </c>
      <c r="R177" t="s">
        <v>24</v>
      </c>
      <c r="S177">
        <v>1</v>
      </c>
      <c r="T177">
        <v>2022</v>
      </c>
      <c r="U177" t="s">
        <v>2788</v>
      </c>
      <c r="V177" t="s">
        <v>2764</v>
      </c>
      <c r="W177">
        <v>6</v>
      </c>
      <c r="X17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77" t="str">
        <f>IF(orders[[#This Row],[Revenue]]&gt;AVERAGE(orders[Revenue])+3*STDEV(orders[Revenue]),"High Outlier",
 IF(orders[[#This Row],[Revenue]]&lt;AVERAGE(orders[Revenue])-3*STDEV(orders[Revenue]),"Low Outlier",
 "Normal"))</f>
        <v>High Outlier</v>
      </c>
      <c r="Z177">
        <f ca="1" xml:space="preserve"> _xlfn.DAYS(TODAY(), orders[[#This Row],[OrderDate]])</f>
        <v>1291</v>
      </c>
      <c r="AA177"/>
    </row>
    <row r="178" spans="1:27">
      <c r="A178" t="s">
        <v>2961</v>
      </c>
      <c r="B178" t="s">
        <v>626</v>
      </c>
      <c r="C178" t="s">
        <v>3405</v>
      </c>
      <c r="D178" t="str">
        <f>TEXT(orders[[#This Row],[OrderDate]], "YYYY-MM")</f>
        <v>2023-09</v>
      </c>
      <c r="E178" t="s">
        <v>2809</v>
      </c>
      <c r="F178" s="1">
        <v>45191</v>
      </c>
      <c r="G178" s="1">
        <v>45195</v>
      </c>
      <c r="H178" s="1">
        <v>45196</v>
      </c>
      <c r="I178">
        <v>5</v>
      </c>
      <c r="J178">
        <v>8495</v>
      </c>
      <c r="K178">
        <v>0</v>
      </c>
      <c r="L178">
        <v>0</v>
      </c>
      <c r="M178">
        <v>42475</v>
      </c>
      <c r="N178">
        <v>14975</v>
      </c>
      <c r="O178" t="s">
        <v>2749</v>
      </c>
      <c r="P178" t="s">
        <v>2757</v>
      </c>
      <c r="Q178" t="s">
        <v>2762</v>
      </c>
      <c r="R178" t="s">
        <v>24</v>
      </c>
      <c r="S178">
        <v>4</v>
      </c>
      <c r="T178">
        <v>2023</v>
      </c>
      <c r="U178" t="s">
        <v>2790</v>
      </c>
      <c r="V178" t="s">
        <v>2774</v>
      </c>
      <c r="W178">
        <v>4</v>
      </c>
      <c r="X17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78" t="str">
        <f>IF(orders[[#This Row],[Revenue]]&gt;AVERAGE(orders[Revenue])+3*STDEV(orders[Revenue]),"High Outlier",
 IF(orders[[#This Row],[Revenue]]&lt;AVERAGE(orders[Revenue])-3*STDEV(orders[Revenue]),"Low Outlier",
 "Normal"))</f>
        <v>Normal</v>
      </c>
      <c r="Z178">
        <f ca="1" xml:space="preserve"> _xlfn.DAYS(TODAY(), orders[[#This Row],[OrderDate]])</f>
        <v>951</v>
      </c>
      <c r="AA178"/>
    </row>
    <row r="179" spans="1:27">
      <c r="A179" t="s">
        <v>2962</v>
      </c>
      <c r="B179" t="s">
        <v>1755</v>
      </c>
      <c r="C179" t="s">
        <v>3399</v>
      </c>
      <c r="D179" t="str">
        <f>TEXT(orders[[#This Row],[OrderDate]], "YYYY-MM")</f>
        <v>2022-05</v>
      </c>
      <c r="E179" t="s">
        <v>2748</v>
      </c>
      <c r="F179" s="1">
        <v>44691</v>
      </c>
      <c r="G179" s="1">
        <v>44695</v>
      </c>
      <c r="H179" s="1">
        <v>44697</v>
      </c>
      <c r="I179">
        <v>4</v>
      </c>
      <c r="J179">
        <v>3499</v>
      </c>
      <c r="K179">
        <v>10</v>
      </c>
      <c r="L179">
        <v>1399.6</v>
      </c>
      <c r="M179">
        <v>12596.4</v>
      </c>
      <c r="N179">
        <v>5396.4</v>
      </c>
      <c r="O179" t="s">
        <v>2749</v>
      </c>
      <c r="P179" t="s">
        <v>2757</v>
      </c>
      <c r="Q179" t="s">
        <v>2758</v>
      </c>
      <c r="R179" t="s">
        <v>188</v>
      </c>
      <c r="S179">
        <v>5</v>
      </c>
      <c r="T179">
        <v>2022</v>
      </c>
      <c r="U179" t="s">
        <v>2766</v>
      </c>
      <c r="V179" t="s">
        <v>2767</v>
      </c>
      <c r="W179">
        <v>4</v>
      </c>
      <c r="X17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79" t="str">
        <f>IF(orders[[#This Row],[Revenue]]&gt;AVERAGE(orders[Revenue])+3*STDEV(orders[Revenue]),"High Outlier",
 IF(orders[[#This Row],[Revenue]]&lt;AVERAGE(orders[Revenue])-3*STDEV(orders[Revenue]),"Low Outlier",
 "Normal"))</f>
        <v>Normal</v>
      </c>
      <c r="Z179">
        <f ca="1" xml:space="preserve"> _xlfn.DAYS(TODAY(), orders[[#This Row],[OrderDate]])</f>
        <v>1451</v>
      </c>
      <c r="AA179"/>
    </row>
    <row r="180" spans="1:27">
      <c r="A180" t="s">
        <v>2963</v>
      </c>
      <c r="B180" t="s">
        <v>518</v>
      </c>
      <c r="C180" t="s">
        <v>3356</v>
      </c>
      <c r="D180" t="str">
        <f>TEXT(orders[[#This Row],[OrderDate]], "YYYY-MM")</f>
        <v>2022-04</v>
      </c>
      <c r="E180" t="s">
        <v>2804</v>
      </c>
      <c r="F180" s="1">
        <v>44655</v>
      </c>
      <c r="I180">
        <v>2</v>
      </c>
      <c r="J180">
        <v>9999</v>
      </c>
      <c r="K180">
        <v>10</v>
      </c>
      <c r="L180">
        <v>1999.8</v>
      </c>
      <c r="M180">
        <v>17998.2</v>
      </c>
      <c r="N180">
        <v>4998.2</v>
      </c>
      <c r="O180" t="s">
        <v>2756</v>
      </c>
      <c r="P180" t="s">
        <v>2757</v>
      </c>
      <c r="Q180" t="s">
        <v>2762</v>
      </c>
      <c r="R180" t="s">
        <v>46</v>
      </c>
      <c r="T180">
        <v>2022</v>
      </c>
      <c r="U180" t="s">
        <v>2783</v>
      </c>
      <c r="V180" t="s">
        <v>2767</v>
      </c>
      <c r="X18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80" t="str">
        <f>IF(orders[[#This Row],[Revenue]]&gt;AVERAGE(orders[Revenue])+3*STDEV(orders[Revenue]),"High Outlier",
 IF(orders[[#This Row],[Revenue]]&lt;AVERAGE(orders[Revenue])-3*STDEV(orders[Revenue]),"Low Outlier",
 "Normal"))</f>
        <v>Normal</v>
      </c>
      <c r="Z180">
        <f ca="1" xml:space="preserve"> _xlfn.DAYS(TODAY(), orders[[#This Row],[OrderDate]])</f>
        <v>1487</v>
      </c>
      <c r="AA180"/>
    </row>
    <row r="181" spans="1:27">
      <c r="A181" t="s">
        <v>2964</v>
      </c>
      <c r="B181" t="s">
        <v>917</v>
      </c>
      <c r="C181" t="s">
        <v>3325</v>
      </c>
      <c r="D181" t="str">
        <f>TEXT(orders[[#This Row],[OrderDate]], "YYYY-MM")</f>
        <v>2022-12</v>
      </c>
      <c r="E181" t="s">
        <v>2755</v>
      </c>
      <c r="F181" s="1">
        <v>44906</v>
      </c>
      <c r="I181">
        <v>3</v>
      </c>
      <c r="J181">
        <v>49990</v>
      </c>
      <c r="K181">
        <v>20</v>
      </c>
      <c r="L181">
        <v>29994</v>
      </c>
      <c r="M181">
        <v>119976</v>
      </c>
      <c r="N181">
        <v>14976</v>
      </c>
      <c r="O181" t="s">
        <v>2781</v>
      </c>
      <c r="P181" t="s">
        <v>2782</v>
      </c>
      <c r="Q181" t="s">
        <v>2751</v>
      </c>
      <c r="R181" t="s">
        <v>24</v>
      </c>
      <c r="T181">
        <v>2022</v>
      </c>
      <c r="U181" t="s">
        <v>2763</v>
      </c>
      <c r="V181" t="s">
        <v>2764</v>
      </c>
      <c r="X18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81" t="str">
        <f>IF(orders[[#This Row],[Revenue]]&gt;AVERAGE(orders[Revenue])+3*STDEV(orders[Revenue]),"High Outlier",
 IF(orders[[#This Row],[Revenue]]&lt;AVERAGE(orders[Revenue])-3*STDEV(orders[Revenue]),"Low Outlier",
 "Normal"))</f>
        <v>Normal</v>
      </c>
      <c r="Z181">
        <f ca="1" xml:space="preserve"> _xlfn.DAYS(TODAY(), orders[[#This Row],[OrderDate]])</f>
        <v>1236</v>
      </c>
      <c r="AA181"/>
    </row>
    <row r="182" spans="1:27">
      <c r="A182" t="s">
        <v>2965</v>
      </c>
      <c r="B182" t="s">
        <v>826</v>
      </c>
      <c r="C182" t="s">
        <v>3394</v>
      </c>
      <c r="D182" t="str">
        <f>TEXT(orders[[#This Row],[OrderDate]], "YYYY-MM")</f>
        <v>2022-10</v>
      </c>
      <c r="E182" t="s">
        <v>2804</v>
      </c>
      <c r="F182" s="1">
        <v>44835</v>
      </c>
      <c r="G182" s="1">
        <v>44842</v>
      </c>
      <c r="H182" s="1">
        <v>44845</v>
      </c>
      <c r="I182">
        <v>2</v>
      </c>
      <c r="J182">
        <v>2499</v>
      </c>
      <c r="K182">
        <v>0</v>
      </c>
      <c r="L182">
        <v>0</v>
      </c>
      <c r="M182">
        <v>4998</v>
      </c>
      <c r="N182">
        <v>2598</v>
      </c>
      <c r="O182" t="s">
        <v>2749</v>
      </c>
      <c r="P182" t="s">
        <v>2770</v>
      </c>
      <c r="Q182" t="s">
        <v>2762</v>
      </c>
      <c r="R182" t="s">
        <v>46</v>
      </c>
      <c r="S182">
        <v>1</v>
      </c>
      <c r="T182">
        <v>2022</v>
      </c>
      <c r="U182" t="s">
        <v>2788</v>
      </c>
      <c r="V182" t="s">
        <v>2764</v>
      </c>
      <c r="W182">
        <v>7</v>
      </c>
      <c r="X18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82" t="str">
        <f>IF(orders[[#This Row],[Revenue]]&gt;AVERAGE(orders[Revenue])+3*STDEV(orders[Revenue]),"High Outlier",
 IF(orders[[#This Row],[Revenue]]&lt;AVERAGE(orders[Revenue])-3*STDEV(orders[Revenue]),"Low Outlier",
 "Normal"))</f>
        <v>Normal</v>
      </c>
      <c r="Z182">
        <f ca="1" xml:space="preserve"> _xlfn.DAYS(TODAY(), orders[[#This Row],[OrderDate]])</f>
        <v>1307</v>
      </c>
      <c r="AA182"/>
    </row>
    <row r="183" spans="1:27">
      <c r="A183" t="s">
        <v>2966</v>
      </c>
      <c r="B183" t="s">
        <v>49</v>
      </c>
      <c r="C183" t="s">
        <v>3331</v>
      </c>
      <c r="D183" t="str">
        <f>TEXT(orders[[#This Row],[OrderDate]], "YYYY-MM")</f>
        <v>2023-08</v>
      </c>
      <c r="E183" t="s">
        <v>2804</v>
      </c>
      <c r="F183" s="1">
        <v>45143</v>
      </c>
      <c r="G183" s="1">
        <v>45149</v>
      </c>
      <c r="H183" s="1">
        <v>45152</v>
      </c>
      <c r="I183">
        <v>2</v>
      </c>
      <c r="J183">
        <v>38999</v>
      </c>
      <c r="K183">
        <v>5</v>
      </c>
      <c r="L183">
        <v>3899.9</v>
      </c>
      <c r="M183">
        <v>74098.100000000006</v>
      </c>
      <c r="N183">
        <v>20098.099999999999</v>
      </c>
      <c r="O183" t="s">
        <v>2749</v>
      </c>
      <c r="P183" t="s">
        <v>2782</v>
      </c>
      <c r="Q183" t="s">
        <v>2794</v>
      </c>
      <c r="R183" t="s">
        <v>46</v>
      </c>
      <c r="S183">
        <v>5</v>
      </c>
      <c r="T183">
        <v>2023</v>
      </c>
      <c r="U183" t="s">
        <v>2773</v>
      </c>
      <c r="V183" t="s">
        <v>2774</v>
      </c>
      <c r="W183">
        <v>6</v>
      </c>
      <c r="X18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83" t="str">
        <f>IF(orders[[#This Row],[Revenue]]&gt;AVERAGE(orders[Revenue])+3*STDEV(orders[Revenue]),"High Outlier",
 IF(orders[[#This Row],[Revenue]]&lt;AVERAGE(orders[Revenue])-3*STDEV(orders[Revenue]),"Low Outlier",
 "Normal"))</f>
        <v>Normal</v>
      </c>
      <c r="Z183">
        <f ca="1" xml:space="preserve"> _xlfn.DAYS(TODAY(), orders[[#This Row],[OrderDate]])</f>
        <v>999</v>
      </c>
      <c r="AA183"/>
    </row>
    <row r="184" spans="1:27">
      <c r="A184" t="s">
        <v>2967</v>
      </c>
      <c r="B184" t="s">
        <v>1382</v>
      </c>
      <c r="C184" t="s">
        <v>3370</v>
      </c>
      <c r="D184" t="str">
        <f>TEXT(orders[[#This Row],[OrderDate]], "YYYY-MM")</f>
        <v>2022-12</v>
      </c>
      <c r="E184" t="s">
        <v>2748</v>
      </c>
      <c r="F184" s="1">
        <v>44919</v>
      </c>
      <c r="I184">
        <v>1</v>
      </c>
      <c r="J184">
        <v>24999</v>
      </c>
      <c r="K184">
        <v>0</v>
      </c>
      <c r="L184">
        <v>0</v>
      </c>
      <c r="M184">
        <v>24999</v>
      </c>
      <c r="N184">
        <v>7999</v>
      </c>
      <c r="O184" t="s">
        <v>2756</v>
      </c>
      <c r="P184" t="s">
        <v>2778</v>
      </c>
      <c r="Q184" t="s">
        <v>2751</v>
      </c>
      <c r="R184" t="s">
        <v>188</v>
      </c>
      <c r="T184">
        <v>2022</v>
      </c>
      <c r="U184" t="s">
        <v>2763</v>
      </c>
      <c r="V184" t="s">
        <v>2764</v>
      </c>
      <c r="X18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84" t="str">
        <f>IF(orders[[#This Row],[Revenue]]&gt;AVERAGE(orders[Revenue])+3*STDEV(orders[Revenue]),"High Outlier",
 IF(orders[[#This Row],[Revenue]]&lt;AVERAGE(orders[Revenue])-3*STDEV(orders[Revenue]),"Low Outlier",
 "Normal"))</f>
        <v>Normal</v>
      </c>
      <c r="Z184">
        <f ca="1" xml:space="preserve"> _xlfn.DAYS(TODAY(), orders[[#This Row],[OrderDate]])</f>
        <v>1223</v>
      </c>
      <c r="AA184"/>
    </row>
    <row r="185" spans="1:27">
      <c r="A185" t="s">
        <v>2968</v>
      </c>
      <c r="B185" t="s">
        <v>1801</v>
      </c>
      <c r="C185" t="s">
        <v>3314</v>
      </c>
      <c r="D185" t="str">
        <f>TEXT(orders[[#This Row],[OrderDate]], "YYYY-MM")</f>
        <v>2023-12</v>
      </c>
      <c r="E185" t="s">
        <v>2755</v>
      </c>
      <c r="F185" s="1">
        <v>45274</v>
      </c>
      <c r="G185" s="1">
        <v>45275</v>
      </c>
      <c r="H185" s="1">
        <v>45276</v>
      </c>
      <c r="I185">
        <v>2</v>
      </c>
      <c r="J185">
        <v>114900</v>
      </c>
      <c r="K185">
        <v>0</v>
      </c>
      <c r="L185">
        <v>0</v>
      </c>
      <c r="M185">
        <v>229800</v>
      </c>
      <c r="N185">
        <v>59800</v>
      </c>
      <c r="O185" t="s">
        <v>2749</v>
      </c>
      <c r="P185" t="s">
        <v>2761</v>
      </c>
      <c r="Q185" t="s">
        <v>2762</v>
      </c>
      <c r="R185" t="s">
        <v>24</v>
      </c>
      <c r="S185">
        <v>5</v>
      </c>
      <c r="T185">
        <v>2023</v>
      </c>
      <c r="U185" t="s">
        <v>2763</v>
      </c>
      <c r="V185" t="s">
        <v>2764</v>
      </c>
      <c r="W185">
        <v>1</v>
      </c>
      <c r="X18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85" t="str">
        <f>IF(orders[[#This Row],[Revenue]]&gt;AVERAGE(orders[Revenue])+3*STDEV(orders[Revenue]),"High Outlier",
 IF(orders[[#This Row],[Revenue]]&lt;AVERAGE(orders[Revenue])-3*STDEV(orders[Revenue]),"Low Outlier",
 "Normal"))</f>
        <v>Normal</v>
      </c>
      <c r="Z185">
        <f ca="1" xml:space="preserve"> _xlfn.DAYS(TODAY(), orders[[#This Row],[OrderDate]])</f>
        <v>868</v>
      </c>
      <c r="AA185"/>
    </row>
    <row r="186" spans="1:27">
      <c r="A186" t="s">
        <v>2969</v>
      </c>
      <c r="B186" t="s">
        <v>1153</v>
      </c>
      <c r="C186" t="s">
        <v>3423</v>
      </c>
      <c r="D186" t="str">
        <f>TEXT(orders[[#This Row],[OrderDate]], "YYYY-MM")</f>
        <v>2024-08</v>
      </c>
      <c r="E186" t="s">
        <v>2776</v>
      </c>
      <c r="F186" s="1">
        <v>45512</v>
      </c>
      <c r="I186">
        <v>2</v>
      </c>
      <c r="J186">
        <v>1599</v>
      </c>
      <c r="K186">
        <v>5</v>
      </c>
      <c r="L186">
        <v>159.9</v>
      </c>
      <c r="M186">
        <v>3038.1</v>
      </c>
      <c r="N186">
        <v>1438.1</v>
      </c>
      <c r="O186" t="s">
        <v>2781</v>
      </c>
      <c r="P186" t="s">
        <v>2757</v>
      </c>
      <c r="Q186" t="s">
        <v>2779</v>
      </c>
      <c r="R186" t="s">
        <v>35</v>
      </c>
      <c r="T186">
        <v>2024</v>
      </c>
      <c r="U186" t="s">
        <v>2773</v>
      </c>
      <c r="V186" t="s">
        <v>2774</v>
      </c>
      <c r="X18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86" t="str">
        <f>IF(orders[[#This Row],[Revenue]]&gt;AVERAGE(orders[Revenue])+3*STDEV(orders[Revenue]),"High Outlier",
 IF(orders[[#This Row],[Revenue]]&lt;AVERAGE(orders[Revenue])-3*STDEV(orders[Revenue]),"Low Outlier",
 "Normal"))</f>
        <v>Normal</v>
      </c>
      <c r="Z186">
        <f ca="1" xml:space="preserve"> _xlfn.DAYS(TODAY(), orders[[#This Row],[OrderDate]])</f>
        <v>630</v>
      </c>
      <c r="AA186"/>
    </row>
    <row r="187" spans="1:27">
      <c r="A187" t="s">
        <v>2970</v>
      </c>
      <c r="B187" t="s">
        <v>437</v>
      </c>
      <c r="C187" t="s">
        <v>3325</v>
      </c>
      <c r="D187" t="str">
        <f>TEXT(orders[[#This Row],[OrderDate]], "YYYY-MM")</f>
        <v>2024-10</v>
      </c>
      <c r="E187" t="s">
        <v>2769</v>
      </c>
      <c r="F187" s="1">
        <v>45580</v>
      </c>
      <c r="G187" s="1">
        <v>45582</v>
      </c>
      <c r="H187" s="1">
        <v>45582</v>
      </c>
      <c r="I187">
        <v>1</v>
      </c>
      <c r="J187">
        <v>49990</v>
      </c>
      <c r="K187">
        <v>10</v>
      </c>
      <c r="L187">
        <v>4999</v>
      </c>
      <c r="M187">
        <v>44991</v>
      </c>
      <c r="N187">
        <v>9991</v>
      </c>
      <c r="O187" t="s">
        <v>2749</v>
      </c>
      <c r="P187" t="s">
        <v>2750</v>
      </c>
      <c r="Q187" t="s">
        <v>2779</v>
      </c>
      <c r="R187" t="s">
        <v>46</v>
      </c>
      <c r="S187">
        <v>4</v>
      </c>
      <c r="T187">
        <v>2024</v>
      </c>
      <c r="U187" t="s">
        <v>2788</v>
      </c>
      <c r="V187" t="s">
        <v>2764</v>
      </c>
      <c r="W187">
        <v>2</v>
      </c>
      <c r="X18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87" t="str">
        <f>IF(orders[[#This Row],[Revenue]]&gt;AVERAGE(orders[Revenue])+3*STDEV(orders[Revenue]),"High Outlier",
 IF(orders[[#This Row],[Revenue]]&lt;AVERAGE(orders[Revenue])-3*STDEV(orders[Revenue]),"Low Outlier",
 "Normal"))</f>
        <v>Normal</v>
      </c>
      <c r="Z187">
        <f ca="1" xml:space="preserve"> _xlfn.DAYS(TODAY(), orders[[#This Row],[OrderDate]])</f>
        <v>562</v>
      </c>
      <c r="AA187"/>
    </row>
    <row r="188" spans="1:27">
      <c r="A188" t="s">
        <v>2971</v>
      </c>
      <c r="B188" t="s">
        <v>850</v>
      </c>
      <c r="C188" t="s">
        <v>3356</v>
      </c>
      <c r="D188" t="str">
        <f>TEXT(orders[[#This Row],[OrderDate]], "YYYY-MM")</f>
        <v>2022-03</v>
      </c>
      <c r="E188" t="s">
        <v>2769</v>
      </c>
      <c r="F188" s="1">
        <v>44650</v>
      </c>
      <c r="G188" s="1">
        <v>44656</v>
      </c>
      <c r="H188" s="1">
        <v>44656</v>
      </c>
      <c r="I188">
        <v>5</v>
      </c>
      <c r="J188">
        <v>9999</v>
      </c>
      <c r="K188">
        <v>0</v>
      </c>
      <c r="L188">
        <v>0</v>
      </c>
      <c r="M188">
        <v>49995</v>
      </c>
      <c r="N188">
        <v>17495</v>
      </c>
      <c r="O188" t="s">
        <v>2749</v>
      </c>
      <c r="P188" t="s">
        <v>2782</v>
      </c>
      <c r="Q188" t="s">
        <v>2762</v>
      </c>
      <c r="R188" t="s">
        <v>46</v>
      </c>
      <c r="S188">
        <v>4</v>
      </c>
      <c r="T188">
        <v>2022</v>
      </c>
      <c r="U188" t="s">
        <v>2752</v>
      </c>
      <c r="V188" t="s">
        <v>2753</v>
      </c>
      <c r="W188">
        <v>6</v>
      </c>
      <c r="X18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88" t="str">
        <f>IF(orders[[#This Row],[Revenue]]&gt;AVERAGE(orders[Revenue])+3*STDEV(orders[Revenue]),"High Outlier",
 IF(orders[[#This Row],[Revenue]]&lt;AVERAGE(orders[Revenue])-3*STDEV(orders[Revenue]),"Low Outlier",
 "Normal"))</f>
        <v>Normal</v>
      </c>
      <c r="Z188">
        <f ca="1" xml:space="preserve"> _xlfn.DAYS(TODAY(), orders[[#This Row],[OrderDate]])</f>
        <v>1492</v>
      </c>
      <c r="AA188"/>
    </row>
    <row r="189" spans="1:27">
      <c r="A189" t="s">
        <v>2972</v>
      </c>
      <c r="B189" t="s">
        <v>1548</v>
      </c>
      <c r="C189" t="s">
        <v>3319</v>
      </c>
      <c r="D189" t="str">
        <f>TEXT(orders[[#This Row],[OrderDate]], "YYYY-MM")</f>
        <v>2023-04</v>
      </c>
      <c r="E189" t="s">
        <v>2804</v>
      </c>
      <c r="F189" s="1">
        <v>45043</v>
      </c>
      <c r="I189">
        <v>4</v>
      </c>
      <c r="J189">
        <v>55990</v>
      </c>
      <c r="K189">
        <v>10</v>
      </c>
      <c r="L189">
        <v>22396</v>
      </c>
      <c r="M189">
        <v>201564</v>
      </c>
      <c r="N189">
        <v>41564</v>
      </c>
      <c r="O189" t="s">
        <v>2781</v>
      </c>
      <c r="P189" t="s">
        <v>2770</v>
      </c>
      <c r="Q189" t="s">
        <v>2779</v>
      </c>
      <c r="R189" t="s">
        <v>46</v>
      </c>
      <c r="T189">
        <v>2023</v>
      </c>
      <c r="U189" t="s">
        <v>2783</v>
      </c>
      <c r="V189" t="s">
        <v>2767</v>
      </c>
      <c r="X18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89" t="str">
        <f>IF(orders[[#This Row],[Revenue]]&gt;AVERAGE(orders[Revenue])+3*STDEV(orders[Revenue]),"High Outlier",
 IF(orders[[#This Row],[Revenue]]&lt;AVERAGE(orders[Revenue])-3*STDEV(orders[Revenue]),"Low Outlier",
 "Normal"))</f>
        <v>Normal</v>
      </c>
      <c r="Z189">
        <f ca="1" xml:space="preserve"> _xlfn.DAYS(TODAY(), orders[[#This Row],[OrderDate]])</f>
        <v>1099</v>
      </c>
      <c r="AA189"/>
    </row>
    <row r="190" spans="1:27">
      <c r="A190" t="s">
        <v>2973</v>
      </c>
      <c r="B190" t="s">
        <v>2144</v>
      </c>
      <c r="C190" t="s">
        <v>3409</v>
      </c>
      <c r="D190" t="str">
        <f>TEXT(orders[[#This Row],[OrderDate]], "YYYY-MM")</f>
        <v>2023-04</v>
      </c>
      <c r="E190" t="s">
        <v>2776</v>
      </c>
      <c r="F190" s="1">
        <v>45033</v>
      </c>
      <c r="G190" s="1">
        <v>45036</v>
      </c>
      <c r="H190" s="1">
        <v>45037</v>
      </c>
      <c r="I190">
        <v>1</v>
      </c>
      <c r="J190">
        <v>7499</v>
      </c>
      <c r="K190">
        <v>5</v>
      </c>
      <c r="L190">
        <v>374.95</v>
      </c>
      <c r="M190">
        <v>7124.05</v>
      </c>
      <c r="N190">
        <v>2324.0500000000002</v>
      </c>
      <c r="O190" t="s">
        <v>2749</v>
      </c>
      <c r="P190" t="s">
        <v>2778</v>
      </c>
      <c r="Q190" t="s">
        <v>2751</v>
      </c>
      <c r="R190" t="s">
        <v>35</v>
      </c>
      <c r="S190">
        <v>2</v>
      </c>
      <c r="T190">
        <v>2023</v>
      </c>
      <c r="U190" t="s">
        <v>2783</v>
      </c>
      <c r="V190" t="s">
        <v>2767</v>
      </c>
      <c r="W190">
        <v>3</v>
      </c>
      <c r="X19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90" t="str">
        <f>IF(orders[[#This Row],[Revenue]]&gt;AVERAGE(orders[Revenue])+3*STDEV(orders[Revenue]),"High Outlier",
 IF(orders[[#This Row],[Revenue]]&lt;AVERAGE(orders[Revenue])-3*STDEV(orders[Revenue]),"Low Outlier",
 "Normal"))</f>
        <v>Normal</v>
      </c>
      <c r="Z190">
        <f ca="1" xml:space="preserve"> _xlfn.DAYS(TODAY(), orders[[#This Row],[OrderDate]])</f>
        <v>1109</v>
      </c>
      <c r="AA190"/>
    </row>
    <row r="191" spans="1:27">
      <c r="A191" t="s">
        <v>2974</v>
      </c>
      <c r="B191" t="s">
        <v>1190</v>
      </c>
      <c r="C191" t="s">
        <v>3340</v>
      </c>
      <c r="D191" t="str">
        <f>TEXT(orders[[#This Row],[OrderDate]], "YYYY-MM")</f>
        <v>2024-08</v>
      </c>
      <c r="E191" t="s">
        <v>2809</v>
      </c>
      <c r="F191" s="1">
        <v>45526</v>
      </c>
      <c r="I191">
        <v>4</v>
      </c>
      <c r="J191">
        <v>6999</v>
      </c>
      <c r="K191">
        <v>0</v>
      </c>
      <c r="L191">
        <v>0</v>
      </c>
      <c r="M191">
        <v>27996</v>
      </c>
      <c r="N191">
        <v>11196</v>
      </c>
      <c r="O191" t="s">
        <v>2756</v>
      </c>
      <c r="P191" t="s">
        <v>2770</v>
      </c>
      <c r="Q191" t="s">
        <v>2779</v>
      </c>
      <c r="R191" t="s">
        <v>24</v>
      </c>
      <c r="T191">
        <v>2024</v>
      </c>
      <c r="U191" t="s">
        <v>2773</v>
      </c>
      <c r="V191" t="s">
        <v>2774</v>
      </c>
      <c r="X19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91" t="str">
        <f>IF(orders[[#This Row],[Revenue]]&gt;AVERAGE(orders[Revenue])+3*STDEV(orders[Revenue]),"High Outlier",
 IF(orders[[#This Row],[Revenue]]&lt;AVERAGE(orders[Revenue])-3*STDEV(orders[Revenue]),"Low Outlier",
 "Normal"))</f>
        <v>Normal</v>
      </c>
      <c r="Z191">
        <f ca="1" xml:space="preserve"> _xlfn.DAYS(TODAY(), orders[[#This Row],[OrderDate]])</f>
        <v>616</v>
      </c>
      <c r="AA191"/>
    </row>
    <row r="192" spans="1:27">
      <c r="A192" t="s">
        <v>2975</v>
      </c>
      <c r="B192" t="s">
        <v>750</v>
      </c>
      <c r="C192" t="s">
        <v>3399</v>
      </c>
      <c r="D192" t="str">
        <f>TEXT(orders[[#This Row],[OrderDate]], "YYYY-MM")</f>
        <v>2022-12</v>
      </c>
      <c r="E192" t="s">
        <v>2769</v>
      </c>
      <c r="F192" s="1">
        <v>44926</v>
      </c>
      <c r="G192" s="1">
        <v>44929</v>
      </c>
      <c r="H192" s="1">
        <v>44930</v>
      </c>
      <c r="I192">
        <v>4</v>
      </c>
      <c r="J192">
        <v>3499</v>
      </c>
      <c r="K192">
        <v>5</v>
      </c>
      <c r="L192">
        <v>699.8</v>
      </c>
      <c r="M192">
        <v>13296.2</v>
      </c>
      <c r="N192">
        <v>6096.2</v>
      </c>
      <c r="O192" t="s">
        <v>2749</v>
      </c>
      <c r="P192" t="s">
        <v>2778</v>
      </c>
      <c r="Q192" t="s">
        <v>2794</v>
      </c>
      <c r="R192" t="s">
        <v>46</v>
      </c>
      <c r="S192">
        <v>3</v>
      </c>
      <c r="T192">
        <v>2022</v>
      </c>
      <c r="U192" t="s">
        <v>2763</v>
      </c>
      <c r="V192" t="s">
        <v>2764</v>
      </c>
      <c r="W192">
        <v>3</v>
      </c>
      <c r="X19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92" t="str">
        <f>IF(orders[[#This Row],[Revenue]]&gt;AVERAGE(orders[Revenue])+3*STDEV(orders[Revenue]),"High Outlier",
 IF(orders[[#This Row],[Revenue]]&lt;AVERAGE(orders[Revenue])-3*STDEV(orders[Revenue]),"Low Outlier",
 "Normal"))</f>
        <v>Normal</v>
      </c>
      <c r="Z192">
        <f ca="1" xml:space="preserve"> _xlfn.DAYS(TODAY(), orders[[#This Row],[OrderDate]])</f>
        <v>1216</v>
      </c>
      <c r="AA192"/>
    </row>
    <row r="193" spans="1:27">
      <c r="A193" t="s">
        <v>2976</v>
      </c>
      <c r="B193" t="s">
        <v>709</v>
      </c>
      <c r="C193" t="s">
        <v>3356</v>
      </c>
      <c r="D193" t="str">
        <f>TEXT(orders[[#This Row],[OrderDate]], "YYYY-MM")</f>
        <v>2022-03</v>
      </c>
      <c r="E193" t="s">
        <v>2748</v>
      </c>
      <c r="F193" s="1">
        <v>44627</v>
      </c>
      <c r="I193">
        <v>5</v>
      </c>
      <c r="J193">
        <v>9999</v>
      </c>
      <c r="K193">
        <v>0</v>
      </c>
      <c r="L193">
        <v>0</v>
      </c>
      <c r="M193">
        <v>49995</v>
      </c>
      <c r="N193">
        <v>17495</v>
      </c>
      <c r="O193" t="s">
        <v>2781</v>
      </c>
      <c r="P193" t="s">
        <v>2750</v>
      </c>
      <c r="Q193" t="s">
        <v>2779</v>
      </c>
      <c r="R193" t="s">
        <v>188</v>
      </c>
      <c r="T193">
        <v>2022</v>
      </c>
      <c r="U193" t="s">
        <v>2752</v>
      </c>
      <c r="V193" t="s">
        <v>2753</v>
      </c>
      <c r="X19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93" t="str">
        <f>IF(orders[[#This Row],[Revenue]]&gt;AVERAGE(orders[Revenue])+3*STDEV(orders[Revenue]),"High Outlier",
 IF(orders[[#This Row],[Revenue]]&lt;AVERAGE(orders[Revenue])-3*STDEV(orders[Revenue]),"Low Outlier",
 "Normal"))</f>
        <v>Normal</v>
      </c>
      <c r="Z193">
        <f ca="1" xml:space="preserve"> _xlfn.DAYS(TODAY(), orders[[#This Row],[OrderDate]])</f>
        <v>1515</v>
      </c>
      <c r="AA193"/>
    </row>
    <row r="194" spans="1:27">
      <c r="A194" t="s">
        <v>2977</v>
      </c>
      <c r="B194" t="s">
        <v>432</v>
      </c>
      <c r="C194" t="s">
        <v>3374</v>
      </c>
      <c r="D194" t="str">
        <f>TEXT(orders[[#This Row],[OrderDate]], "YYYY-MM")</f>
        <v>2024-05</v>
      </c>
      <c r="E194" t="s">
        <v>2785</v>
      </c>
      <c r="F194" s="1">
        <v>45418</v>
      </c>
      <c r="G194" s="1">
        <v>45425</v>
      </c>
      <c r="H194" s="1">
        <v>45427</v>
      </c>
      <c r="I194">
        <v>2</v>
      </c>
      <c r="J194">
        <v>64999</v>
      </c>
      <c r="K194">
        <v>5</v>
      </c>
      <c r="L194">
        <v>6499.9</v>
      </c>
      <c r="M194">
        <v>123498.1</v>
      </c>
      <c r="N194">
        <v>33498.1</v>
      </c>
      <c r="O194" t="s">
        <v>2749</v>
      </c>
      <c r="P194" t="s">
        <v>2761</v>
      </c>
      <c r="Q194" t="s">
        <v>2779</v>
      </c>
      <c r="R194" t="s">
        <v>188</v>
      </c>
      <c r="S194">
        <v>5</v>
      </c>
      <c r="T194">
        <v>2024</v>
      </c>
      <c r="U194" t="s">
        <v>2766</v>
      </c>
      <c r="V194" t="s">
        <v>2767</v>
      </c>
      <c r="W194">
        <v>7</v>
      </c>
      <c r="X19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94" t="str">
        <f>IF(orders[[#This Row],[Revenue]]&gt;AVERAGE(orders[Revenue])+3*STDEV(orders[Revenue]),"High Outlier",
 IF(orders[[#This Row],[Revenue]]&lt;AVERAGE(orders[Revenue])-3*STDEV(orders[Revenue]),"Low Outlier",
 "Normal"))</f>
        <v>Normal</v>
      </c>
      <c r="Z194">
        <f ca="1" xml:space="preserve"> _xlfn.DAYS(TODAY(), orders[[#This Row],[OrderDate]])</f>
        <v>724</v>
      </c>
      <c r="AA194"/>
    </row>
    <row r="195" spans="1:27">
      <c r="A195" t="s">
        <v>2978</v>
      </c>
      <c r="B195" t="s">
        <v>2544</v>
      </c>
      <c r="C195" t="s">
        <v>3331</v>
      </c>
      <c r="D195" t="str">
        <f>TEXT(orders[[#This Row],[OrderDate]], "YYYY-MM")</f>
        <v>2022-06</v>
      </c>
      <c r="E195" t="s">
        <v>2809</v>
      </c>
      <c r="F195" s="1">
        <v>44739</v>
      </c>
      <c r="G195" s="1">
        <v>44746</v>
      </c>
      <c r="H195" s="1">
        <v>44749</v>
      </c>
      <c r="I195">
        <v>2</v>
      </c>
      <c r="J195">
        <v>38999</v>
      </c>
      <c r="K195">
        <v>15</v>
      </c>
      <c r="L195">
        <v>11699.7</v>
      </c>
      <c r="M195">
        <v>66298.3</v>
      </c>
      <c r="N195">
        <v>12298.3</v>
      </c>
      <c r="O195" t="s">
        <v>2749</v>
      </c>
      <c r="P195" t="s">
        <v>2770</v>
      </c>
      <c r="Q195" t="s">
        <v>2794</v>
      </c>
      <c r="R195" t="s">
        <v>24</v>
      </c>
      <c r="S195">
        <v>1</v>
      </c>
      <c r="T195">
        <v>2022</v>
      </c>
      <c r="U195" t="s">
        <v>2771</v>
      </c>
      <c r="V195" t="s">
        <v>2767</v>
      </c>
      <c r="W195">
        <v>7</v>
      </c>
      <c r="X19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95" t="str">
        <f>IF(orders[[#This Row],[Revenue]]&gt;AVERAGE(orders[Revenue])+3*STDEV(orders[Revenue]),"High Outlier",
 IF(orders[[#This Row],[Revenue]]&lt;AVERAGE(orders[Revenue])-3*STDEV(orders[Revenue]),"Low Outlier",
 "Normal"))</f>
        <v>Normal</v>
      </c>
      <c r="Z195">
        <f ca="1" xml:space="preserve"> _xlfn.DAYS(TODAY(), orders[[#This Row],[OrderDate]])</f>
        <v>1403</v>
      </c>
      <c r="AA195"/>
    </row>
    <row r="196" spans="1:27">
      <c r="A196" t="s">
        <v>2979</v>
      </c>
      <c r="B196" t="s">
        <v>2099</v>
      </c>
      <c r="C196" t="s">
        <v>3370</v>
      </c>
      <c r="D196" t="str">
        <f>TEXT(orders[[#This Row],[OrderDate]], "YYYY-MM")</f>
        <v>2023-05</v>
      </c>
      <c r="E196" t="s">
        <v>2804</v>
      </c>
      <c r="F196" s="1">
        <v>45069</v>
      </c>
      <c r="G196" s="1">
        <v>45073</v>
      </c>
      <c r="H196" s="1">
        <v>45074</v>
      </c>
      <c r="I196">
        <v>5</v>
      </c>
      <c r="J196">
        <v>24999</v>
      </c>
      <c r="K196">
        <v>0</v>
      </c>
      <c r="L196">
        <v>0</v>
      </c>
      <c r="M196">
        <v>124995</v>
      </c>
      <c r="N196">
        <v>39995</v>
      </c>
      <c r="O196" t="s">
        <v>2749</v>
      </c>
      <c r="P196" t="s">
        <v>2761</v>
      </c>
      <c r="Q196" t="s">
        <v>2762</v>
      </c>
      <c r="R196" t="s">
        <v>46</v>
      </c>
      <c r="S196">
        <v>4</v>
      </c>
      <c r="T196">
        <v>2023</v>
      </c>
      <c r="U196" t="s">
        <v>2766</v>
      </c>
      <c r="V196" t="s">
        <v>2767</v>
      </c>
      <c r="W196">
        <v>4</v>
      </c>
      <c r="X19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96" t="str">
        <f>IF(orders[[#This Row],[Revenue]]&gt;AVERAGE(orders[Revenue])+3*STDEV(orders[Revenue]),"High Outlier",
 IF(orders[[#This Row],[Revenue]]&lt;AVERAGE(orders[Revenue])-3*STDEV(orders[Revenue]),"Low Outlier",
 "Normal"))</f>
        <v>Normal</v>
      </c>
      <c r="Z196">
        <f ca="1" xml:space="preserve"> _xlfn.DAYS(TODAY(), orders[[#This Row],[OrderDate]])</f>
        <v>1073</v>
      </c>
      <c r="AA196"/>
    </row>
    <row r="197" spans="1:27">
      <c r="A197" t="s">
        <v>2980</v>
      </c>
      <c r="B197" t="s">
        <v>199</v>
      </c>
      <c r="C197" t="s">
        <v>3307</v>
      </c>
      <c r="D197" t="str">
        <f>TEXT(orders[[#This Row],[OrderDate]], "YYYY-MM")</f>
        <v>2024-10</v>
      </c>
      <c r="E197" t="s">
        <v>2769</v>
      </c>
      <c r="F197" s="1">
        <v>45594</v>
      </c>
      <c r="G197" s="1">
        <v>45598</v>
      </c>
      <c r="H197" s="1">
        <v>45601</v>
      </c>
      <c r="I197">
        <v>4</v>
      </c>
      <c r="J197">
        <v>69999</v>
      </c>
      <c r="K197">
        <v>0</v>
      </c>
      <c r="L197">
        <v>0</v>
      </c>
      <c r="M197">
        <v>279996</v>
      </c>
      <c r="N197">
        <v>87996</v>
      </c>
      <c r="O197" t="s">
        <v>2749</v>
      </c>
      <c r="P197" t="s">
        <v>2770</v>
      </c>
      <c r="Q197" t="s">
        <v>2751</v>
      </c>
      <c r="R197" t="s">
        <v>46</v>
      </c>
      <c r="S197">
        <v>2</v>
      </c>
      <c r="T197">
        <v>2024</v>
      </c>
      <c r="U197" t="s">
        <v>2788</v>
      </c>
      <c r="V197" t="s">
        <v>2764</v>
      </c>
      <c r="W197">
        <v>4</v>
      </c>
      <c r="X19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97" t="str">
        <f>IF(orders[[#This Row],[Revenue]]&gt;AVERAGE(orders[Revenue])+3*STDEV(orders[Revenue]),"High Outlier",
 IF(orders[[#This Row],[Revenue]]&lt;AVERAGE(orders[Revenue])-3*STDEV(orders[Revenue]),"Low Outlier",
 "Normal"))</f>
        <v>Normal</v>
      </c>
      <c r="Z197">
        <f ca="1" xml:space="preserve"> _xlfn.DAYS(TODAY(), orders[[#This Row],[OrderDate]])</f>
        <v>548</v>
      </c>
      <c r="AA197"/>
    </row>
    <row r="198" spans="1:27">
      <c r="A198" t="s">
        <v>2981</v>
      </c>
      <c r="B198" t="s">
        <v>342</v>
      </c>
      <c r="C198" t="s">
        <v>3390</v>
      </c>
      <c r="D198" t="str">
        <f>TEXT(orders[[#This Row],[OrderDate]], "YYYY-MM")</f>
        <v>2024-04</v>
      </c>
      <c r="E198" t="s">
        <v>2804</v>
      </c>
      <c r="F198" s="1">
        <v>45394</v>
      </c>
      <c r="G198" s="1">
        <v>45396</v>
      </c>
      <c r="H198" s="1">
        <v>45398</v>
      </c>
      <c r="I198">
        <v>3</v>
      </c>
      <c r="J198">
        <v>54999</v>
      </c>
      <c r="K198">
        <v>5</v>
      </c>
      <c r="L198">
        <v>8249.85</v>
      </c>
      <c r="M198">
        <v>156747.15</v>
      </c>
      <c r="N198">
        <v>42747.15</v>
      </c>
      <c r="O198" t="s">
        <v>2749</v>
      </c>
      <c r="P198" t="s">
        <v>2778</v>
      </c>
      <c r="Q198" t="s">
        <v>2762</v>
      </c>
      <c r="R198" t="s">
        <v>46</v>
      </c>
      <c r="S198">
        <v>1</v>
      </c>
      <c r="T198">
        <v>2024</v>
      </c>
      <c r="U198" t="s">
        <v>2783</v>
      </c>
      <c r="V198" t="s">
        <v>2767</v>
      </c>
      <c r="W198">
        <v>2</v>
      </c>
      <c r="X19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98" t="str">
        <f>IF(orders[[#This Row],[Revenue]]&gt;AVERAGE(orders[Revenue])+3*STDEV(orders[Revenue]),"High Outlier",
 IF(orders[[#This Row],[Revenue]]&lt;AVERAGE(orders[Revenue])-3*STDEV(orders[Revenue]),"Low Outlier",
 "Normal"))</f>
        <v>Normal</v>
      </c>
      <c r="Z198">
        <f ca="1" xml:space="preserve"> _xlfn.DAYS(TODAY(), orders[[#This Row],[OrderDate]])</f>
        <v>748</v>
      </c>
      <c r="AA198"/>
    </row>
    <row r="199" spans="1:27">
      <c r="A199" t="s">
        <v>2982</v>
      </c>
      <c r="B199" t="s">
        <v>1458</v>
      </c>
      <c r="C199" t="s">
        <v>3409</v>
      </c>
      <c r="D199" t="str">
        <f>TEXT(orders[[#This Row],[OrderDate]], "YYYY-MM")</f>
        <v>2022-11</v>
      </c>
      <c r="E199" t="s">
        <v>2785</v>
      </c>
      <c r="F199" s="1">
        <v>44893</v>
      </c>
      <c r="I199">
        <v>4</v>
      </c>
      <c r="J199">
        <v>7499</v>
      </c>
      <c r="K199">
        <v>0</v>
      </c>
      <c r="L199">
        <v>0</v>
      </c>
      <c r="M199">
        <v>29996</v>
      </c>
      <c r="N199">
        <v>10796</v>
      </c>
      <c r="O199" t="s">
        <v>2781</v>
      </c>
      <c r="P199" t="s">
        <v>2770</v>
      </c>
      <c r="Q199" t="s">
        <v>2751</v>
      </c>
      <c r="R199" t="s">
        <v>188</v>
      </c>
      <c r="T199">
        <v>2022</v>
      </c>
      <c r="U199" t="s">
        <v>2786</v>
      </c>
      <c r="V199" t="s">
        <v>2764</v>
      </c>
      <c r="X19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199" t="str">
        <f>IF(orders[[#This Row],[Revenue]]&gt;AVERAGE(orders[Revenue])+3*STDEV(orders[Revenue]),"High Outlier",
 IF(orders[[#This Row],[Revenue]]&lt;AVERAGE(orders[Revenue])-3*STDEV(orders[Revenue]),"Low Outlier",
 "Normal"))</f>
        <v>Normal</v>
      </c>
      <c r="Z199">
        <f ca="1" xml:space="preserve"> _xlfn.DAYS(TODAY(), orders[[#This Row],[OrderDate]])</f>
        <v>1249</v>
      </c>
      <c r="AA199"/>
    </row>
    <row r="200" spans="1:27">
      <c r="A200" t="s">
        <v>2983</v>
      </c>
      <c r="B200" t="s">
        <v>2208</v>
      </c>
      <c r="C200" t="s">
        <v>3325</v>
      </c>
      <c r="D200" t="str">
        <f>TEXT(orders[[#This Row],[OrderDate]], "YYYY-MM")</f>
        <v>2023-01</v>
      </c>
      <c r="E200" t="s">
        <v>2813</v>
      </c>
      <c r="F200" s="1">
        <v>44940</v>
      </c>
      <c r="G200" s="1">
        <v>44946</v>
      </c>
      <c r="H200" s="1">
        <v>44949</v>
      </c>
      <c r="I200">
        <v>1</v>
      </c>
      <c r="J200">
        <v>49990</v>
      </c>
      <c r="K200">
        <v>0</v>
      </c>
      <c r="L200">
        <v>0</v>
      </c>
      <c r="M200">
        <v>49990</v>
      </c>
      <c r="N200">
        <v>14990</v>
      </c>
      <c r="O200" t="s">
        <v>2749</v>
      </c>
      <c r="P200" t="s">
        <v>2770</v>
      </c>
      <c r="Q200" t="s">
        <v>2794</v>
      </c>
      <c r="R200" t="s">
        <v>76</v>
      </c>
      <c r="S200">
        <v>5</v>
      </c>
      <c r="T200">
        <v>2023</v>
      </c>
      <c r="U200" t="s">
        <v>2795</v>
      </c>
      <c r="V200" t="s">
        <v>2753</v>
      </c>
      <c r="W200">
        <v>6</v>
      </c>
      <c r="X20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00" t="str">
        <f>IF(orders[[#This Row],[Revenue]]&gt;AVERAGE(orders[Revenue])+3*STDEV(orders[Revenue]),"High Outlier",
 IF(orders[[#This Row],[Revenue]]&lt;AVERAGE(orders[Revenue])-3*STDEV(orders[Revenue]),"Low Outlier",
 "Normal"))</f>
        <v>Normal</v>
      </c>
      <c r="Z200">
        <f ca="1" xml:space="preserve"> _xlfn.DAYS(TODAY(), orders[[#This Row],[OrderDate]])</f>
        <v>1202</v>
      </c>
      <c r="AA200"/>
    </row>
    <row r="201" spans="1:27">
      <c r="A201" t="s">
        <v>2984</v>
      </c>
      <c r="B201" t="s">
        <v>153</v>
      </c>
      <c r="C201" t="s">
        <v>3350</v>
      </c>
      <c r="D201" t="str">
        <f>TEXT(orders[[#This Row],[OrderDate]], "YYYY-MM")</f>
        <v>2023-07</v>
      </c>
      <c r="E201" t="s">
        <v>2776</v>
      </c>
      <c r="F201" s="1">
        <v>45114</v>
      </c>
      <c r="I201">
        <v>5</v>
      </c>
      <c r="J201">
        <v>12999</v>
      </c>
      <c r="K201">
        <v>20</v>
      </c>
      <c r="L201">
        <v>12999</v>
      </c>
      <c r="M201">
        <v>51996</v>
      </c>
      <c r="N201">
        <v>11996</v>
      </c>
      <c r="O201" t="s">
        <v>2781</v>
      </c>
      <c r="P201" t="s">
        <v>2761</v>
      </c>
      <c r="Q201" t="s">
        <v>2779</v>
      </c>
      <c r="R201" t="s">
        <v>35</v>
      </c>
      <c r="T201">
        <v>2023</v>
      </c>
      <c r="U201" t="s">
        <v>2792</v>
      </c>
      <c r="V201" t="s">
        <v>2774</v>
      </c>
      <c r="X20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01" t="str">
        <f>IF(orders[[#This Row],[Revenue]]&gt;AVERAGE(orders[Revenue])+3*STDEV(orders[Revenue]),"High Outlier",
 IF(orders[[#This Row],[Revenue]]&lt;AVERAGE(orders[Revenue])-3*STDEV(orders[Revenue]),"Low Outlier",
 "Normal"))</f>
        <v>Normal</v>
      </c>
      <c r="Z201">
        <f ca="1" xml:space="preserve"> _xlfn.DAYS(TODAY(), orders[[#This Row],[OrderDate]])</f>
        <v>1028</v>
      </c>
      <c r="AA201"/>
    </row>
    <row r="202" spans="1:27">
      <c r="A202" t="s">
        <v>2985</v>
      </c>
      <c r="B202" t="s">
        <v>2248</v>
      </c>
      <c r="C202" t="s">
        <v>3409</v>
      </c>
      <c r="D202" t="str">
        <f>TEXT(orders[[#This Row],[OrderDate]], "YYYY-MM")</f>
        <v>2023-11</v>
      </c>
      <c r="E202" t="s">
        <v>2776</v>
      </c>
      <c r="F202" s="1">
        <v>45249</v>
      </c>
      <c r="I202">
        <v>1</v>
      </c>
      <c r="J202">
        <v>7499</v>
      </c>
      <c r="K202">
        <v>20</v>
      </c>
      <c r="L202">
        <v>1499.8</v>
      </c>
      <c r="M202">
        <v>5999.2</v>
      </c>
      <c r="N202">
        <v>1199.2</v>
      </c>
      <c r="O202" t="s">
        <v>2781</v>
      </c>
      <c r="P202" t="s">
        <v>2778</v>
      </c>
      <c r="Q202" t="s">
        <v>2794</v>
      </c>
      <c r="R202" t="s">
        <v>35</v>
      </c>
      <c r="T202">
        <v>2023</v>
      </c>
      <c r="U202" t="s">
        <v>2786</v>
      </c>
      <c r="V202" t="s">
        <v>2764</v>
      </c>
      <c r="X20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02" t="str">
        <f>IF(orders[[#This Row],[Revenue]]&gt;AVERAGE(orders[Revenue])+3*STDEV(orders[Revenue]),"High Outlier",
 IF(orders[[#This Row],[Revenue]]&lt;AVERAGE(orders[Revenue])-3*STDEV(orders[Revenue]),"Low Outlier",
 "Normal"))</f>
        <v>Normal</v>
      </c>
      <c r="Z202">
        <f ca="1" xml:space="preserve"> _xlfn.DAYS(TODAY(), orders[[#This Row],[OrderDate]])</f>
        <v>893</v>
      </c>
      <c r="AA202"/>
    </row>
    <row r="203" spans="1:27">
      <c r="A203" t="s">
        <v>2986</v>
      </c>
      <c r="B203" t="s">
        <v>2499</v>
      </c>
      <c r="C203" t="s">
        <v>3307</v>
      </c>
      <c r="D203" t="str">
        <f>TEXT(orders[[#This Row],[OrderDate]], "YYYY-MM")</f>
        <v>2024-02</v>
      </c>
      <c r="E203" t="s">
        <v>2804</v>
      </c>
      <c r="F203" s="1">
        <v>45346</v>
      </c>
      <c r="G203" s="1">
        <v>45350</v>
      </c>
      <c r="H203" s="1">
        <v>45350</v>
      </c>
      <c r="I203">
        <v>3</v>
      </c>
      <c r="J203">
        <v>69999</v>
      </c>
      <c r="K203">
        <v>10</v>
      </c>
      <c r="L203">
        <v>20999.7</v>
      </c>
      <c r="M203">
        <v>188997.3</v>
      </c>
      <c r="N203">
        <v>44997.3</v>
      </c>
      <c r="O203" t="s">
        <v>2749</v>
      </c>
      <c r="P203" t="s">
        <v>2782</v>
      </c>
      <c r="Q203" t="s">
        <v>2758</v>
      </c>
      <c r="R203" t="s">
        <v>46</v>
      </c>
      <c r="S203">
        <v>1</v>
      </c>
      <c r="T203">
        <v>2024</v>
      </c>
      <c r="U203" t="s">
        <v>2759</v>
      </c>
      <c r="V203" t="s">
        <v>2753</v>
      </c>
      <c r="W203">
        <v>4</v>
      </c>
      <c r="X20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03" t="str">
        <f>IF(orders[[#This Row],[Revenue]]&gt;AVERAGE(orders[Revenue])+3*STDEV(orders[Revenue]),"High Outlier",
 IF(orders[[#This Row],[Revenue]]&lt;AVERAGE(orders[Revenue])-3*STDEV(orders[Revenue]),"Low Outlier",
 "Normal"))</f>
        <v>Normal</v>
      </c>
      <c r="Z203">
        <f ca="1" xml:space="preserve"> _xlfn.DAYS(TODAY(), orders[[#This Row],[OrderDate]])</f>
        <v>796</v>
      </c>
      <c r="AA203"/>
    </row>
    <row r="204" spans="1:27">
      <c r="A204" t="s">
        <v>2987</v>
      </c>
      <c r="B204" t="s">
        <v>1667</v>
      </c>
      <c r="C204" t="s">
        <v>3413</v>
      </c>
      <c r="D204" t="str">
        <f>TEXT(orders[[#This Row],[OrderDate]], "YYYY-MM")</f>
        <v>2022-10</v>
      </c>
      <c r="E204" t="s">
        <v>2748</v>
      </c>
      <c r="F204" s="1">
        <v>44845</v>
      </c>
      <c r="G204" s="1">
        <v>44847</v>
      </c>
      <c r="H204" s="1">
        <v>44847</v>
      </c>
      <c r="I204">
        <v>4</v>
      </c>
      <c r="J204">
        <v>5999</v>
      </c>
      <c r="K204">
        <v>5</v>
      </c>
      <c r="L204">
        <v>1199.8</v>
      </c>
      <c r="M204">
        <v>22796.2</v>
      </c>
      <c r="N204">
        <v>7596.2</v>
      </c>
      <c r="O204" t="s">
        <v>2749</v>
      </c>
      <c r="P204" t="s">
        <v>2778</v>
      </c>
      <c r="Q204" t="s">
        <v>2779</v>
      </c>
      <c r="R204" t="s">
        <v>188</v>
      </c>
      <c r="S204">
        <v>3</v>
      </c>
      <c r="T204">
        <v>2022</v>
      </c>
      <c r="U204" t="s">
        <v>2788</v>
      </c>
      <c r="V204" t="s">
        <v>2764</v>
      </c>
      <c r="W204">
        <v>2</v>
      </c>
      <c r="X20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04" t="str">
        <f>IF(orders[[#This Row],[Revenue]]&gt;AVERAGE(orders[Revenue])+3*STDEV(orders[Revenue]),"High Outlier",
 IF(orders[[#This Row],[Revenue]]&lt;AVERAGE(orders[Revenue])-3*STDEV(orders[Revenue]),"Low Outlier",
 "Normal"))</f>
        <v>Normal</v>
      </c>
      <c r="Z204">
        <f ca="1" xml:space="preserve"> _xlfn.DAYS(TODAY(), orders[[#This Row],[OrderDate]])</f>
        <v>1297</v>
      </c>
      <c r="AA204"/>
    </row>
    <row r="205" spans="1:27">
      <c r="A205" t="s">
        <v>2988</v>
      </c>
      <c r="B205" t="s">
        <v>1129</v>
      </c>
      <c r="C205" t="s">
        <v>3345</v>
      </c>
      <c r="D205" t="str">
        <f>TEXT(orders[[#This Row],[OrderDate]], "YYYY-MM")</f>
        <v>2023-07</v>
      </c>
      <c r="E205" t="s">
        <v>2776</v>
      </c>
      <c r="F205" s="1">
        <v>45129</v>
      </c>
      <c r="G205" s="1">
        <v>45130</v>
      </c>
      <c r="H205" s="1">
        <v>45132</v>
      </c>
      <c r="I205">
        <v>3</v>
      </c>
      <c r="J205">
        <v>29900</v>
      </c>
      <c r="K205">
        <v>15</v>
      </c>
      <c r="L205">
        <v>13455</v>
      </c>
      <c r="M205">
        <v>76245</v>
      </c>
      <c r="N205">
        <v>16245</v>
      </c>
      <c r="O205" t="s">
        <v>2749</v>
      </c>
      <c r="P205" t="s">
        <v>2770</v>
      </c>
      <c r="Q205" t="s">
        <v>2758</v>
      </c>
      <c r="R205" t="s">
        <v>35</v>
      </c>
      <c r="S205">
        <v>5</v>
      </c>
      <c r="T205">
        <v>2023</v>
      </c>
      <c r="U205" t="s">
        <v>2792</v>
      </c>
      <c r="V205" t="s">
        <v>2774</v>
      </c>
      <c r="W205">
        <v>1</v>
      </c>
      <c r="X20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05" t="str">
        <f>IF(orders[[#This Row],[Revenue]]&gt;AVERAGE(orders[Revenue])+3*STDEV(orders[Revenue]),"High Outlier",
 IF(orders[[#This Row],[Revenue]]&lt;AVERAGE(orders[Revenue])-3*STDEV(orders[Revenue]),"Low Outlier",
 "Normal"))</f>
        <v>Normal</v>
      </c>
      <c r="Z205">
        <f ca="1" xml:space="preserve"> _xlfn.DAYS(TODAY(), orders[[#This Row],[OrderDate]])</f>
        <v>1013</v>
      </c>
      <c r="AA205"/>
    </row>
    <row r="206" spans="1:27">
      <c r="A206" t="s">
        <v>2989</v>
      </c>
      <c r="B206" t="s">
        <v>2352</v>
      </c>
      <c r="C206" t="s">
        <v>3319</v>
      </c>
      <c r="D206" t="str">
        <f>TEXT(orders[[#This Row],[OrderDate]], "YYYY-MM")</f>
        <v>2024-12</v>
      </c>
      <c r="E206" t="s">
        <v>2755</v>
      </c>
      <c r="F206" s="1">
        <v>45651</v>
      </c>
      <c r="I206">
        <v>5</v>
      </c>
      <c r="J206">
        <v>55990</v>
      </c>
      <c r="K206">
        <v>5</v>
      </c>
      <c r="L206">
        <v>13997.5</v>
      </c>
      <c r="M206">
        <v>265952.5</v>
      </c>
      <c r="N206">
        <v>65952.5</v>
      </c>
      <c r="O206" t="s">
        <v>2781</v>
      </c>
      <c r="P206" t="s">
        <v>2770</v>
      </c>
      <c r="Q206" t="s">
        <v>2758</v>
      </c>
      <c r="R206" t="s">
        <v>24</v>
      </c>
      <c r="T206">
        <v>2024</v>
      </c>
      <c r="U206" t="s">
        <v>2763</v>
      </c>
      <c r="V206" t="s">
        <v>2764</v>
      </c>
      <c r="X20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06" t="str">
        <f>IF(orders[[#This Row],[Revenue]]&gt;AVERAGE(orders[Revenue])+3*STDEV(orders[Revenue]),"High Outlier",
 IF(orders[[#This Row],[Revenue]]&lt;AVERAGE(orders[Revenue])-3*STDEV(orders[Revenue]),"Low Outlier",
 "Normal"))</f>
        <v>Normal</v>
      </c>
      <c r="Z206">
        <f ca="1" xml:space="preserve"> _xlfn.DAYS(TODAY(), orders[[#This Row],[OrderDate]])</f>
        <v>491</v>
      </c>
      <c r="AA206"/>
    </row>
    <row r="207" spans="1:27">
      <c r="A207" t="s">
        <v>2990</v>
      </c>
      <c r="B207" t="s">
        <v>1168</v>
      </c>
      <c r="C207" t="s">
        <v>3409</v>
      </c>
      <c r="D207" t="str">
        <f>TEXT(orders[[#This Row],[OrderDate]], "YYYY-MM")</f>
        <v>2023-01</v>
      </c>
      <c r="E207" t="s">
        <v>2748</v>
      </c>
      <c r="F207" s="1">
        <v>44947</v>
      </c>
      <c r="G207" s="1">
        <v>44948</v>
      </c>
      <c r="H207" s="1">
        <v>44948</v>
      </c>
      <c r="I207">
        <v>4</v>
      </c>
      <c r="J207">
        <v>7499</v>
      </c>
      <c r="K207">
        <v>0</v>
      </c>
      <c r="L207">
        <v>0</v>
      </c>
      <c r="M207">
        <v>29996</v>
      </c>
      <c r="N207">
        <v>10796</v>
      </c>
      <c r="O207" t="s">
        <v>2749</v>
      </c>
      <c r="P207" t="s">
        <v>2750</v>
      </c>
      <c r="Q207" t="s">
        <v>2762</v>
      </c>
      <c r="R207" t="s">
        <v>188</v>
      </c>
      <c r="S207">
        <v>1</v>
      </c>
      <c r="T207">
        <v>2023</v>
      </c>
      <c r="U207" t="s">
        <v>2795</v>
      </c>
      <c r="V207" t="s">
        <v>2753</v>
      </c>
      <c r="W207">
        <v>1</v>
      </c>
      <c r="X20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07" t="str">
        <f>IF(orders[[#This Row],[Revenue]]&gt;AVERAGE(orders[Revenue])+3*STDEV(orders[Revenue]),"High Outlier",
 IF(orders[[#This Row],[Revenue]]&lt;AVERAGE(orders[Revenue])-3*STDEV(orders[Revenue]),"Low Outlier",
 "Normal"))</f>
        <v>Normal</v>
      </c>
      <c r="Z207">
        <f ca="1" xml:space="preserve"> _xlfn.DAYS(TODAY(), orders[[#This Row],[OrderDate]])</f>
        <v>1195</v>
      </c>
      <c r="AA207"/>
    </row>
    <row r="208" spans="1:27">
      <c r="A208" t="s">
        <v>2991</v>
      </c>
      <c r="B208" t="s">
        <v>602</v>
      </c>
      <c r="C208" t="s">
        <v>3345</v>
      </c>
      <c r="D208" t="str">
        <f>TEXT(orders[[#This Row],[OrderDate]], "YYYY-MM")</f>
        <v>2022-10</v>
      </c>
      <c r="E208" t="s">
        <v>2776</v>
      </c>
      <c r="F208" s="1">
        <v>44865</v>
      </c>
      <c r="G208" s="1">
        <v>44867</v>
      </c>
      <c r="H208" s="1">
        <v>44868</v>
      </c>
      <c r="I208">
        <v>5</v>
      </c>
      <c r="J208">
        <v>29900</v>
      </c>
      <c r="K208">
        <v>0</v>
      </c>
      <c r="L208">
        <v>0</v>
      </c>
      <c r="M208">
        <v>149500</v>
      </c>
      <c r="N208">
        <v>49500</v>
      </c>
      <c r="O208" t="s">
        <v>2749</v>
      </c>
      <c r="P208" t="s">
        <v>2750</v>
      </c>
      <c r="Q208" t="s">
        <v>2751</v>
      </c>
      <c r="R208" t="s">
        <v>35</v>
      </c>
      <c r="S208">
        <v>5</v>
      </c>
      <c r="T208">
        <v>2022</v>
      </c>
      <c r="U208" t="s">
        <v>2788</v>
      </c>
      <c r="V208" t="s">
        <v>2764</v>
      </c>
      <c r="W208">
        <v>2</v>
      </c>
      <c r="X20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08" t="str">
        <f>IF(orders[[#This Row],[Revenue]]&gt;AVERAGE(orders[Revenue])+3*STDEV(orders[Revenue]),"High Outlier",
 IF(orders[[#This Row],[Revenue]]&lt;AVERAGE(orders[Revenue])-3*STDEV(orders[Revenue]),"Low Outlier",
 "Normal"))</f>
        <v>Normal</v>
      </c>
      <c r="Z208">
        <f ca="1" xml:space="preserve"> _xlfn.DAYS(TODAY(), orders[[#This Row],[OrderDate]])</f>
        <v>1277</v>
      </c>
      <c r="AA208"/>
    </row>
    <row r="209" spans="1:27">
      <c r="A209" t="s">
        <v>2992</v>
      </c>
      <c r="B209" t="s">
        <v>2615</v>
      </c>
      <c r="C209" t="s">
        <v>3325</v>
      </c>
      <c r="D209" t="str">
        <f>TEXT(orders[[#This Row],[OrderDate]], "YYYY-MM")</f>
        <v>2023-12</v>
      </c>
      <c r="E209" t="s">
        <v>2755</v>
      </c>
      <c r="F209" s="1">
        <v>45272</v>
      </c>
      <c r="G209" s="1">
        <v>45276</v>
      </c>
      <c r="H209" s="1">
        <v>45276</v>
      </c>
      <c r="I209">
        <v>3</v>
      </c>
      <c r="J209">
        <v>49990</v>
      </c>
      <c r="K209">
        <v>5</v>
      </c>
      <c r="L209">
        <v>7498.5</v>
      </c>
      <c r="M209">
        <v>142471.5</v>
      </c>
      <c r="N209">
        <v>37471.5</v>
      </c>
      <c r="O209" t="s">
        <v>2749</v>
      </c>
      <c r="P209" t="s">
        <v>2757</v>
      </c>
      <c r="Q209" t="s">
        <v>2762</v>
      </c>
      <c r="R209" t="s">
        <v>24</v>
      </c>
      <c r="S209">
        <v>2</v>
      </c>
      <c r="T209">
        <v>2023</v>
      </c>
      <c r="U209" t="s">
        <v>2763</v>
      </c>
      <c r="V209" t="s">
        <v>2764</v>
      </c>
      <c r="W209">
        <v>4</v>
      </c>
      <c r="X20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09" t="str">
        <f>IF(orders[[#This Row],[Revenue]]&gt;AVERAGE(orders[Revenue])+3*STDEV(orders[Revenue]),"High Outlier",
 IF(orders[[#This Row],[Revenue]]&lt;AVERAGE(orders[Revenue])-3*STDEV(orders[Revenue]),"Low Outlier",
 "Normal"))</f>
        <v>Normal</v>
      </c>
      <c r="Z209">
        <f ca="1" xml:space="preserve"> _xlfn.DAYS(TODAY(), orders[[#This Row],[OrderDate]])</f>
        <v>870</v>
      </c>
      <c r="AA209"/>
    </row>
    <row r="210" spans="1:27">
      <c r="A210" t="s">
        <v>2993</v>
      </c>
      <c r="B210" t="s">
        <v>2365</v>
      </c>
      <c r="C210" t="s">
        <v>3384</v>
      </c>
      <c r="D210" t="str">
        <f>TEXT(orders[[#This Row],[OrderDate]], "YYYY-MM")</f>
        <v>2024-04</v>
      </c>
      <c r="E210" t="s">
        <v>2755</v>
      </c>
      <c r="F210" s="1">
        <v>45405</v>
      </c>
      <c r="I210">
        <v>3</v>
      </c>
      <c r="J210">
        <v>59900</v>
      </c>
      <c r="K210">
        <v>10</v>
      </c>
      <c r="L210">
        <v>17970</v>
      </c>
      <c r="M210">
        <v>161730</v>
      </c>
      <c r="N210">
        <v>35730</v>
      </c>
      <c r="O210" t="s">
        <v>2756</v>
      </c>
      <c r="P210" t="s">
        <v>2770</v>
      </c>
      <c r="Q210" t="s">
        <v>2758</v>
      </c>
      <c r="R210" t="s">
        <v>24</v>
      </c>
      <c r="T210">
        <v>2024</v>
      </c>
      <c r="U210" t="s">
        <v>2783</v>
      </c>
      <c r="V210" t="s">
        <v>2767</v>
      </c>
      <c r="X21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10" t="str">
        <f>IF(orders[[#This Row],[Revenue]]&gt;AVERAGE(orders[Revenue])+3*STDEV(orders[Revenue]),"High Outlier",
 IF(orders[[#This Row],[Revenue]]&lt;AVERAGE(orders[Revenue])-3*STDEV(orders[Revenue]),"Low Outlier",
 "Normal"))</f>
        <v>Normal</v>
      </c>
      <c r="Z210">
        <f ca="1" xml:space="preserve"> _xlfn.DAYS(TODAY(), orders[[#This Row],[OrderDate]])</f>
        <v>737</v>
      </c>
      <c r="AA210"/>
    </row>
    <row r="211" spans="1:27">
      <c r="A211" t="s">
        <v>2994</v>
      </c>
      <c r="B211" t="s">
        <v>1936</v>
      </c>
      <c r="C211" t="s">
        <v>3413</v>
      </c>
      <c r="D211" t="str">
        <f>TEXT(orders[[#This Row],[OrderDate]], "YYYY-MM")</f>
        <v>2024-07</v>
      </c>
      <c r="E211" t="s">
        <v>2755</v>
      </c>
      <c r="F211" s="1">
        <v>45499</v>
      </c>
      <c r="G211" s="1">
        <v>45504</v>
      </c>
      <c r="H211" s="1">
        <v>45505</v>
      </c>
      <c r="I211">
        <v>3</v>
      </c>
      <c r="J211">
        <v>5999</v>
      </c>
      <c r="K211">
        <v>0</v>
      </c>
      <c r="L211">
        <v>0</v>
      </c>
      <c r="M211">
        <v>17997</v>
      </c>
      <c r="N211">
        <v>6597</v>
      </c>
      <c r="O211" t="s">
        <v>2749</v>
      </c>
      <c r="P211" t="s">
        <v>2750</v>
      </c>
      <c r="Q211" t="s">
        <v>2779</v>
      </c>
      <c r="R211" t="s">
        <v>24</v>
      </c>
      <c r="S211">
        <v>4</v>
      </c>
      <c r="T211">
        <v>2024</v>
      </c>
      <c r="U211" t="s">
        <v>2792</v>
      </c>
      <c r="V211" t="s">
        <v>2774</v>
      </c>
      <c r="W211">
        <v>5</v>
      </c>
      <c r="X21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11" t="str">
        <f>IF(orders[[#This Row],[Revenue]]&gt;AVERAGE(orders[Revenue])+3*STDEV(orders[Revenue]),"High Outlier",
 IF(orders[[#This Row],[Revenue]]&lt;AVERAGE(orders[Revenue])-3*STDEV(orders[Revenue]),"Low Outlier",
 "Normal"))</f>
        <v>Normal</v>
      </c>
      <c r="Z211">
        <f ca="1" xml:space="preserve"> _xlfn.DAYS(TODAY(), orders[[#This Row],[OrderDate]])</f>
        <v>643</v>
      </c>
      <c r="AA211"/>
    </row>
    <row r="212" spans="1:27">
      <c r="A212" t="s">
        <v>2995</v>
      </c>
      <c r="B212" t="s">
        <v>1178</v>
      </c>
      <c r="C212" t="s">
        <v>3350</v>
      </c>
      <c r="D212" t="str">
        <f>TEXT(orders[[#This Row],[OrderDate]], "YYYY-MM")</f>
        <v>2022-10</v>
      </c>
      <c r="E212" t="s">
        <v>2809</v>
      </c>
      <c r="F212" s="1">
        <v>44865</v>
      </c>
      <c r="G212" s="1">
        <v>44868</v>
      </c>
      <c r="H212" s="1">
        <v>44871</v>
      </c>
      <c r="I212">
        <v>2</v>
      </c>
      <c r="J212">
        <v>12999</v>
      </c>
      <c r="K212">
        <v>0</v>
      </c>
      <c r="L212">
        <v>0</v>
      </c>
      <c r="M212">
        <v>25998</v>
      </c>
      <c r="N212">
        <v>9998</v>
      </c>
      <c r="O212" t="s">
        <v>2749</v>
      </c>
      <c r="P212" t="s">
        <v>2778</v>
      </c>
      <c r="Q212" t="s">
        <v>2758</v>
      </c>
      <c r="R212" t="s">
        <v>24</v>
      </c>
      <c r="S212">
        <v>3</v>
      </c>
      <c r="T212">
        <v>2022</v>
      </c>
      <c r="U212" t="s">
        <v>2788</v>
      </c>
      <c r="V212" t="s">
        <v>2764</v>
      </c>
      <c r="W212">
        <v>3</v>
      </c>
      <c r="X21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12" t="str">
        <f>IF(orders[[#This Row],[Revenue]]&gt;AVERAGE(orders[Revenue])+3*STDEV(orders[Revenue]),"High Outlier",
 IF(orders[[#This Row],[Revenue]]&lt;AVERAGE(orders[Revenue])-3*STDEV(orders[Revenue]),"Low Outlier",
 "Normal"))</f>
        <v>Normal</v>
      </c>
      <c r="Z212">
        <f ca="1" xml:space="preserve"> _xlfn.DAYS(TODAY(), orders[[#This Row],[OrderDate]])</f>
        <v>1277</v>
      </c>
      <c r="AA212"/>
    </row>
    <row r="213" spans="1:27">
      <c r="A213" t="s">
        <v>2996</v>
      </c>
      <c r="B213" t="s">
        <v>654</v>
      </c>
      <c r="C213" t="s">
        <v>3331</v>
      </c>
      <c r="D213" t="str">
        <f>TEXT(orders[[#This Row],[OrderDate]], "YYYY-MM")</f>
        <v>2022-11</v>
      </c>
      <c r="E213" t="s">
        <v>2776</v>
      </c>
      <c r="F213" s="1">
        <v>44892</v>
      </c>
      <c r="G213" s="1">
        <v>44893</v>
      </c>
      <c r="H213" s="1">
        <v>44893</v>
      </c>
      <c r="I213">
        <v>3</v>
      </c>
      <c r="J213">
        <v>38999</v>
      </c>
      <c r="K213">
        <v>0</v>
      </c>
      <c r="L213">
        <v>0</v>
      </c>
      <c r="M213">
        <v>116997</v>
      </c>
      <c r="N213">
        <v>35997</v>
      </c>
      <c r="O213" t="s">
        <v>2749</v>
      </c>
      <c r="P213" t="s">
        <v>2770</v>
      </c>
      <c r="Q213" t="s">
        <v>2794</v>
      </c>
      <c r="R213" t="s">
        <v>35</v>
      </c>
      <c r="S213">
        <v>3</v>
      </c>
      <c r="T213">
        <v>2022</v>
      </c>
      <c r="U213" t="s">
        <v>2786</v>
      </c>
      <c r="V213" t="s">
        <v>2764</v>
      </c>
      <c r="W213">
        <v>1</v>
      </c>
      <c r="X21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13" t="str">
        <f>IF(orders[[#This Row],[Revenue]]&gt;AVERAGE(orders[Revenue])+3*STDEV(orders[Revenue]),"High Outlier",
 IF(orders[[#This Row],[Revenue]]&lt;AVERAGE(orders[Revenue])-3*STDEV(orders[Revenue]),"Low Outlier",
 "Normal"))</f>
        <v>Normal</v>
      </c>
      <c r="Z213">
        <f ca="1" xml:space="preserve"> _xlfn.DAYS(TODAY(), orders[[#This Row],[OrderDate]])</f>
        <v>1250</v>
      </c>
      <c r="AA213"/>
    </row>
    <row r="214" spans="1:27">
      <c r="A214" t="s">
        <v>2997</v>
      </c>
      <c r="B214" t="s">
        <v>659</v>
      </c>
      <c r="C214" t="s">
        <v>3336</v>
      </c>
      <c r="D214" t="str">
        <f>TEXT(orders[[#This Row],[OrderDate]], "YYYY-MM")</f>
        <v>2023-10</v>
      </c>
      <c r="E214" t="s">
        <v>2804</v>
      </c>
      <c r="F214" s="1">
        <v>45211</v>
      </c>
      <c r="G214" s="1">
        <v>45213</v>
      </c>
      <c r="H214" s="1">
        <v>45215</v>
      </c>
      <c r="I214">
        <v>4</v>
      </c>
      <c r="J214">
        <v>26990</v>
      </c>
      <c r="K214">
        <v>20</v>
      </c>
      <c r="L214">
        <v>21592</v>
      </c>
      <c r="M214">
        <v>86368</v>
      </c>
      <c r="N214">
        <v>14368</v>
      </c>
      <c r="O214" t="s">
        <v>2749</v>
      </c>
      <c r="P214" t="s">
        <v>2782</v>
      </c>
      <c r="Q214" t="s">
        <v>2758</v>
      </c>
      <c r="R214" t="s">
        <v>46</v>
      </c>
      <c r="S214">
        <v>3</v>
      </c>
      <c r="T214">
        <v>2023</v>
      </c>
      <c r="U214" t="s">
        <v>2788</v>
      </c>
      <c r="V214" t="s">
        <v>2764</v>
      </c>
      <c r="W214">
        <v>2</v>
      </c>
      <c r="X21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14" t="str">
        <f>IF(orders[[#This Row],[Revenue]]&gt;AVERAGE(orders[Revenue])+3*STDEV(orders[Revenue]),"High Outlier",
 IF(orders[[#This Row],[Revenue]]&lt;AVERAGE(orders[Revenue])-3*STDEV(orders[Revenue]),"Low Outlier",
 "Normal"))</f>
        <v>Normal</v>
      </c>
      <c r="Z214">
        <f ca="1" xml:space="preserve"> _xlfn.DAYS(TODAY(), orders[[#This Row],[OrderDate]])</f>
        <v>931</v>
      </c>
      <c r="AA214"/>
    </row>
    <row r="215" spans="1:27">
      <c r="A215" t="s">
        <v>2998</v>
      </c>
      <c r="B215" t="s">
        <v>470</v>
      </c>
      <c r="C215" t="s">
        <v>3298</v>
      </c>
      <c r="D215" t="str">
        <f>TEXT(orders[[#This Row],[OrderDate]], "YYYY-MM")</f>
        <v>2024-10</v>
      </c>
      <c r="E215" t="s">
        <v>2755</v>
      </c>
      <c r="F215" s="1">
        <v>45584</v>
      </c>
      <c r="G215" s="1">
        <v>45588</v>
      </c>
      <c r="H215" s="1">
        <v>45590</v>
      </c>
      <c r="I215">
        <v>2</v>
      </c>
      <c r="J215">
        <v>79999</v>
      </c>
      <c r="K215">
        <v>0</v>
      </c>
      <c r="L215">
        <v>0</v>
      </c>
      <c r="M215">
        <v>159998</v>
      </c>
      <c r="N215">
        <v>49998</v>
      </c>
      <c r="O215" t="s">
        <v>2749</v>
      </c>
      <c r="P215" t="s">
        <v>2778</v>
      </c>
      <c r="Q215" t="s">
        <v>2758</v>
      </c>
      <c r="R215" t="s">
        <v>24</v>
      </c>
      <c r="S215">
        <v>5</v>
      </c>
      <c r="T215">
        <v>2024</v>
      </c>
      <c r="U215" t="s">
        <v>2788</v>
      </c>
      <c r="V215" t="s">
        <v>2764</v>
      </c>
      <c r="W215">
        <v>4</v>
      </c>
      <c r="X21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15" t="str">
        <f>IF(orders[[#This Row],[Revenue]]&gt;AVERAGE(orders[Revenue])+3*STDEV(orders[Revenue]),"High Outlier",
 IF(orders[[#This Row],[Revenue]]&lt;AVERAGE(orders[Revenue])-3*STDEV(orders[Revenue]),"Low Outlier",
 "Normal"))</f>
        <v>Normal</v>
      </c>
      <c r="Z215">
        <f ca="1" xml:space="preserve"> _xlfn.DAYS(TODAY(), orders[[#This Row],[OrderDate]])</f>
        <v>558</v>
      </c>
      <c r="AA215"/>
    </row>
    <row r="216" spans="1:27">
      <c r="A216" t="s">
        <v>2999</v>
      </c>
      <c r="B216" t="s">
        <v>1072</v>
      </c>
      <c r="C216" t="s">
        <v>3405</v>
      </c>
      <c r="D216" t="str">
        <f>TEXT(orders[[#This Row],[OrderDate]], "YYYY-MM")</f>
        <v>2024-08</v>
      </c>
      <c r="E216" t="s">
        <v>2755</v>
      </c>
      <c r="F216" s="1">
        <v>45532</v>
      </c>
      <c r="G216" s="1">
        <v>45539</v>
      </c>
      <c r="H216" s="1">
        <v>45540</v>
      </c>
      <c r="I216">
        <v>5</v>
      </c>
      <c r="J216">
        <v>8495</v>
      </c>
      <c r="K216">
        <v>15</v>
      </c>
      <c r="L216">
        <v>6371.25</v>
      </c>
      <c r="M216">
        <v>36103.75</v>
      </c>
      <c r="N216">
        <v>8603.75</v>
      </c>
      <c r="O216" t="s">
        <v>2749</v>
      </c>
      <c r="P216" t="s">
        <v>2750</v>
      </c>
      <c r="Q216" t="s">
        <v>2762</v>
      </c>
      <c r="R216" t="s">
        <v>24</v>
      </c>
      <c r="S216">
        <v>4</v>
      </c>
      <c r="T216">
        <v>2024</v>
      </c>
      <c r="U216" t="s">
        <v>2773</v>
      </c>
      <c r="V216" t="s">
        <v>2774</v>
      </c>
      <c r="W216">
        <v>7</v>
      </c>
      <c r="X21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16" t="str">
        <f>IF(orders[[#This Row],[Revenue]]&gt;AVERAGE(orders[Revenue])+3*STDEV(orders[Revenue]),"High Outlier",
 IF(orders[[#This Row],[Revenue]]&lt;AVERAGE(orders[Revenue])-3*STDEV(orders[Revenue]),"Low Outlier",
 "Normal"))</f>
        <v>Normal</v>
      </c>
      <c r="Z216">
        <f ca="1" xml:space="preserve"> _xlfn.DAYS(TODAY(), orders[[#This Row],[OrderDate]])</f>
        <v>610</v>
      </c>
      <c r="AA216"/>
    </row>
    <row r="217" spans="1:27">
      <c r="A217" t="s">
        <v>3000</v>
      </c>
      <c r="B217" t="s">
        <v>2529</v>
      </c>
      <c r="C217" t="s">
        <v>3307</v>
      </c>
      <c r="D217" t="str">
        <f>TEXT(orders[[#This Row],[OrderDate]], "YYYY-MM")</f>
        <v>2022-08</v>
      </c>
      <c r="E217" t="s">
        <v>2776</v>
      </c>
      <c r="F217" s="1">
        <v>44801</v>
      </c>
      <c r="G217" s="1">
        <v>44802</v>
      </c>
      <c r="H217" s="1">
        <v>44805</v>
      </c>
      <c r="I217">
        <v>5</v>
      </c>
      <c r="J217">
        <v>69999</v>
      </c>
      <c r="K217">
        <v>5</v>
      </c>
      <c r="L217">
        <v>17499.75</v>
      </c>
      <c r="M217">
        <v>332495.25</v>
      </c>
      <c r="N217">
        <v>92495.25</v>
      </c>
      <c r="O217" t="s">
        <v>2749</v>
      </c>
      <c r="P217" t="s">
        <v>2770</v>
      </c>
      <c r="Q217" t="s">
        <v>2794</v>
      </c>
      <c r="R217" t="s">
        <v>35</v>
      </c>
      <c r="S217">
        <v>1</v>
      </c>
      <c r="T217">
        <v>2022</v>
      </c>
      <c r="U217" t="s">
        <v>2773</v>
      </c>
      <c r="V217" t="s">
        <v>2774</v>
      </c>
      <c r="W217">
        <v>1</v>
      </c>
      <c r="X21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17" t="str">
        <f>IF(orders[[#This Row],[Revenue]]&gt;AVERAGE(orders[Revenue])+3*STDEV(orders[Revenue]),"High Outlier",
 IF(orders[[#This Row],[Revenue]]&lt;AVERAGE(orders[Revenue])-3*STDEV(orders[Revenue]),"Low Outlier",
 "Normal"))</f>
        <v>Normal</v>
      </c>
      <c r="Z217">
        <f ca="1" xml:space="preserve"> _xlfn.DAYS(TODAY(), orders[[#This Row],[OrderDate]])</f>
        <v>1341</v>
      </c>
      <c r="AA217"/>
    </row>
    <row r="218" spans="1:27">
      <c r="A218" t="s">
        <v>3001</v>
      </c>
      <c r="B218" t="s">
        <v>1061</v>
      </c>
      <c r="C218" t="s">
        <v>3307</v>
      </c>
      <c r="D218" t="str">
        <f>TEXT(orders[[#This Row],[OrderDate]], "YYYY-MM")</f>
        <v>2024-12</v>
      </c>
      <c r="E218" t="s">
        <v>2813</v>
      </c>
      <c r="F218" s="1">
        <v>45640</v>
      </c>
      <c r="G218" s="1">
        <v>45647</v>
      </c>
      <c r="H218" s="1">
        <v>45649</v>
      </c>
      <c r="I218">
        <v>2</v>
      </c>
      <c r="J218">
        <v>69999</v>
      </c>
      <c r="K218">
        <v>0</v>
      </c>
      <c r="L218">
        <v>0</v>
      </c>
      <c r="M218">
        <v>139998</v>
      </c>
      <c r="N218">
        <v>43998</v>
      </c>
      <c r="O218" t="s">
        <v>2749</v>
      </c>
      <c r="P218" t="s">
        <v>2757</v>
      </c>
      <c r="Q218" t="s">
        <v>2758</v>
      </c>
      <c r="R218" t="s">
        <v>76</v>
      </c>
      <c r="S218">
        <v>4</v>
      </c>
      <c r="T218">
        <v>2024</v>
      </c>
      <c r="U218" t="s">
        <v>2763</v>
      </c>
      <c r="V218" t="s">
        <v>2764</v>
      </c>
      <c r="W218">
        <v>7</v>
      </c>
      <c r="X21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18" t="str">
        <f>IF(orders[[#This Row],[Revenue]]&gt;AVERAGE(orders[Revenue])+3*STDEV(orders[Revenue]),"High Outlier",
 IF(orders[[#This Row],[Revenue]]&lt;AVERAGE(orders[Revenue])-3*STDEV(orders[Revenue]),"Low Outlier",
 "Normal"))</f>
        <v>Normal</v>
      </c>
      <c r="Z218">
        <f ca="1" xml:space="preserve"> _xlfn.DAYS(TODAY(), orders[[#This Row],[OrderDate]])</f>
        <v>502</v>
      </c>
      <c r="AA218"/>
    </row>
    <row r="219" spans="1:27">
      <c r="A219" t="s">
        <v>3002</v>
      </c>
      <c r="B219" t="s">
        <v>1966</v>
      </c>
      <c r="C219" t="s">
        <v>3409</v>
      </c>
      <c r="D219" t="str">
        <f>TEXT(orders[[#This Row],[OrderDate]], "YYYY-MM")</f>
        <v>2024-11</v>
      </c>
      <c r="E219" t="s">
        <v>2809</v>
      </c>
      <c r="F219" s="1">
        <v>45610</v>
      </c>
      <c r="G219" s="1">
        <v>45612</v>
      </c>
      <c r="H219" s="1">
        <v>45615</v>
      </c>
      <c r="I219">
        <v>3</v>
      </c>
      <c r="J219">
        <v>7499</v>
      </c>
      <c r="K219">
        <v>20</v>
      </c>
      <c r="L219">
        <v>4499.3999999999996</v>
      </c>
      <c r="M219">
        <v>17997.599999999999</v>
      </c>
      <c r="N219">
        <v>3597.6</v>
      </c>
      <c r="O219" t="s">
        <v>2749</v>
      </c>
      <c r="P219" t="s">
        <v>2757</v>
      </c>
      <c r="Q219" t="s">
        <v>2794</v>
      </c>
      <c r="R219" t="s">
        <v>24</v>
      </c>
      <c r="S219">
        <v>4</v>
      </c>
      <c r="T219">
        <v>2024</v>
      </c>
      <c r="U219" t="s">
        <v>2786</v>
      </c>
      <c r="V219" t="s">
        <v>2764</v>
      </c>
      <c r="W219">
        <v>2</v>
      </c>
      <c r="X21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19" t="str">
        <f>IF(orders[[#This Row],[Revenue]]&gt;AVERAGE(orders[Revenue])+3*STDEV(orders[Revenue]),"High Outlier",
 IF(orders[[#This Row],[Revenue]]&lt;AVERAGE(orders[Revenue])-3*STDEV(orders[Revenue]),"Low Outlier",
 "Normal"))</f>
        <v>Normal</v>
      </c>
      <c r="Z219">
        <f ca="1" xml:space="preserve"> _xlfn.DAYS(TODAY(), orders[[#This Row],[OrderDate]])</f>
        <v>532</v>
      </c>
      <c r="AA219"/>
    </row>
    <row r="220" spans="1:27">
      <c r="A220" t="s">
        <v>3003</v>
      </c>
      <c r="B220" t="s">
        <v>550</v>
      </c>
      <c r="C220" t="s">
        <v>3413</v>
      </c>
      <c r="D220" t="str">
        <f>TEXT(orders[[#This Row],[OrderDate]], "YYYY-MM")</f>
        <v>2024-01</v>
      </c>
      <c r="E220" t="s">
        <v>2755</v>
      </c>
      <c r="F220" s="1">
        <v>45319</v>
      </c>
      <c r="G220" s="1">
        <v>45322</v>
      </c>
      <c r="H220" s="1">
        <v>45322</v>
      </c>
      <c r="I220">
        <v>3</v>
      </c>
      <c r="J220">
        <v>5999</v>
      </c>
      <c r="K220">
        <v>10</v>
      </c>
      <c r="L220">
        <v>1799.7</v>
      </c>
      <c r="M220">
        <v>16197.3</v>
      </c>
      <c r="N220">
        <v>4797.3</v>
      </c>
      <c r="O220" t="s">
        <v>2749</v>
      </c>
      <c r="P220" t="s">
        <v>2750</v>
      </c>
      <c r="Q220" t="s">
        <v>2794</v>
      </c>
      <c r="R220" t="s">
        <v>24</v>
      </c>
      <c r="S220">
        <v>4</v>
      </c>
      <c r="T220">
        <v>2024</v>
      </c>
      <c r="U220" t="s">
        <v>2795</v>
      </c>
      <c r="V220" t="s">
        <v>2753</v>
      </c>
      <c r="W220">
        <v>3</v>
      </c>
      <c r="X22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20" t="str">
        <f>IF(orders[[#This Row],[Revenue]]&gt;AVERAGE(orders[Revenue])+3*STDEV(orders[Revenue]),"High Outlier",
 IF(orders[[#This Row],[Revenue]]&lt;AVERAGE(orders[Revenue])-3*STDEV(orders[Revenue]),"Low Outlier",
 "Normal"))</f>
        <v>Normal</v>
      </c>
      <c r="Z220">
        <f ca="1" xml:space="preserve"> _xlfn.DAYS(TODAY(), orders[[#This Row],[OrderDate]])</f>
        <v>823</v>
      </c>
      <c r="AA220"/>
    </row>
    <row r="221" spans="1:27">
      <c r="A221" t="s">
        <v>3004</v>
      </c>
      <c r="B221" t="s">
        <v>2464</v>
      </c>
      <c r="C221" t="s">
        <v>3390</v>
      </c>
      <c r="D221" t="str">
        <f>TEXT(orders[[#This Row],[OrderDate]], "YYYY-MM")</f>
        <v>2023-03</v>
      </c>
      <c r="E221" t="s">
        <v>2748</v>
      </c>
      <c r="F221" s="1">
        <v>45003</v>
      </c>
      <c r="I221">
        <v>4</v>
      </c>
      <c r="J221">
        <v>54999</v>
      </c>
      <c r="K221">
        <v>10</v>
      </c>
      <c r="L221">
        <v>21999.599999999999</v>
      </c>
      <c r="M221">
        <v>197996.4</v>
      </c>
      <c r="N221">
        <v>45996.4</v>
      </c>
      <c r="O221" t="s">
        <v>2781</v>
      </c>
      <c r="P221" t="s">
        <v>2770</v>
      </c>
      <c r="Q221" t="s">
        <v>2794</v>
      </c>
      <c r="R221" t="s">
        <v>188</v>
      </c>
      <c r="T221">
        <v>2023</v>
      </c>
      <c r="U221" t="s">
        <v>2752</v>
      </c>
      <c r="V221" t="s">
        <v>2753</v>
      </c>
      <c r="X22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21" t="str">
        <f>IF(orders[[#This Row],[Revenue]]&gt;AVERAGE(orders[Revenue])+3*STDEV(orders[Revenue]),"High Outlier",
 IF(orders[[#This Row],[Revenue]]&lt;AVERAGE(orders[Revenue])-3*STDEV(orders[Revenue]),"Low Outlier",
 "Normal"))</f>
        <v>Normal</v>
      </c>
      <c r="Z221">
        <f ca="1" xml:space="preserve"> _xlfn.DAYS(TODAY(), orders[[#This Row],[OrderDate]])</f>
        <v>1139</v>
      </c>
      <c r="AA221"/>
    </row>
    <row r="222" spans="1:27">
      <c r="A222" t="s">
        <v>3005</v>
      </c>
      <c r="B222" t="s">
        <v>598</v>
      </c>
      <c r="C222" t="s">
        <v>3418</v>
      </c>
      <c r="D222" t="str">
        <f>TEXT(orders[[#This Row],[OrderDate]], "YYYY-MM")</f>
        <v>2024-04</v>
      </c>
      <c r="E222" t="s">
        <v>2755</v>
      </c>
      <c r="F222" s="1">
        <v>45410</v>
      </c>
      <c r="G222" s="1">
        <v>45417</v>
      </c>
      <c r="H222" s="1">
        <v>45417</v>
      </c>
      <c r="I222">
        <v>2</v>
      </c>
      <c r="J222">
        <v>4999</v>
      </c>
      <c r="K222">
        <v>5</v>
      </c>
      <c r="L222">
        <v>499.9</v>
      </c>
      <c r="M222">
        <v>9498.1</v>
      </c>
      <c r="N222">
        <v>3898.1</v>
      </c>
      <c r="O222" t="s">
        <v>2749</v>
      </c>
      <c r="P222" t="s">
        <v>2750</v>
      </c>
      <c r="Q222" t="s">
        <v>2751</v>
      </c>
      <c r="R222" t="s">
        <v>24</v>
      </c>
      <c r="S222">
        <v>5</v>
      </c>
      <c r="T222">
        <v>2024</v>
      </c>
      <c r="U222" t="s">
        <v>2783</v>
      </c>
      <c r="V222" t="s">
        <v>2767</v>
      </c>
      <c r="W222">
        <v>7</v>
      </c>
      <c r="X22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22" t="str">
        <f>IF(orders[[#This Row],[Revenue]]&gt;AVERAGE(orders[Revenue])+3*STDEV(orders[Revenue]),"High Outlier",
 IF(orders[[#This Row],[Revenue]]&lt;AVERAGE(orders[Revenue])-3*STDEV(orders[Revenue]),"Low Outlier",
 "Normal"))</f>
        <v>Normal</v>
      </c>
      <c r="Z222">
        <f ca="1" xml:space="preserve"> _xlfn.DAYS(TODAY(), orders[[#This Row],[OrderDate]])</f>
        <v>732</v>
      </c>
      <c r="AA222"/>
    </row>
    <row r="223" spans="1:27">
      <c r="A223" t="s">
        <v>3006</v>
      </c>
      <c r="B223" t="s">
        <v>1082</v>
      </c>
      <c r="C223" t="s">
        <v>3314</v>
      </c>
      <c r="D223" t="str">
        <f>TEXT(orders[[#This Row],[OrderDate]], "YYYY-MM")</f>
        <v>2022-07</v>
      </c>
      <c r="E223" t="s">
        <v>2755</v>
      </c>
      <c r="F223" s="1">
        <v>44743</v>
      </c>
      <c r="G223" s="1">
        <v>44747</v>
      </c>
      <c r="H223" s="1">
        <v>44749</v>
      </c>
      <c r="I223">
        <v>4</v>
      </c>
      <c r="J223">
        <v>114900</v>
      </c>
      <c r="K223">
        <v>0</v>
      </c>
      <c r="L223">
        <v>0</v>
      </c>
      <c r="M223">
        <v>459600</v>
      </c>
      <c r="N223">
        <v>119600</v>
      </c>
      <c r="O223" t="s">
        <v>2749</v>
      </c>
      <c r="P223" t="s">
        <v>2761</v>
      </c>
      <c r="Q223" t="s">
        <v>2751</v>
      </c>
      <c r="R223" t="s">
        <v>24</v>
      </c>
      <c r="S223">
        <v>5</v>
      </c>
      <c r="T223">
        <v>2022</v>
      </c>
      <c r="U223" t="s">
        <v>2792</v>
      </c>
      <c r="V223" t="s">
        <v>2774</v>
      </c>
      <c r="W223">
        <v>4</v>
      </c>
      <c r="X22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23" t="str">
        <f>IF(orders[[#This Row],[Revenue]]&gt;AVERAGE(orders[Revenue])+3*STDEV(orders[Revenue]),"High Outlier",
 IF(orders[[#This Row],[Revenue]]&lt;AVERAGE(orders[Revenue])-3*STDEV(orders[Revenue]),"Low Outlier",
 "Normal"))</f>
        <v>High Outlier</v>
      </c>
      <c r="Z223">
        <f ca="1" xml:space="preserve"> _xlfn.DAYS(TODAY(), orders[[#This Row],[OrderDate]])</f>
        <v>1399</v>
      </c>
      <c r="AA223"/>
    </row>
    <row r="224" spans="1:27">
      <c r="A224" t="s">
        <v>3007</v>
      </c>
      <c r="B224" t="s">
        <v>2163</v>
      </c>
      <c r="C224" t="s">
        <v>3325</v>
      </c>
      <c r="D224" t="str">
        <f>TEXT(orders[[#This Row],[OrderDate]], "YYYY-MM")</f>
        <v>2023-01</v>
      </c>
      <c r="E224" t="s">
        <v>2809</v>
      </c>
      <c r="F224" s="1">
        <v>44942</v>
      </c>
      <c r="G224" s="1">
        <v>44945</v>
      </c>
      <c r="H224" s="1">
        <v>44948</v>
      </c>
      <c r="I224">
        <v>1</v>
      </c>
      <c r="J224">
        <v>49990</v>
      </c>
      <c r="K224">
        <v>5</v>
      </c>
      <c r="L224">
        <v>2499.5</v>
      </c>
      <c r="M224">
        <v>47490.5</v>
      </c>
      <c r="N224">
        <v>12490.5</v>
      </c>
      <c r="O224" t="s">
        <v>2749</v>
      </c>
      <c r="P224" t="s">
        <v>2761</v>
      </c>
      <c r="Q224" t="s">
        <v>2794</v>
      </c>
      <c r="R224" t="s">
        <v>24</v>
      </c>
      <c r="S224">
        <v>4</v>
      </c>
      <c r="T224">
        <v>2023</v>
      </c>
      <c r="U224" t="s">
        <v>2795</v>
      </c>
      <c r="V224" t="s">
        <v>2753</v>
      </c>
      <c r="W224">
        <v>3</v>
      </c>
      <c r="X22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24" t="str">
        <f>IF(orders[[#This Row],[Revenue]]&gt;AVERAGE(orders[Revenue])+3*STDEV(orders[Revenue]),"High Outlier",
 IF(orders[[#This Row],[Revenue]]&lt;AVERAGE(orders[Revenue])-3*STDEV(orders[Revenue]),"Low Outlier",
 "Normal"))</f>
        <v>Normal</v>
      </c>
      <c r="Z224">
        <f ca="1" xml:space="preserve"> _xlfn.DAYS(TODAY(), orders[[#This Row],[OrderDate]])</f>
        <v>1200</v>
      </c>
      <c r="AA224"/>
    </row>
    <row r="225" spans="1:27">
      <c r="A225" t="s">
        <v>3008</v>
      </c>
      <c r="B225" t="s">
        <v>1662</v>
      </c>
      <c r="C225" t="s">
        <v>3418</v>
      </c>
      <c r="D225" t="str">
        <f>TEXT(orders[[#This Row],[OrderDate]], "YYYY-MM")</f>
        <v>2023-04</v>
      </c>
      <c r="E225" t="s">
        <v>2755</v>
      </c>
      <c r="F225" s="1">
        <v>45021</v>
      </c>
      <c r="G225" s="1">
        <v>45028</v>
      </c>
      <c r="H225" s="1">
        <v>45028</v>
      </c>
      <c r="I225">
        <v>2</v>
      </c>
      <c r="J225">
        <v>4999</v>
      </c>
      <c r="K225">
        <v>5</v>
      </c>
      <c r="L225">
        <v>499.9</v>
      </c>
      <c r="M225">
        <v>9498.1</v>
      </c>
      <c r="N225">
        <v>3898.1</v>
      </c>
      <c r="O225" t="s">
        <v>2749</v>
      </c>
      <c r="P225" t="s">
        <v>2750</v>
      </c>
      <c r="Q225" t="s">
        <v>2751</v>
      </c>
      <c r="R225" t="s">
        <v>24</v>
      </c>
      <c r="S225">
        <v>1</v>
      </c>
      <c r="T225">
        <v>2023</v>
      </c>
      <c r="U225" t="s">
        <v>2783</v>
      </c>
      <c r="V225" t="s">
        <v>2767</v>
      </c>
      <c r="W225">
        <v>7</v>
      </c>
      <c r="X22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25" t="str">
        <f>IF(orders[[#This Row],[Revenue]]&gt;AVERAGE(orders[Revenue])+3*STDEV(orders[Revenue]),"High Outlier",
 IF(orders[[#This Row],[Revenue]]&lt;AVERAGE(orders[Revenue])-3*STDEV(orders[Revenue]),"Low Outlier",
 "Normal"))</f>
        <v>Normal</v>
      </c>
      <c r="Z225">
        <f ca="1" xml:space="preserve"> _xlfn.DAYS(TODAY(), orders[[#This Row],[OrderDate]])</f>
        <v>1121</v>
      </c>
      <c r="AA225"/>
    </row>
    <row r="226" spans="1:27">
      <c r="A226" t="s">
        <v>3009</v>
      </c>
      <c r="B226" t="s">
        <v>1906</v>
      </c>
      <c r="C226" t="s">
        <v>3409</v>
      </c>
      <c r="D226" t="str">
        <f>TEXT(orders[[#This Row],[OrderDate]], "YYYY-MM")</f>
        <v>2024-05</v>
      </c>
      <c r="E226" t="s">
        <v>2785</v>
      </c>
      <c r="F226" s="1">
        <v>45416</v>
      </c>
      <c r="G226" s="1">
        <v>45420</v>
      </c>
      <c r="H226" s="1">
        <v>45421</v>
      </c>
      <c r="I226">
        <v>1</v>
      </c>
      <c r="J226">
        <v>7499</v>
      </c>
      <c r="K226">
        <v>0</v>
      </c>
      <c r="L226">
        <v>0</v>
      </c>
      <c r="M226">
        <v>7499</v>
      </c>
      <c r="N226">
        <v>2699</v>
      </c>
      <c r="O226" t="s">
        <v>2749</v>
      </c>
      <c r="P226" t="s">
        <v>2750</v>
      </c>
      <c r="Q226" t="s">
        <v>2751</v>
      </c>
      <c r="R226" t="s">
        <v>188</v>
      </c>
      <c r="S226">
        <v>1</v>
      </c>
      <c r="T226">
        <v>2024</v>
      </c>
      <c r="U226" t="s">
        <v>2766</v>
      </c>
      <c r="V226" t="s">
        <v>2767</v>
      </c>
      <c r="W226">
        <v>4</v>
      </c>
      <c r="X22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26" t="str">
        <f>IF(orders[[#This Row],[Revenue]]&gt;AVERAGE(orders[Revenue])+3*STDEV(orders[Revenue]),"High Outlier",
 IF(orders[[#This Row],[Revenue]]&lt;AVERAGE(orders[Revenue])-3*STDEV(orders[Revenue]),"Low Outlier",
 "Normal"))</f>
        <v>Normal</v>
      </c>
      <c r="Z226">
        <f ca="1" xml:space="preserve"> _xlfn.DAYS(TODAY(), orders[[#This Row],[OrderDate]])</f>
        <v>726</v>
      </c>
      <c r="AA226"/>
    </row>
    <row r="227" spans="1:27">
      <c r="A227" t="s">
        <v>3010</v>
      </c>
      <c r="B227" t="s">
        <v>1765</v>
      </c>
      <c r="C227" t="s">
        <v>3418</v>
      </c>
      <c r="D227" t="str">
        <f>TEXT(orders[[#This Row],[OrderDate]], "YYYY-MM")</f>
        <v>2024-09</v>
      </c>
      <c r="E227" t="s">
        <v>2785</v>
      </c>
      <c r="F227" s="1">
        <v>45546</v>
      </c>
      <c r="I227">
        <v>4</v>
      </c>
      <c r="J227">
        <v>4999</v>
      </c>
      <c r="K227">
        <v>5</v>
      </c>
      <c r="L227">
        <v>999.8</v>
      </c>
      <c r="M227">
        <v>18996.2</v>
      </c>
      <c r="N227">
        <v>7796.2</v>
      </c>
      <c r="O227" t="s">
        <v>2756</v>
      </c>
      <c r="P227" t="s">
        <v>2778</v>
      </c>
      <c r="Q227" t="s">
        <v>2751</v>
      </c>
      <c r="R227" t="s">
        <v>188</v>
      </c>
      <c r="T227">
        <v>2024</v>
      </c>
      <c r="U227" t="s">
        <v>2790</v>
      </c>
      <c r="V227" t="s">
        <v>2774</v>
      </c>
      <c r="X22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27" t="str">
        <f>IF(orders[[#This Row],[Revenue]]&gt;AVERAGE(orders[Revenue])+3*STDEV(orders[Revenue]),"High Outlier",
 IF(orders[[#This Row],[Revenue]]&lt;AVERAGE(orders[Revenue])-3*STDEV(orders[Revenue]),"Low Outlier",
 "Normal"))</f>
        <v>Normal</v>
      </c>
      <c r="Z227">
        <f ca="1" xml:space="preserve"> _xlfn.DAYS(TODAY(), orders[[#This Row],[OrderDate]])</f>
        <v>596</v>
      </c>
      <c r="AA227"/>
    </row>
    <row r="228" spans="1:27">
      <c r="A228" t="s">
        <v>3011</v>
      </c>
      <c r="B228" t="s">
        <v>2718</v>
      </c>
      <c r="C228" t="s">
        <v>3413</v>
      </c>
      <c r="D228" t="str">
        <f>TEXT(orders[[#This Row],[OrderDate]], "YYYY-MM")</f>
        <v>2024-02</v>
      </c>
      <c r="E228" t="s">
        <v>2813</v>
      </c>
      <c r="F228" s="1">
        <v>45326</v>
      </c>
      <c r="I228">
        <v>5</v>
      </c>
      <c r="J228">
        <v>5999</v>
      </c>
      <c r="K228">
        <v>0</v>
      </c>
      <c r="L228">
        <v>0</v>
      </c>
      <c r="M228">
        <v>29995</v>
      </c>
      <c r="N228">
        <v>10995</v>
      </c>
      <c r="O228" t="s">
        <v>2756</v>
      </c>
      <c r="P228" t="s">
        <v>2750</v>
      </c>
      <c r="Q228" t="s">
        <v>2779</v>
      </c>
      <c r="R228" t="s">
        <v>76</v>
      </c>
      <c r="T228">
        <v>2024</v>
      </c>
      <c r="U228" t="s">
        <v>2759</v>
      </c>
      <c r="V228" t="s">
        <v>2753</v>
      </c>
      <c r="X22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28" t="str">
        <f>IF(orders[[#This Row],[Revenue]]&gt;AVERAGE(orders[Revenue])+3*STDEV(orders[Revenue]),"High Outlier",
 IF(orders[[#This Row],[Revenue]]&lt;AVERAGE(orders[Revenue])-3*STDEV(orders[Revenue]),"Low Outlier",
 "Normal"))</f>
        <v>Normal</v>
      </c>
      <c r="Z228">
        <f ca="1" xml:space="preserve"> _xlfn.DAYS(TODAY(), orders[[#This Row],[OrderDate]])</f>
        <v>816</v>
      </c>
      <c r="AA228"/>
    </row>
    <row r="229" spans="1:27">
      <c r="A229" t="s">
        <v>3012</v>
      </c>
      <c r="B229" t="s">
        <v>1717</v>
      </c>
      <c r="C229" t="s">
        <v>3307</v>
      </c>
      <c r="D229" t="str">
        <f>TEXT(orders[[#This Row],[OrderDate]], "YYYY-MM")</f>
        <v>2023-10</v>
      </c>
      <c r="E229" t="s">
        <v>2809</v>
      </c>
      <c r="F229" s="1">
        <v>45216</v>
      </c>
      <c r="G229" s="1">
        <v>45222</v>
      </c>
      <c r="H229" s="1">
        <v>45223</v>
      </c>
      <c r="I229">
        <v>3</v>
      </c>
      <c r="J229">
        <v>69999</v>
      </c>
      <c r="K229">
        <v>0</v>
      </c>
      <c r="L229">
        <v>0</v>
      </c>
      <c r="M229">
        <v>209997</v>
      </c>
      <c r="N229">
        <v>65997</v>
      </c>
      <c r="O229" t="s">
        <v>2749</v>
      </c>
      <c r="P229" t="s">
        <v>2757</v>
      </c>
      <c r="Q229" t="s">
        <v>2794</v>
      </c>
      <c r="R229" t="s">
        <v>24</v>
      </c>
      <c r="S229">
        <v>3</v>
      </c>
      <c r="T229">
        <v>2023</v>
      </c>
      <c r="U229" t="s">
        <v>2788</v>
      </c>
      <c r="V229" t="s">
        <v>2764</v>
      </c>
      <c r="W229">
        <v>6</v>
      </c>
      <c r="X22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29" t="str">
        <f>IF(orders[[#This Row],[Revenue]]&gt;AVERAGE(orders[Revenue])+3*STDEV(orders[Revenue]),"High Outlier",
 IF(orders[[#This Row],[Revenue]]&lt;AVERAGE(orders[Revenue])-3*STDEV(orders[Revenue]),"Low Outlier",
 "Normal"))</f>
        <v>Normal</v>
      </c>
      <c r="Z229">
        <f ca="1" xml:space="preserve"> _xlfn.DAYS(TODAY(), orders[[#This Row],[OrderDate]])</f>
        <v>926</v>
      </c>
      <c r="AA229"/>
    </row>
    <row r="230" spans="1:27">
      <c r="A230" t="s">
        <v>3013</v>
      </c>
      <c r="B230" t="s">
        <v>1301</v>
      </c>
      <c r="C230" t="s">
        <v>3405</v>
      </c>
      <c r="D230" t="str">
        <f>TEXT(orders[[#This Row],[OrderDate]], "YYYY-MM")</f>
        <v>2022-04</v>
      </c>
      <c r="E230" t="s">
        <v>2813</v>
      </c>
      <c r="F230" s="1">
        <v>44661</v>
      </c>
      <c r="G230" s="1">
        <v>44664</v>
      </c>
      <c r="H230" s="1">
        <v>44664</v>
      </c>
      <c r="I230">
        <v>5</v>
      </c>
      <c r="J230">
        <v>8495</v>
      </c>
      <c r="K230">
        <v>5</v>
      </c>
      <c r="L230">
        <v>2123.75</v>
      </c>
      <c r="M230">
        <v>40351.25</v>
      </c>
      <c r="N230">
        <v>12851.25</v>
      </c>
      <c r="O230" t="s">
        <v>2749</v>
      </c>
      <c r="P230" t="s">
        <v>2778</v>
      </c>
      <c r="Q230" t="s">
        <v>2779</v>
      </c>
      <c r="R230" t="s">
        <v>76</v>
      </c>
      <c r="S230">
        <v>1</v>
      </c>
      <c r="T230">
        <v>2022</v>
      </c>
      <c r="U230" t="s">
        <v>2783</v>
      </c>
      <c r="V230" t="s">
        <v>2767</v>
      </c>
      <c r="W230">
        <v>3</v>
      </c>
      <c r="X23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30" t="str">
        <f>IF(orders[[#This Row],[Revenue]]&gt;AVERAGE(orders[Revenue])+3*STDEV(orders[Revenue]),"High Outlier",
 IF(orders[[#This Row],[Revenue]]&lt;AVERAGE(orders[Revenue])-3*STDEV(orders[Revenue]),"Low Outlier",
 "Normal"))</f>
        <v>Normal</v>
      </c>
      <c r="Z230">
        <f ca="1" xml:space="preserve"> _xlfn.DAYS(TODAY(), orders[[#This Row],[OrderDate]])</f>
        <v>1481</v>
      </c>
      <c r="AA230"/>
    </row>
    <row r="231" spans="1:27">
      <c r="A231" t="s">
        <v>3014</v>
      </c>
      <c r="B231" t="s">
        <v>1765</v>
      </c>
      <c r="C231" t="s">
        <v>3423</v>
      </c>
      <c r="D231" t="str">
        <f>TEXT(orders[[#This Row],[OrderDate]], "YYYY-MM")</f>
        <v>2023-10</v>
      </c>
      <c r="E231" t="s">
        <v>2748</v>
      </c>
      <c r="F231" s="1">
        <v>45222</v>
      </c>
      <c r="G231" s="1">
        <v>45229</v>
      </c>
      <c r="H231" s="1">
        <v>45231</v>
      </c>
      <c r="I231">
        <v>3</v>
      </c>
      <c r="J231">
        <v>1599</v>
      </c>
      <c r="K231">
        <v>10</v>
      </c>
      <c r="L231">
        <v>479.7</v>
      </c>
      <c r="M231">
        <v>4317.3</v>
      </c>
      <c r="N231">
        <v>1917.3</v>
      </c>
      <c r="O231" t="s">
        <v>2749</v>
      </c>
      <c r="P231" t="s">
        <v>2757</v>
      </c>
      <c r="Q231" t="s">
        <v>2758</v>
      </c>
      <c r="R231" t="s">
        <v>188</v>
      </c>
      <c r="S231">
        <v>5</v>
      </c>
      <c r="T231">
        <v>2023</v>
      </c>
      <c r="U231" t="s">
        <v>2788</v>
      </c>
      <c r="V231" t="s">
        <v>2764</v>
      </c>
      <c r="W231">
        <v>7</v>
      </c>
      <c r="X23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31" t="str">
        <f>IF(orders[[#This Row],[Revenue]]&gt;AVERAGE(orders[Revenue])+3*STDEV(orders[Revenue]),"High Outlier",
 IF(orders[[#This Row],[Revenue]]&lt;AVERAGE(orders[Revenue])-3*STDEV(orders[Revenue]),"Low Outlier",
 "Normal"))</f>
        <v>Normal</v>
      </c>
      <c r="Z231">
        <f ca="1" xml:space="preserve"> _xlfn.DAYS(TODAY(), orders[[#This Row],[OrderDate]])</f>
        <v>920</v>
      </c>
      <c r="AA231"/>
    </row>
    <row r="232" spans="1:27">
      <c r="A232" t="s">
        <v>3015</v>
      </c>
      <c r="B232" t="s">
        <v>1129</v>
      </c>
      <c r="C232" t="s">
        <v>3325</v>
      </c>
      <c r="D232" t="str">
        <f>TEXT(orders[[#This Row],[OrderDate]], "YYYY-MM")</f>
        <v>2022-10</v>
      </c>
      <c r="E232" t="s">
        <v>2776</v>
      </c>
      <c r="F232" s="1">
        <v>44842</v>
      </c>
      <c r="I232">
        <v>3</v>
      </c>
      <c r="J232">
        <v>49990</v>
      </c>
      <c r="K232">
        <v>10</v>
      </c>
      <c r="L232">
        <v>14997</v>
      </c>
      <c r="M232">
        <v>134973</v>
      </c>
      <c r="N232">
        <v>29973</v>
      </c>
      <c r="O232" t="s">
        <v>2756</v>
      </c>
      <c r="P232" t="s">
        <v>2770</v>
      </c>
      <c r="Q232" t="s">
        <v>2751</v>
      </c>
      <c r="R232" t="s">
        <v>35</v>
      </c>
      <c r="T232">
        <v>2022</v>
      </c>
      <c r="U232" t="s">
        <v>2788</v>
      </c>
      <c r="V232" t="s">
        <v>2764</v>
      </c>
      <c r="X23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32" t="str">
        <f>IF(orders[[#This Row],[Revenue]]&gt;AVERAGE(orders[Revenue])+3*STDEV(orders[Revenue]),"High Outlier",
 IF(orders[[#This Row],[Revenue]]&lt;AVERAGE(orders[Revenue])-3*STDEV(orders[Revenue]),"Low Outlier",
 "Normal"))</f>
        <v>Normal</v>
      </c>
      <c r="Z232">
        <f ca="1" xml:space="preserve"> _xlfn.DAYS(TODAY(), orders[[#This Row],[OrderDate]])</f>
        <v>1300</v>
      </c>
      <c r="AA232"/>
    </row>
    <row r="233" spans="1:27">
      <c r="A233" t="s">
        <v>3016</v>
      </c>
      <c r="B233" t="s">
        <v>1098</v>
      </c>
      <c r="C233" t="s">
        <v>3331</v>
      </c>
      <c r="D233" t="str">
        <f>TEXT(orders[[#This Row],[OrderDate]], "YYYY-MM")</f>
        <v>2023-03</v>
      </c>
      <c r="E233" t="s">
        <v>2809</v>
      </c>
      <c r="F233" s="1">
        <v>45008</v>
      </c>
      <c r="G233" s="1">
        <v>45013</v>
      </c>
      <c r="H233" s="1">
        <v>45014</v>
      </c>
      <c r="I233">
        <v>2</v>
      </c>
      <c r="J233">
        <v>38999</v>
      </c>
      <c r="K233">
        <v>20</v>
      </c>
      <c r="L233">
        <v>15599.6</v>
      </c>
      <c r="M233">
        <v>62398.400000000001</v>
      </c>
      <c r="N233">
        <v>8398.4</v>
      </c>
      <c r="O233" t="s">
        <v>2749</v>
      </c>
      <c r="P233" t="s">
        <v>2761</v>
      </c>
      <c r="Q233" t="s">
        <v>2758</v>
      </c>
      <c r="R233" t="s">
        <v>24</v>
      </c>
      <c r="S233">
        <v>5</v>
      </c>
      <c r="T233">
        <v>2023</v>
      </c>
      <c r="U233" t="s">
        <v>2752</v>
      </c>
      <c r="V233" t="s">
        <v>2753</v>
      </c>
      <c r="W233">
        <v>5</v>
      </c>
      <c r="X23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33" t="str">
        <f>IF(orders[[#This Row],[Revenue]]&gt;AVERAGE(orders[Revenue])+3*STDEV(orders[Revenue]),"High Outlier",
 IF(orders[[#This Row],[Revenue]]&lt;AVERAGE(orders[Revenue])-3*STDEV(orders[Revenue]),"Low Outlier",
 "Normal"))</f>
        <v>Normal</v>
      </c>
      <c r="Z233">
        <f ca="1" xml:space="preserve"> _xlfn.DAYS(TODAY(), orders[[#This Row],[OrderDate]])</f>
        <v>1134</v>
      </c>
      <c r="AA233"/>
    </row>
    <row r="234" spans="1:27">
      <c r="A234" t="s">
        <v>3017</v>
      </c>
      <c r="B234" t="s">
        <v>2054</v>
      </c>
      <c r="C234" t="s">
        <v>3390</v>
      </c>
      <c r="D234" t="str">
        <f>TEXT(orders[[#This Row],[OrderDate]], "YYYY-MM")</f>
        <v>2024-05</v>
      </c>
      <c r="E234" t="s">
        <v>2809</v>
      </c>
      <c r="F234" s="1">
        <v>45416</v>
      </c>
      <c r="G234" s="1">
        <v>45417</v>
      </c>
      <c r="H234" s="1">
        <v>45417</v>
      </c>
      <c r="I234">
        <v>2</v>
      </c>
      <c r="J234">
        <v>54999</v>
      </c>
      <c r="K234">
        <v>0</v>
      </c>
      <c r="L234">
        <v>0</v>
      </c>
      <c r="M234">
        <v>109998</v>
      </c>
      <c r="N234">
        <v>33998</v>
      </c>
      <c r="O234" t="s">
        <v>2749</v>
      </c>
      <c r="P234" t="s">
        <v>2770</v>
      </c>
      <c r="Q234" t="s">
        <v>2794</v>
      </c>
      <c r="R234" t="s">
        <v>24</v>
      </c>
      <c r="S234">
        <v>3</v>
      </c>
      <c r="T234">
        <v>2024</v>
      </c>
      <c r="U234" t="s">
        <v>2766</v>
      </c>
      <c r="V234" t="s">
        <v>2767</v>
      </c>
      <c r="W234">
        <v>1</v>
      </c>
      <c r="X23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34" t="str">
        <f>IF(orders[[#This Row],[Revenue]]&gt;AVERAGE(orders[Revenue])+3*STDEV(orders[Revenue]),"High Outlier",
 IF(orders[[#This Row],[Revenue]]&lt;AVERAGE(orders[Revenue])-3*STDEV(orders[Revenue]),"Low Outlier",
 "Normal"))</f>
        <v>Normal</v>
      </c>
      <c r="Z234">
        <f ca="1" xml:space="preserve"> _xlfn.DAYS(TODAY(), orders[[#This Row],[OrderDate]])</f>
        <v>726</v>
      </c>
      <c r="AA234"/>
    </row>
    <row r="235" spans="1:27">
      <c r="A235" t="s">
        <v>3018</v>
      </c>
      <c r="B235" t="s">
        <v>2000</v>
      </c>
      <c r="C235" t="s">
        <v>3362</v>
      </c>
      <c r="D235" t="str">
        <f>TEXT(orders[[#This Row],[OrderDate]], "YYYY-MM")</f>
        <v>2024-06</v>
      </c>
      <c r="E235" t="s">
        <v>2809</v>
      </c>
      <c r="F235" s="1">
        <v>45467</v>
      </c>
      <c r="I235">
        <v>5</v>
      </c>
      <c r="J235">
        <v>41900</v>
      </c>
      <c r="K235">
        <v>10</v>
      </c>
      <c r="L235">
        <v>20950</v>
      </c>
      <c r="M235">
        <v>188550</v>
      </c>
      <c r="N235">
        <v>48550</v>
      </c>
      <c r="O235" t="s">
        <v>2756</v>
      </c>
      <c r="P235" t="s">
        <v>2782</v>
      </c>
      <c r="Q235" t="s">
        <v>2794</v>
      </c>
      <c r="R235" t="s">
        <v>24</v>
      </c>
      <c r="T235">
        <v>2024</v>
      </c>
      <c r="U235" t="s">
        <v>2771</v>
      </c>
      <c r="V235" t="s">
        <v>2767</v>
      </c>
      <c r="X23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35" t="str">
        <f>IF(orders[[#This Row],[Revenue]]&gt;AVERAGE(orders[Revenue])+3*STDEV(orders[Revenue]),"High Outlier",
 IF(orders[[#This Row],[Revenue]]&lt;AVERAGE(orders[Revenue])-3*STDEV(orders[Revenue]),"Low Outlier",
 "Normal"))</f>
        <v>Normal</v>
      </c>
      <c r="Z235">
        <f ca="1" xml:space="preserve"> _xlfn.DAYS(TODAY(), orders[[#This Row],[OrderDate]])</f>
        <v>675</v>
      </c>
      <c r="AA235"/>
    </row>
    <row r="236" spans="1:27">
      <c r="A236" t="s">
        <v>3019</v>
      </c>
      <c r="B236" t="s">
        <v>139</v>
      </c>
      <c r="C236" t="s">
        <v>3418</v>
      </c>
      <c r="D236" t="str">
        <f>TEXT(orders[[#This Row],[OrderDate]], "YYYY-MM")</f>
        <v>2023-04</v>
      </c>
      <c r="E236" t="s">
        <v>2776</v>
      </c>
      <c r="F236" s="1">
        <v>45017</v>
      </c>
      <c r="G236" s="1">
        <v>45024</v>
      </c>
      <c r="H236" s="1">
        <v>45025</v>
      </c>
      <c r="I236">
        <v>2</v>
      </c>
      <c r="J236">
        <v>4999</v>
      </c>
      <c r="K236">
        <v>5</v>
      </c>
      <c r="L236">
        <v>499.9</v>
      </c>
      <c r="M236">
        <v>9498.1</v>
      </c>
      <c r="N236">
        <v>3898.1</v>
      </c>
      <c r="O236" t="s">
        <v>2749</v>
      </c>
      <c r="P236" t="s">
        <v>2782</v>
      </c>
      <c r="Q236" t="s">
        <v>2779</v>
      </c>
      <c r="R236" t="s">
        <v>35</v>
      </c>
      <c r="S236">
        <v>2</v>
      </c>
      <c r="T236">
        <v>2023</v>
      </c>
      <c r="U236" t="s">
        <v>2783</v>
      </c>
      <c r="V236" t="s">
        <v>2767</v>
      </c>
      <c r="W236">
        <v>7</v>
      </c>
      <c r="X23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36" t="str">
        <f>IF(orders[[#This Row],[Revenue]]&gt;AVERAGE(orders[Revenue])+3*STDEV(orders[Revenue]),"High Outlier",
 IF(orders[[#This Row],[Revenue]]&lt;AVERAGE(orders[Revenue])-3*STDEV(orders[Revenue]),"Low Outlier",
 "Normal"))</f>
        <v>Normal</v>
      </c>
      <c r="Z236">
        <f ca="1" xml:space="preserve"> _xlfn.DAYS(TODAY(), orders[[#This Row],[OrderDate]])</f>
        <v>1125</v>
      </c>
      <c r="AA236"/>
    </row>
    <row r="237" spans="1:27">
      <c r="A237" t="s">
        <v>3020</v>
      </c>
      <c r="B237" t="s">
        <v>327</v>
      </c>
      <c r="C237" t="s">
        <v>3370</v>
      </c>
      <c r="D237" t="str">
        <f>TEXT(orders[[#This Row],[OrderDate]], "YYYY-MM")</f>
        <v>2022-06</v>
      </c>
      <c r="E237" t="s">
        <v>2809</v>
      </c>
      <c r="F237" s="1">
        <v>44721</v>
      </c>
      <c r="G237" s="1">
        <v>44728</v>
      </c>
      <c r="H237" s="1">
        <v>44731</v>
      </c>
      <c r="I237">
        <v>4</v>
      </c>
      <c r="J237">
        <v>24999</v>
      </c>
      <c r="K237">
        <v>0</v>
      </c>
      <c r="L237">
        <v>0</v>
      </c>
      <c r="M237">
        <v>99996</v>
      </c>
      <c r="N237">
        <v>31996</v>
      </c>
      <c r="O237" t="s">
        <v>2749</v>
      </c>
      <c r="P237" t="s">
        <v>2782</v>
      </c>
      <c r="Q237" t="s">
        <v>2762</v>
      </c>
      <c r="R237" t="s">
        <v>24</v>
      </c>
      <c r="S237">
        <v>1</v>
      </c>
      <c r="T237">
        <v>2022</v>
      </c>
      <c r="U237" t="s">
        <v>2771</v>
      </c>
      <c r="V237" t="s">
        <v>2767</v>
      </c>
      <c r="W237">
        <v>7</v>
      </c>
      <c r="X23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37" t="str">
        <f>IF(orders[[#This Row],[Revenue]]&gt;AVERAGE(orders[Revenue])+3*STDEV(orders[Revenue]),"High Outlier",
 IF(orders[[#This Row],[Revenue]]&lt;AVERAGE(orders[Revenue])-3*STDEV(orders[Revenue]),"Low Outlier",
 "Normal"))</f>
        <v>Normal</v>
      </c>
      <c r="Z237">
        <f ca="1" xml:space="preserve"> _xlfn.DAYS(TODAY(), orders[[#This Row],[OrderDate]])</f>
        <v>1421</v>
      </c>
      <c r="AA237"/>
    </row>
    <row r="238" spans="1:27">
      <c r="A238" t="s">
        <v>3021</v>
      </c>
      <c r="B238" t="s">
        <v>2262</v>
      </c>
      <c r="C238" t="s">
        <v>3409</v>
      </c>
      <c r="D238" t="str">
        <f>TEXT(orders[[#This Row],[OrderDate]], "YYYY-MM")</f>
        <v>2024-08</v>
      </c>
      <c r="E238" t="s">
        <v>2748</v>
      </c>
      <c r="F238" s="1">
        <v>45522</v>
      </c>
      <c r="G238" s="1">
        <v>45525</v>
      </c>
      <c r="H238" s="1">
        <v>45525</v>
      </c>
      <c r="I238">
        <v>1</v>
      </c>
      <c r="J238">
        <v>7499</v>
      </c>
      <c r="K238">
        <v>5</v>
      </c>
      <c r="L238">
        <v>374.95</v>
      </c>
      <c r="M238">
        <v>7124.05</v>
      </c>
      <c r="N238">
        <v>2324.0500000000002</v>
      </c>
      <c r="O238" t="s">
        <v>2749</v>
      </c>
      <c r="P238" t="s">
        <v>2778</v>
      </c>
      <c r="Q238" t="s">
        <v>2762</v>
      </c>
      <c r="R238" t="s">
        <v>188</v>
      </c>
      <c r="S238">
        <v>1</v>
      </c>
      <c r="T238">
        <v>2024</v>
      </c>
      <c r="U238" t="s">
        <v>2773</v>
      </c>
      <c r="V238" t="s">
        <v>2774</v>
      </c>
      <c r="W238">
        <v>3</v>
      </c>
      <c r="X23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38" t="str">
        <f>IF(orders[[#This Row],[Revenue]]&gt;AVERAGE(orders[Revenue])+3*STDEV(orders[Revenue]),"High Outlier",
 IF(orders[[#This Row],[Revenue]]&lt;AVERAGE(orders[Revenue])-3*STDEV(orders[Revenue]),"Low Outlier",
 "Normal"))</f>
        <v>Normal</v>
      </c>
      <c r="Z238">
        <f ca="1" xml:space="preserve"> _xlfn.DAYS(TODAY(), orders[[#This Row],[OrderDate]])</f>
        <v>620</v>
      </c>
      <c r="AA238"/>
    </row>
    <row r="239" spans="1:27">
      <c r="A239" t="s">
        <v>3022</v>
      </c>
      <c r="B239" t="s">
        <v>2233</v>
      </c>
      <c r="C239" t="s">
        <v>3319</v>
      </c>
      <c r="D239" t="str">
        <f>TEXT(orders[[#This Row],[OrderDate]], "YYYY-MM")</f>
        <v>2023-02</v>
      </c>
      <c r="E239" t="s">
        <v>2809</v>
      </c>
      <c r="F239" s="1">
        <v>44971</v>
      </c>
      <c r="G239" s="1">
        <v>44977</v>
      </c>
      <c r="H239" s="1">
        <v>44979</v>
      </c>
      <c r="I239">
        <v>1</v>
      </c>
      <c r="J239">
        <v>55990</v>
      </c>
      <c r="K239">
        <v>0</v>
      </c>
      <c r="L239">
        <v>0</v>
      </c>
      <c r="M239">
        <v>55990</v>
      </c>
      <c r="N239">
        <v>15990</v>
      </c>
      <c r="O239" t="s">
        <v>2749</v>
      </c>
      <c r="P239" t="s">
        <v>2782</v>
      </c>
      <c r="Q239" t="s">
        <v>2794</v>
      </c>
      <c r="R239" t="s">
        <v>24</v>
      </c>
      <c r="S239">
        <v>5</v>
      </c>
      <c r="T239">
        <v>2023</v>
      </c>
      <c r="U239" t="s">
        <v>2759</v>
      </c>
      <c r="V239" t="s">
        <v>2753</v>
      </c>
      <c r="W239">
        <v>6</v>
      </c>
      <c r="X23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39" t="str">
        <f>IF(orders[[#This Row],[Revenue]]&gt;AVERAGE(orders[Revenue])+3*STDEV(orders[Revenue]),"High Outlier",
 IF(orders[[#This Row],[Revenue]]&lt;AVERAGE(orders[Revenue])-3*STDEV(orders[Revenue]),"Low Outlier",
 "Normal"))</f>
        <v>Normal</v>
      </c>
      <c r="Z239">
        <f ca="1" xml:space="preserve"> _xlfn.DAYS(TODAY(), orders[[#This Row],[OrderDate]])</f>
        <v>1171</v>
      </c>
      <c r="AA239"/>
    </row>
    <row r="240" spans="1:27">
      <c r="A240" t="s">
        <v>3023</v>
      </c>
      <c r="B240" t="s">
        <v>1119</v>
      </c>
      <c r="C240" t="s">
        <v>3362</v>
      </c>
      <c r="D240" t="str">
        <f>TEXT(orders[[#This Row],[OrderDate]], "YYYY-MM")</f>
        <v>2024-10</v>
      </c>
      <c r="E240" t="s">
        <v>2809</v>
      </c>
      <c r="F240" s="1">
        <v>45587</v>
      </c>
      <c r="I240">
        <v>5</v>
      </c>
      <c r="J240">
        <v>41900</v>
      </c>
      <c r="K240">
        <v>5</v>
      </c>
      <c r="L240">
        <v>10475</v>
      </c>
      <c r="M240">
        <v>199025</v>
      </c>
      <c r="N240">
        <v>59025</v>
      </c>
      <c r="O240" t="s">
        <v>2781</v>
      </c>
      <c r="P240" t="s">
        <v>2761</v>
      </c>
      <c r="Q240" t="s">
        <v>2758</v>
      </c>
      <c r="R240" t="s">
        <v>24</v>
      </c>
      <c r="T240">
        <v>2024</v>
      </c>
      <c r="U240" t="s">
        <v>2788</v>
      </c>
      <c r="V240" t="s">
        <v>2764</v>
      </c>
      <c r="X24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40" t="str">
        <f>IF(orders[[#This Row],[Revenue]]&gt;AVERAGE(orders[Revenue])+3*STDEV(orders[Revenue]),"High Outlier",
 IF(orders[[#This Row],[Revenue]]&lt;AVERAGE(orders[Revenue])-3*STDEV(orders[Revenue]),"Low Outlier",
 "Normal"))</f>
        <v>Normal</v>
      </c>
      <c r="Z240">
        <f ca="1" xml:space="preserve"> _xlfn.DAYS(TODAY(), orders[[#This Row],[OrderDate]])</f>
        <v>555</v>
      </c>
      <c r="AA240"/>
    </row>
    <row r="241" spans="1:27">
      <c r="A241" t="s">
        <v>3024</v>
      </c>
      <c r="B241" t="s">
        <v>285</v>
      </c>
      <c r="C241" t="s">
        <v>3319</v>
      </c>
      <c r="D241" t="str">
        <f>TEXT(orders[[#This Row],[OrderDate]], "YYYY-MM")</f>
        <v>2024-12</v>
      </c>
      <c r="E241" t="s">
        <v>2809</v>
      </c>
      <c r="F241" s="1">
        <v>45645</v>
      </c>
      <c r="G241" s="1">
        <v>45651</v>
      </c>
      <c r="H241" s="1">
        <v>45652</v>
      </c>
      <c r="I241">
        <v>3</v>
      </c>
      <c r="J241">
        <v>55990</v>
      </c>
      <c r="K241">
        <v>0</v>
      </c>
      <c r="L241">
        <v>0</v>
      </c>
      <c r="M241">
        <v>167970</v>
      </c>
      <c r="N241">
        <v>47970</v>
      </c>
      <c r="O241" t="s">
        <v>2749</v>
      </c>
      <c r="P241" t="s">
        <v>2761</v>
      </c>
      <c r="Q241" t="s">
        <v>2762</v>
      </c>
      <c r="R241" t="s">
        <v>24</v>
      </c>
      <c r="S241">
        <v>1</v>
      </c>
      <c r="T241">
        <v>2024</v>
      </c>
      <c r="U241" t="s">
        <v>2763</v>
      </c>
      <c r="V241" t="s">
        <v>2764</v>
      </c>
      <c r="W241">
        <v>6</v>
      </c>
      <c r="X24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41" t="str">
        <f>IF(orders[[#This Row],[Revenue]]&gt;AVERAGE(orders[Revenue])+3*STDEV(orders[Revenue]),"High Outlier",
 IF(orders[[#This Row],[Revenue]]&lt;AVERAGE(orders[Revenue])-3*STDEV(orders[Revenue]),"Low Outlier",
 "Normal"))</f>
        <v>Normal</v>
      </c>
      <c r="Z241">
        <f ca="1" xml:space="preserve"> _xlfn.DAYS(TODAY(), orders[[#This Row],[OrderDate]])</f>
        <v>497</v>
      </c>
      <c r="AA241"/>
    </row>
    <row r="242" spans="1:27">
      <c r="A242" t="s">
        <v>3025</v>
      </c>
      <c r="B242" t="s">
        <v>2595</v>
      </c>
      <c r="C242" t="s">
        <v>3336</v>
      </c>
      <c r="D242" t="str">
        <f>TEXT(orders[[#This Row],[OrderDate]], "YYYY-MM")</f>
        <v>2024-01</v>
      </c>
      <c r="E242" t="s">
        <v>2755</v>
      </c>
      <c r="F242" s="1">
        <v>45312</v>
      </c>
      <c r="I242">
        <v>5</v>
      </c>
      <c r="J242">
        <v>26990</v>
      </c>
      <c r="K242">
        <v>0</v>
      </c>
      <c r="L242">
        <v>0</v>
      </c>
      <c r="M242">
        <v>134950</v>
      </c>
      <c r="N242">
        <v>44950</v>
      </c>
      <c r="O242" t="s">
        <v>2781</v>
      </c>
      <c r="P242" t="s">
        <v>2770</v>
      </c>
      <c r="Q242" t="s">
        <v>2762</v>
      </c>
      <c r="R242" t="s">
        <v>24</v>
      </c>
      <c r="T242">
        <v>2024</v>
      </c>
      <c r="U242" t="s">
        <v>2795</v>
      </c>
      <c r="V242" t="s">
        <v>2753</v>
      </c>
      <c r="X24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42" t="str">
        <f>IF(orders[[#This Row],[Revenue]]&gt;AVERAGE(orders[Revenue])+3*STDEV(orders[Revenue]),"High Outlier",
 IF(orders[[#This Row],[Revenue]]&lt;AVERAGE(orders[Revenue])-3*STDEV(orders[Revenue]),"Low Outlier",
 "Normal"))</f>
        <v>Normal</v>
      </c>
      <c r="Z242">
        <f ca="1" xml:space="preserve"> _xlfn.DAYS(TODAY(), orders[[#This Row],[OrderDate]])</f>
        <v>830</v>
      </c>
      <c r="AA242"/>
    </row>
    <row r="243" spans="1:27">
      <c r="A243" t="s">
        <v>3026</v>
      </c>
      <c r="B243" t="s">
        <v>648</v>
      </c>
      <c r="C243" t="s">
        <v>3362</v>
      </c>
      <c r="D243" t="str">
        <f>TEXT(orders[[#This Row],[OrderDate]], "YYYY-MM")</f>
        <v>2024-05</v>
      </c>
      <c r="E243" t="s">
        <v>2769</v>
      </c>
      <c r="F243" s="1">
        <v>45430</v>
      </c>
      <c r="G243" s="1">
        <v>45435</v>
      </c>
      <c r="H243" s="1">
        <v>45436</v>
      </c>
      <c r="I243">
        <v>4</v>
      </c>
      <c r="J243">
        <v>41900</v>
      </c>
      <c r="K243">
        <v>0</v>
      </c>
      <c r="L243">
        <v>0</v>
      </c>
      <c r="M243">
        <v>167600</v>
      </c>
      <c r="N243">
        <v>55600</v>
      </c>
      <c r="O243" t="s">
        <v>2749</v>
      </c>
      <c r="P243" t="s">
        <v>2750</v>
      </c>
      <c r="Q243" t="s">
        <v>2762</v>
      </c>
      <c r="R243" t="s">
        <v>46</v>
      </c>
      <c r="S243">
        <v>4</v>
      </c>
      <c r="T243">
        <v>2024</v>
      </c>
      <c r="U243" t="s">
        <v>2766</v>
      </c>
      <c r="V243" t="s">
        <v>2767</v>
      </c>
      <c r="W243">
        <v>5</v>
      </c>
      <c r="X24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43" t="str">
        <f>IF(orders[[#This Row],[Revenue]]&gt;AVERAGE(orders[Revenue])+3*STDEV(orders[Revenue]),"High Outlier",
 IF(orders[[#This Row],[Revenue]]&lt;AVERAGE(orders[Revenue])-3*STDEV(orders[Revenue]),"Low Outlier",
 "Normal"))</f>
        <v>Normal</v>
      </c>
      <c r="Z243">
        <f ca="1" xml:space="preserve"> _xlfn.DAYS(TODAY(), orders[[#This Row],[OrderDate]])</f>
        <v>712</v>
      </c>
      <c r="AA243"/>
    </row>
    <row r="244" spans="1:27">
      <c r="A244" t="s">
        <v>3027</v>
      </c>
      <c r="B244" t="s">
        <v>432</v>
      </c>
      <c r="C244" t="s">
        <v>3384</v>
      </c>
      <c r="D244" t="str">
        <f>TEXT(orders[[#This Row],[OrderDate]], "YYYY-MM")</f>
        <v>2024-10</v>
      </c>
      <c r="E244" t="s">
        <v>2748</v>
      </c>
      <c r="F244" s="1">
        <v>45577</v>
      </c>
      <c r="G244" s="1">
        <v>45583</v>
      </c>
      <c r="H244" s="1">
        <v>45585</v>
      </c>
      <c r="I244">
        <v>5</v>
      </c>
      <c r="J244">
        <v>59900</v>
      </c>
      <c r="K244">
        <v>0</v>
      </c>
      <c r="L244">
        <v>0</v>
      </c>
      <c r="M244">
        <v>299500</v>
      </c>
      <c r="N244">
        <v>89500</v>
      </c>
      <c r="O244" t="s">
        <v>2749</v>
      </c>
      <c r="P244" t="s">
        <v>2757</v>
      </c>
      <c r="Q244" t="s">
        <v>2794</v>
      </c>
      <c r="R244" t="s">
        <v>188</v>
      </c>
      <c r="S244">
        <v>4</v>
      </c>
      <c r="T244">
        <v>2024</v>
      </c>
      <c r="U244" t="s">
        <v>2788</v>
      </c>
      <c r="V244" t="s">
        <v>2764</v>
      </c>
      <c r="W244">
        <v>6</v>
      </c>
      <c r="X24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44" t="str">
        <f>IF(orders[[#This Row],[Revenue]]&gt;AVERAGE(orders[Revenue])+3*STDEV(orders[Revenue]),"High Outlier",
 IF(orders[[#This Row],[Revenue]]&lt;AVERAGE(orders[Revenue])-3*STDEV(orders[Revenue]),"Low Outlier",
 "Normal"))</f>
        <v>Normal</v>
      </c>
      <c r="Z244">
        <f ca="1" xml:space="preserve"> _xlfn.DAYS(TODAY(), orders[[#This Row],[OrderDate]])</f>
        <v>565</v>
      </c>
      <c r="AA244"/>
    </row>
    <row r="245" spans="1:27">
      <c r="A245" t="s">
        <v>3028</v>
      </c>
      <c r="B245" t="s">
        <v>451</v>
      </c>
      <c r="C245" t="s">
        <v>3366</v>
      </c>
      <c r="D245" t="str">
        <f>TEXT(orders[[#This Row],[OrderDate]], "YYYY-MM")</f>
        <v>2024-07</v>
      </c>
      <c r="E245" t="s">
        <v>2785</v>
      </c>
      <c r="F245" s="1">
        <v>45497</v>
      </c>
      <c r="I245">
        <v>3</v>
      </c>
      <c r="J245">
        <v>19999</v>
      </c>
      <c r="K245">
        <v>15</v>
      </c>
      <c r="L245">
        <v>8999.5499999999993</v>
      </c>
      <c r="M245">
        <v>50997.45</v>
      </c>
      <c r="N245">
        <v>11997.45</v>
      </c>
      <c r="O245" t="s">
        <v>2756</v>
      </c>
      <c r="P245" t="s">
        <v>2782</v>
      </c>
      <c r="Q245" t="s">
        <v>2758</v>
      </c>
      <c r="R245" t="s">
        <v>188</v>
      </c>
      <c r="T245">
        <v>2024</v>
      </c>
      <c r="U245" t="s">
        <v>2792</v>
      </c>
      <c r="V245" t="s">
        <v>2774</v>
      </c>
      <c r="X24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45" t="str">
        <f>IF(orders[[#This Row],[Revenue]]&gt;AVERAGE(orders[Revenue])+3*STDEV(orders[Revenue]),"High Outlier",
 IF(orders[[#This Row],[Revenue]]&lt;AVERAGE(orders[Revenue])-3*STDEV(orders[Revenue]),"Low Outlier",
 "Normal"))</f>
        <v>Normal</v>
      </c>
      <c r="Z245">
        <f ca="1" xml:space="preserve"> _xlfn.DAYS(TODAY(), orders[[#This Row],[OrderDate]])</f>
        <v>645</v>
      </c>
      <c r="AA245"/>
    </row>
    <row r="246" spans="1:27">
      <c r="A246" t="s">
        <v>3029</v>
      </c>
      <c r="B246" t="s">
        <v>1270</v>
      </c>
      <c r="C246" t="s">
        <v>3350</v>
      </c>
      <c r="D246" t="str">
        <f>TEXT(orders[[#This Row],[OrderDate]], "YYYY-MM")</f>
        <v>2023-01</v>
      </c>
      <c r="E246" t="s">
        <v>2785</v>
      </c>
      <c r="F246" s="1">
        <v>44948</v>
      </c>
      <c r="G246" s="1">
        <v>44955</v>
      </c>
      <c r="H246" s="1">
        <v>44958</v>
      </c>
      <c r="I246">
        <v>3</v>
      </c>
      <c r="J246">
        <v>12999</v>
      </c>
      <c r="K246">
        <v>0</v>
      </c>
      <c r="L246">
        <v>0</v>
      </c>
      <c r="M246">
        <v>38997</v>
      </c>
      <c r="N246">
        <v>14997</v>
      </c>
      <c r="O246" t="s">
        <v>2749</v>
      </c>
      <c r="P246" t="s">
        <v>2757</v>
      </c>
      <c r="Q246" t="s">
        <v>2751</v>
      </c>
      <c r="R246" t="s">
        <v>188</v>
      </c>
      <c r="S246">
        <v>1</v>
      </c>
      <c r="T246">
        <v>2023</v>
      </c>
      <c r="U246" t="s">
        <v>2795</v>
      </c>
      <c r="V246" t="s">
        <v>2753</v>
      </c>
      <c r="W246">
        <v>7</v>
      </c>
      <c r="X24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46" t="str">
        <f>IF(orders[[#This Row],[Revenue]]&gt;AVERAGE(orders[Revenue])+3*STDEV(orders[Revenue]),"High Outlier",
 IF(orders[[#This Row],[Revenue]]&lt;AVERAGE(orders[Revenue])-3*STDEV(orders[Revenue]),"Low Outlier",
 "Normal"))</f>
        <v>Normal</v>
      </c>
      <c r="Z246">
        <f ca="1" xml:space="preserve"> _xlfn.DAYS(TODAY(), orders[[#This Row],[OrderDate]])</f>
        <v>1194</v>
      </c>
      <c r="AA246"/>
    </row>
    <row r="247" spans="1:27">
      <c r="A247" t="s">
        <v>3030</v>
      </c>
      <c r="B247" t="s">
        <v>1239</v>
      </c>
      <c r="C247" t="s">
        <v>3374</v>
      </c>
      <c r="D247" t="str">
        <f>TEXT(orders[[#This Row],[OrderDate]], "YYYY-MM")</f>
        <v>2022-09</v>
      </c>
      <c r="E247" t="s">
        <v>2809</v>
      </c>
      <c r="F247" s="1">
        <v>44806</v>
      </c>
      <c r="G247" s="1">
        <v>44810</v>
      </c>
      <c r="H247" s="1">
        <v>44813</v>
      </c>
      <c r="I247">
        <v>5</v>
      </c>
      <c r="J247">
        <v>64999</v>
      </c>
      <c r="K247">
        <v>0</v>
      </c>
      <c r="L247">
        <v>0</v>
      </c>
      <c r="M247">
        <v>324995</v>
      </c>
      <c r="N247">
        <v>99995</v>
      </c>
      <c r="O247" t="s">
        <v>2749</v>
      </c>
      <c r="P247" t="s">
        <v>2778</v>
      </c>
      <c r="Q247" t="s">
        <v>2779</v>
      </c>
      <c r="R247" t="s">
        <v>24</v>
      </c>
      <c r="S247">
        <v>1</v>
      </c>
      <c r="T247">
        <v>2022</v>
      </c>
      <c r="U247" t="s">
        <v>2790</v>
      </c>
      <c r="V247" t="s">
        <v>2774</v>
      </c>
      <c r="W247">
        <v>4</v>
      </c>
      <c r="X24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47" t="str">
        <f>IF(orders[[#This Row],[Revenue]]&gt;AVERAGE(orders[Revenue])+3*STDEV(orders[Revenue]),"High Outlier",
 IF(orders[[#This Row],[Revenue]]&lt;AVERAGE(orders[Revenue])-3*STDEV(orders[Revenue]),"Low Outlier",
 "Normal"))</f>
        <v>Normal</v>
      </c>
      <c r="Z247">
        <f ca="1" xml:space="preserve"> _xlfn.DAYS(TODAY(), orders[[#This Row],[OrderDate]])</f>
        <v>1336</v>
      </c>
      <c r="AA247"/>
    </row>
    <row r="248" spans="1:27">
      <c r="A248" t="s">
        <v>3031</v>
      </c>
      <c r="B248" t="s">
        <v>1158</v>
      </c>
      <c r="C248" t="s">
        <v>3336</v>
      </c>
      <c r="D248" t="str">
        <f>TEXT(orders[[#This Row],[OrderDate]], "YYYY-MM")</f>
        <v>2023-02</v>
      </c>
      <c r="E248" t="s">
        <v>2755</v>
      </c>
      <c r="F248" s="1">
        <v>44972</v>
      </c>
      <c r="I248">
        <v>4</v>
      </c>
      <c r="J248">
        <v>26990</v>
      </c>
      <c r="K248">
        <v>0</v>
      </c>
      <c r="L248">
        <v>0</v>
      </c>
      <c r="M248">
        <v>107960</v>
      </c>
      <c r="N248">
        <v>35960</v>
      </c>
      <c r="O248" t="s">
        <v>2756</v>
      </c>
      <c r="P248" t="s">
        <v>2782</v>
      </c>
      <c r="Q248" t="s">
        <v>2751</v>
      </c>
      <c r="R248" t="s">
        <v>24</v>
      </c>
      <c r="T248">
        <v>2023</v>
      </c>
      <c r="U248" t="s">
        <v>2759</v>
      </c>
      <c r="V248" t="s">
        <v>2753</v>
      </c>
      <c r="X24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48" t="str">
        <f>IF(orders[[#This Row],[Revenue]]&gt;AVERAGE(orders[Revenue])+3*STDEV(orders[Revenue]),"High Outlier",
 IF(orders[[#This Row],[Revenue]]&lt;AVERAGE(orders[Revenue])-3*STDEV(orders[Revenue]),"Low Outlier",
 "Normal"))</f>
        <v>Normal</v>
      </c>
      <c r="Z248">
        <f ca="1" xml:space="preserve"> _xlfn.DAYS(TODAY(), orders[[#This Row],[OrderDate]])</f>
        <v>1170</v>
      </c>
      <c r="AA248"/>
    </row>
    <row r="249" spans="1:27">
      <c r="A249" t="s">
        <v>3032</v>
      </c>
      <c r="B249" t="s">
        <v>2089</v>
      </c>
      <c r="C249" t="s">
        <v>3379</v>
      </c>
      <c r="D249" t="str">
        <f>TEXT(orders[[#This Row],[OrderDate]], "YYYY-MM")</f>
        <v>2023-07</v>
      </c>
      <c r="E249" t="s">
        <v>2785</v>
      </c>
      <c r="F249" s="1">
        <v>45121</v>
      </c>
      <c r="I249">
        <v>4</v>
      </c>
      <c r="J249">
        <v>29999</v>
      </c>
      <c r="K249">
        <v>10</v>
      </c>
      <c r="L249">
        <v>11999.6</v>
      </c>
      <c r="M249">
        <v>107996.4</v>
      </c>
      <c r="N249">
        <v>27996.400000000001</v>
      </c>
      <c r="O249" t="s">
        <v>2781</v>
      </c>
      <c r="P249" t="s">
        <v>2770</v>
      </c>
      <c r="Q249" t="s">
        <v>2758</v>
      </c>
      <c r="R249" t="s">
        <v>188</v>
      </c>
      <c r="T249">
        <v>2023</v>
      </c>
      <c r="U249" t="s">
        <v>2792</v>
      </c>
      <c r="V249" t="s">
        <v>2774</v>
      </c>
      <c r="X24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49" t="str">
        <f>IF(orders[[#This Row],[Revenue]]&gt;AVERAGE(orders[Revenue])+3*STDEV(orders[Revenue]),"High Outlier",
 IF(orders[[#This Row],[Revenue]]&lt;AVERAGE(orders[Revenue])-3*STDEV(orders[Revenue]),"Low Outlier",
 "Normal"))</f>
        <v>Normal</v>
      </c>
      <c r="Z249">
        <f ca="1" xml:space="preserve"> _xlfn.DAYS(TODAY(), orders[[#This Row],[OrderDate]])</f>
        <v>1021</v>
      </c>
      <c r="AA249"/>
    </row>
    <row r="250" spans="1:27">
      <c r="A250" t="s">
        <v>3033</v>
      </c>
      <c r="B250" t="s">
        <v>2659</v>
      </c>
      <c r="C250" t="s">
        <v>3366</v>
      </c>
      <c r="D250" t="str">
        <f>TEXT(orders[[#This Row],[OrderDate]], "YYYY-MM")</f>
        <v>2024-11</v>
      </c>
      <c r="E250" t="s">
        <v>2755</v>
      </c>
      <c r="F250" s="1">
        <v>45609</v>
      </c>
      <c r="G250" s="1">
        <v>45611</v>
      </c>
      <c r="H250" s="1">
        <v>45614</v>
      </c>
      <c r="I250">
        <v>1</v>
      </c>
      <c r="J250">
        <v>19999</v>
      </c>
      <c r="K250">
        <v>0</v>
      </c>
      <c r="L250">
        <v>0</v>
      </c>
      <c r="M250">
        <v>19999</v>
      </c>
      <c r="N250">
        <v>6999</v>
      </c>
      <c r="O250" t="s">
        <v>2749</v>
      </c>
      <c r="P250" t="s">
        <v>2750</v>
      </c>
      <c r="Q250" t="s">
        <v>2751</v>
      </c>
      <c r="R250" t="s">
        <v>24</v>
      </c>
      <c r="S250">
        <v>4</v>
      </c>
      <c r="T250">
        <v>2024</v>
      </c>
      <c r="U250" t="s">
        <v>2786</v>
      </c>
      <c r="V250" t="s">
        <v>2764</v>
      </c>
      <c r="W250">
        <v>2</v>
      </c>
      <c r="X25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50" t="str">
        <f>IF(orders[[#This Row],[Revenue]]&gt;AVERAGE(orders[Revenue])+3*STDEV(orders[Revenue]),"High Outlier",
 IF(orders[[#This Row],[Revenue]]&lt;AVERAGE(orders[Revenue])-3*STDEV(orders[Revenue]),"Low Outlier",
 "Normal"))</f>
        <v>Normal</v>
      </c>
      <c r="Z250">
        <f ca="1" xml:space="preserve"> _xlfn.DAYS(TODAY(), orders[[#This Row],[OrderDate]])</f>
        <v>533</v>
      </c>
      <c r="AA250"/>
    </row>
    <row r="251" spans="1:27">
      <c r="A251" t="s">
        <v>3034</v>
      </c>
      <c r="B251" t="s">
        <v>793</v>
      </c>
      <c r="C251" t="s">
        <v>3405</v>
      </c>
      <c r="D251" t="str">
        <f>TEXT(orders[[#This Row],[OrderDate]], "YYYY-MM")</f>
        <v>2022-03</v>
      </c>
      <c r="E251" t="s">
        <v>2748</v>
      </c>
      <c r="F251" s="1">
        <v>44622</v>
      </c>
      <c r="G251" s="1">
        <v>44628</v>
      </c>
      <c r="H251" s="1">
        <v>44628</v>
      </c>
      <c r="I251">
        <v>1</v>
      </c>
      <c r="J251">
        <v>8495</v>
      </c>
      <c r="K251">
        <v>15</v>
      </c>
      <c r="L251">
        <v>1274.25</v>
      </c>
      <c r="M251">
        <v>7220.75</v>
      </c>
      <c r="N251">
        <v>1720.75</v>
      </c>
      <c r="O251" t="s">
        <v>2749</v>
      </c>
      <c r="P251" t="s">
        <v>2778</v>
      </c>
      <c r="Q251" t="s">
        <v>2762</v>
      </c>
      <c r="R251" t="s">
        <v>188</v>
      </c>
      <c r="S251">
        <v>2</v>
      </c>
      <c r="T251">
        <v>2022</v>
      </c>
      <c r="U251" t="s">
        <v>2752</v>
      </c>
      <c r="V251" t="s">
        <v>2753</v>
      </c>
      <c r="W251">
        <v>6</v>
      </c>
      <c r="X25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51" t="str">
        <f>IF(orders[[#This Row],[Revenue]]&gt;AVERAGE(orders[Revenue])+3*STDEV(orders[Revenue]),"High Outlier",
 IF(orders[[#This Row],[Revenue]]&lt;AVERAGE(orders[Revenue])-3*STDEV(orders[Revenue]),"Low Outlier",
 "Normal"))</f>
        <v>Normal</v>
      </c>
      <c r="Z251">
        <f ca="1" xml:space="preserve"> _xlfn.DAYS(TODAY(), orders[[#This Row],[OrderDate]])</f>
        <v>1520</v>
      </c>
      <c r="AA251"/>
    </row>
    <row r="252" spans="1:27">
      <c r="A252" t="s">
        <v>3035</v>
      </c>
      <c r="B252" t="s">
        <v>1204</v>
      </c>
      <c r="C252" t="s">
        <v>3399</v>
      </c>
      <c r="D252" t="str">
        <f>TEXT(orders[[#This Row],[OrderDate]], "YYYY-MM")</f>
        <v>2022-11</v>
      </c>
      <c r="E252" t="s">
        <v>2776</v>
      </c>
      <c r="F252" s="1">
        <v>44874</v>
      </c>
      <c r="G252" s="1">
        <v>44879</v>
      </c>
      <c r="H252" s="1">
        <v>44879</v>
      </c>
      <c r="I252">
        <v>1</v>
      </c>
      <c r="J252">
        <v>3499</v>
      </c>
      <c r="K252">
        <v>20</v>
      </c>
      <c r="L252">
        <v>699.8</v>
      </c>
      <c r="M252">
        <v>2799.2</v>
      </c>
      <c r="N252">
        <v>999.2</v>
      </c>
      <c r="O252" t="s">
        <v>2749</v>
      </c>
      <c r="P252" t="s">
        <v>2770</v>
      </c>
      <c r="Q252" t="s">
        <v>2751</v>
      </c>
      <c r="R252" t="s">
        <v>35</v>
      </c>
      <c r="S252">
        <v>2</v>
      </c>
      <c r="T252">
        <v>2022</v>
      </c>
      <c r="U252" t="s">
        <v>2786</v>
      </c>
      <c r="V252" t="s">
        <v>2764</v>
      </c>
      <c r="W252">
        <v>5</v>
      </c>
      <c r="X25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52" t="str">
        <f>IF(orders[[#This Row],[Revenue]]&gt;AVERAGE(orders[Revenue])+3*STDEV(orders[Revenue]),"High Outlier",
 IF(orders[[#This Row],[Revenue]]&lt;AVERAGE(orders[Revenue])-3*STDEV(orders[Revenue]),"Low Outlier",
 "Normal"))</f>
        <v>Normal</v>
      </c>
      <c r="Z252">
        <f ca="1" xml:space="preserve"> _xlfn.DAYS(TODAY(), orders[[#This Row],[OrderDate]])</f>
        <v>1268</v>
      </c>
      <c r="AA252"/>
    </row>
    <row r="253" spans="1:27">
      <c r="A253" t="s">
        <v>3036</v>
      </c>
      <c r="B253" t="s">
        <v>972</v>
      </c>
      <c r="C253" t="s">
        <v>3409</v>
      </c>
      <c r="D253" t="str">
        <f>TEXT(orders[[#This Row],[OrderDate]], "YYYY-MM")</f>
        <v>2024-10</v>
      </c>
      <c r="E253" t="s">
        <v>2769</v>
      </c>
      <c r="F253" s="1">
        <v>45566</v>
      </c>
      <c r="I253">
        <v>3</v>
      </c>
      <c r="J253">
        <v>7499</v>
      </c>
      <c r="K253">
        <v>20</v>
      </c>
      <c r="L253">
        <v>4499.3999999999996</v>
      </c>
      <c r="M253">
        <v>17997.599999999999</v>
      </c>
      <c r="N253">
        <v>3597.6</v>
      </c>
      <c r="O253" t="s">
        <v>2756</v>
      </c>
      <c r="P253" t="s">
        <v>2750</v>
      </c>
      <c r="Q253" t="s">
        <v>2758</v>
      </c>
      <c r="R253" t="s">
        <v>46</v>
      </c>
      <c r="T253">
        <v>2024</v>
      </c>
      <c r="U253" t="s">
        <v>2788</v>
      </c>
      <c r="V253" t="s">
        <v>2764</v>
      </c>
      <c r="X25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53" t="str">
        <f>IF(orders[[#This Row],[Revenue]]&gt;AVERAGE(orders[Revenue])+3*STDEV(orders[Revenue]),"High Outlier",
 IF(orders[[#This Row],[Revenue]]&lt;AVERAGE(orders[Revenue])-3*STDEV(orders[Revenue]),"Low Outlier",
 "Normal"))</f>
        <v>Normal</v>
      </c>
      <c r="Z253">
        <f ca="1" xml:space="preserve"> _xlfn.DAYS(TODAY(), orders[[#This Row],[OrderDate]])</f>
        <v>576</v>
      </c>
      <c r="AA253"/>
    </row>
    <row r="254" spans="1:27">
      <c r="A254" t="s">
        <v>3037</v>
      </c>
      <c r="B254" t="s">
        <v>1628</v>
      </c>
      <c r="C254" t="s">
        <v>3298</v>
      </c>
      <c r="D254" t="str">
        <f>TEXT(orders[[#This Row],[OrderDate]], "YYYY-MM")</f>
        <v>2024-05</v>
      </c>
      <c r="E254" t="s">
        <v>2809</v>
      </c>
      <c r="F254" s="1">
        <v>45443</v>
      </c>
      <c r="G254" s="1">
        <v>45447</v>
      </c>
      <c r="H254" s="1">
        <v>45450</v>
      </c>
      <c r="I254">
        <v>3</v>
      </c>
      <c r="J254">
        <v>79999</v>
      </c>
      <c r="K254">
        <v>10</v>
      </c>
      <c r="L254">
        <v>23999.7</v>
      </c>
      <c r="M254">
        <v>215997.3</v>
      </c>
      <c r="N254">
        <v>50997.3</v>
      </c>
      <c r="O254" t="s">
        <v>2749</v>
      </c>
      <c r="P254" t="s">
        <v>2770</v>
      </c>
      <c r="Q254" t="s">
        <v>2751</v>
      </c>
      <c r="R254" t="s">
        <v>24</v>
      </c>
      <c r="S254">
        <v>1</v>
      </c>
      <c r="T254">
        <v>2024</v>
      </c>
      <c r="U254" t="s">
        <v>2766</v>
      </c>
      <c r="V254" t="s">
        <v>2767</v>
      </c>
      <c r="W254">
        <v>4</v>
      </c>
      <c r="X25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54" t="str">
        <f>IF(orders[[#This Row],[Revenue]]&gt;AVERAGE(orders[Revenue])+3*STDEV(orders[Revenue]),"High Outlier",
 IF(orders[[#This Row],[Revenue]]&lt;AVERAGE(orders[Revenue])-3*STDEV(orders[Revenue]),"Low Outlier",
 "Normal"))</f>
        <v>Normal</v>
      </c>
      <c r="Z254">
        <f ca="1" xml:space="preserve"> _xlfn.DAYS(TODAY(), orders[[#This Row],[OrderDate]])</f>
        <v>699</v>
      </c>
      <c r="AA254"/>
    </row>
    <row r="255" spans="1:27">
      <c r="A255" t="s">
        <v>3038</v>
      </c>
      <c r="B255" t="s">
        <v>153</v>
      </c>
      <c r="C255" t="s">
        <v>3331</v>
      </c>
      <c r="D255" t="str">
        <f>TEXT(orders[[#This Row],[OrderDate]], "YYYY-MM")</f>
        <v>2022-12</v>
      </c>
      <c r="E255" t="s">
        <v>2776</v>
      </c>
      <c r="F255" s="1">
        <v>44898</v>
      </c>
      <c r="G255" s="1">
        <v>44902</v>
      </c>
      <c r="H255" s="1">
        <v>44903</v>
      </c>
      <c r="I255">
        <v>3</v>
      </c>
      <c r="J255">
        <v>38999</v>
      </c>
      <c r="K255">
        <v>10</v>
      </c>
      <c r="L255">
        <v>11699.7</v>
      </c>
      <c r="M255">
        <v>105297.3</v>
      </c>
      <c r="N255">
        <v>24297.3</v>
      </c>
      <c r="O255" t="s">
        <v>2749</v>
      </c>
      <c r="P255" t="s">
        <v>2770</v>
      </c>
      <c r="Q255" t="s">
        <v>2762</v>
      </c>
      <c r="R255" t="s">
        <v>35</v>
      </c>
      <c r="S255">
        <v>5</v>
      </c>
      <c r="T255">
        <v>2022</v>
      </c>
      <c r="U255" t="s">
        <v>2763</v>
      </c>
      <c r="V255" t="s">
        <v>2764</v>
      </c>
      <c r="W255">
        <v>4</v>
      </c>
      <c r="X25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55" t="str">
        <f>IF(orders[[#This Row],[Revenue]]&gt;AVERAGE(orders[Revenue])+3*STDEV(orders[Revenue]),"High Outlier",
 IF(orders[[#This Row],[Revenue]]&lt;AVERAGE(orders[Revenue])-3*STDEV(orders[Revenue]),"Low Outlier",
 "Normal"))</f>
        <v>Normal</v>
      </c>
      <c r="Z255">
        <f ca="1" xml:space="preserve"> _xlfn.DAYS(TODAY(), orders[[#This Row],[OrderDate]])</f>
        <v>1244</v>
      </c>
      <c r="AA255"/>
    </row>
    <row r="256" spans="1:27">
      <c r="A256" t="s">
        <v>3039</v>
      </c>
      <c r="B256" t="s">
        <v>1961</v>
      </c>
      <c r="C256" t="s">
        <v>3379</v>
      </c>
      <c r="D256" t="str">
        <f>TEXT(orders[[#This Row],[OrderDate]], "YYYY-MM")</f>
        <v>2024-09</v>
      </c>
      <c r="E256" t="s">
        <v>2755</v>
      </c>
      <c r="F256" s="1">
        <v>45536</v>
      </c>
      <c r="I256">
        <v>2</v>
      </c>
      <c r="J256">
        <v>29999</v>
      </c>
      <c r="K256">
        <v>20</v>
      </c>
      <c r="L256">
        <v>11999.6</v>
      </c>
      <c r="M256">
        <v>47998.400000000001</v>
      </c>
      <c r="N256">
        <v>7998.4</v>
      </c>
      <c r="O256" t="s">
        <v>2756</v>
      </c>
      <c r="P256" t="s">
        <v>2757</v>
      </c>
      <c r="Q256" t="s">
        <v>2751</v>
      </c>
      <c r="R256" t="s">
        <v>24</v>
      </c>
      <c r="T256">
        <v>2024</v>
      </c>
      <c r="U256" t="s">
        <v>2790</v>
      </c>
      <c r="V256" t="s">
        <v>2774</v>
      </c>
      <c r="X25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56" t="str">
        <f>IF(orders[[#This Row],[Revenue]]&gt;AVERAGE(orders[Revenue])+3*STDEV(orders[Revenue]),"High Outlier",
 IF(orders[[#This Row],[Revenue]]&lt;AVERAGE(orders[Revenue])-3*STDEV(orders[Revenue]),"Low Outlier",
 "Normal"))</f>
        <v>Normal</v>
      </c>
      <c r="Z256">
        <f ca="1" xml:space="preserve"> _xlfn.DAYS(TODAY(), orders[[#This Row],[OrderDate]])</f>
        <v>606</v>
      </c>
      <c r="AA256"/>
    </row>
    <row r="257" spans="1:27">
      <c r="A257" t="s">
        <v>3040</v>
      </c>
      <c r="B257" t="s">
        <v>884</v>
      </c>
      <c r="C257" t="s">
        <v>3379</v>
      </c>
      <c r="D257" t="str">
        <f>TEXT(orders[[#This Row],[OrderDate]], "YYYY-MM")</f>
        <v>2023-12</v>
      </c>
      <c r="E257" t="s">
        <v>2769</v>
      </c>
      <c r="F257" s="1">
        <v>45284</v>
      </c>
      <c r="G257" s="1">
        <v>45287</v>
      </c>
      <c r="H257" s="1">
        <v>45287</v>
      </c>
      <c r="I257">
        <v>1</v>
      </c>
      <c r="J257">
        <v>29999</v>
      </c>
      <c r="K257">
        <v>0</v>
      </c>
      <c r="L257">
        <v>0</v>
      </c>
      <c r="M257">
        <v>29999</v>
      </c>
      <c r="N257">
        <v>9999</v>
      </c>
      <c r="O257" t="s">
        <v>2749</v>
      </c>
      <c r="P257" t="s">
        <v>2782</v>
      </c>
      <c r="Q257" t="s">
        <v>2794</v>
      </c>
      <c r="R257" t="s">
        <v>46</v>
      </c>
      <c r="S257">
        <v>3</v>
      </c>
      <c r="T257">
        <v>2023</v>
      </c>
      <c r="U257" t="s">
        <v>2763</v>
      </c>
      <c r="V257" t="s">
        <v>2764</v>
      </c>
      <c r="W257">
        <v>3</v>
      </c>
      <c r="X25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57" t="str">
        <f>IF(orders[[#This Row],[Revenue]]&gt;AVERAGE(orders[Revenue])+3*STDEV(orders[Revenue]),"High Outlier",
 IF(orders[[#This Row],[Revenue]]&lt;AVERAGE(orders[Revenue])-3*STDEV(orders[Revenue]),"Low Outlier",
 "Normal"))</f>
        <v>Normal</v>
      </c>
      <c r="Z257">
        <f ca="1" xml:space="preserve"> _xlfn.DAYS(TODAY(), orders[[#This Row],[OrderDate]])</f>
        <v>858</v>
      </c>
      <c r="AA257"/>
    </row>
    <row r="258" spans="1:27">
      <c r="A258" t="s">
        <v>3041</v>
      </c>
      <c r="B258" t="s">
        <v>2302</v>
      </c>
      <c r="C258" t="s">
        <v>3418</v>
      </c>
      <c r="D258" t="str">
        <f>TEXT(orders[[#This Row],[OrderDate]], "YYYY-MM")</f>
        <v>2023-11</v>
      </c>
      <c r="E258" t="s">
        <v>2813</v>
      </c>
      <c r="F258" s="1">
        <v>45260</v>
      </c>
      <c r="G258" s="1">
        <v>45261</v>
      </c>
      <c r="H258" s="1">
        <v>45264</v>
      </c>
      <c r="I258">
        <v>3</v>
      </c>
      <c r="J258">
        <v>4999</v>
      </c>
      <c r="K258">
        <v>10</v>
      </c>
      <c r="L258">
        <v>1499.7</v>
      </c>
      <c r="M258">
        <v>13497.3</v>
      </c>
      <c r="N258">
        <v>5097.3</v>
      </c>
      <c r="O258" t="s">
        <v>2749</v>
      </c>
      <c r="P258" t="s">
        <v>2770</v>
      </c>
      <c r="Q258" t="s">
        <v>2794</v>
      </c>
      <c r="R258" t="s">
        <v>76</v>
      </c>
      <c r="S258">
        <v>1</v>
      </c>
      <c r="T258">
        <v>2023</v>
      </c>
      <c r="U258" t="s">
        <v>2786</v>
      </c>
      <c r="V258" t="s">
        <v>2764</v>
      </c>
      <c r="W258">
        <v>1</v>
      </c>
      <c r="X25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58" t="str">
        <f>IF(orders[[#This Row],[Revenue]]&gt;AVERAGE(orders[Revenue])+3*STDEV(orders[Revenue]),"High Outlier",
 IF(orders[[#This Row],[Revenue]]&lt;AVERAGE(orders[Revenue])-3*STDEV(orders[Revenue]),"Low Outlier",
 "Normal"))</f>
        <v>Normal</v>
      </c>
      <c r="Z258">
        <f ca="1" xml:space="preserve"> _xlfn.DAYS(TODAY(), orders[[#This Row],[OrderDate]])</f>
        <v>882</v>
      </c>
      <c r="AA258"/>
    </row>
    <row r="259" spans="1:27">
      <c r="A259" t="s">
        <v>3042</v>
      </c>
      <c r="B259" t="s">
        <v>1926</v>
      </c>
      <c r="C259" t="s">
        <v>3340</v>
      </c>
      <c r="D259" t="str">
        <f>TEXT(orders[[#This Row],[OrderDate]], "YYYY-MM")</f>
        <v>2023-04</v>
      </c>
      <c r="E259" t="s">
        <v>2748</v>
      </c>
      <c r="F259" s="1">
        <v>45042</v>
      </c>
      <c r="I259">
        <v>3</v>
      </c>
      <c r="J259">
        <v>6999</v>
      </c>
      <c r="K259">
        <v>0</v>
      </c>
      <c r="L259">
        <v>0</v>
      </c>
      <c r="M259">
        <v>20997</v>
      </c>
      <c r="N259">
        <v>8397</v>
      </c>
      <c r="O259" t="s">
        <v>2781</v>
      </c>
      <c r="P259" t="s">
        <v>2778</v>
      </c>
      <c r="Q259" t="s">
        <v>2762</v>
      </c>
      <c r="R259" t="s">
        <v>188</v>
      </c>
      <c r="T259">
        <v>2023</v>
      </c>
      <c r="U259" t="s">
        <v>2783</v>
      </c>
      <c r="V259" t="s">
        <v>2767</v>
      </c>
      <c r="X25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59" t="str">
        <f>IF(orders[[#This Row],[Revenue]]&gt;AVERAGE(orders[Revenue])+3*STDEV(orders[Revenue]),"High Outlier",
 IF(orders[[#This Row],[Revenue]]&lt;AVERAGE(orders[Revenue])-3*STDEV(orders[Revenue]),"Low Outlier",
 "Normal"))</f>
        <v>Normal</v>
      </c>
      <c r="Z259">
        <f ca="1" xml:space="preserve"> _xlfn.DAYS(TODAY(), orders[[#This Row],[OrderDate]])</f>
        <v>1100</v>
      </c>
      <c r="AA259"/>
    </row>
    <row r="260" spans="1:27">
      <c r="A260" t="s">
        <v>3043</v>
      </c>
      <c r="B260" t="s">
        <v>2449</v>
      </c>
      <c r="C260" t="s">
        <v>3350</v>
      </c>
      <c r="D260" t="str">
        <f>TEXT(orders[[#This Row],[OrderDate]], "YYYY-MM")</f>
        <v>2023-11</v>
      </c>
      <c r="E260" t="s">
        <v>2809</v>
      </c>
      <c r="F260" s="1">
        <v>45253</v>
      </c>
      <c r="G260" s="1">
        <v>45254</v>
      </c>
      <c r="H260" s="1">
        <v>45256</v>
      </c>
      <c r="I260">
        <v>1</v>
      </c>
      <c r="J260">
        <v>12999</v>
      </c>
      <c r="K260">
        <v>15</v>
      </c>
      <c r="L260">
        <v>1949.85</v>
      </c>
      <c r="M260">
        <v>11049.15</v>
      </c>
      <c r="N260">
        <v>3049.15</v>
      </c>
      <c r="O260" t="s">
        <v>2749</v>
      </c>
      <c r="P260" t="s">
        <v>2778</v>
      </c>
      <c r="Q260" t="s">
        <v>2751</v>
      </c>
      <c r="R260" t="s">
        <v>24</v>
      </c>
      <c r="S260">
        <v>5</v>
      </c>
      <c r="T260">
        <v>2023</v>
      </c>
      <c r="U260" t="s">
        <v>2786</v>
      </c>
      <c r="V260" t="s">
        <v>2764</v>
      </c>
      <c r="W260">
        <v>1</v>
      </c>
      <c r="X26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60" t="str">
        <f>IF(orders[[#This Row],[Revenue]]&gt;AVERAGE(orders[Revenue])+3*STDEV(orders[Revenue]),"High Outlier",
 IF(orders[[#This Row],[Revenue]]&lt;AVERAGE(orders[Revenue])-3*STDEV(orders[Revenue]),"Low Outlier",
 "Normal"))</f>
        <v>Normal</v>
      </c>
      <c r="Z260">
        <f ca="1" xml:space="preserve"> _xlfn.DAYS(TODAY(), orders[[#This Row],[OrderDate]])</f>
        <v>889</v>
      </c>
      <c r="AA260"/>
    </row>
    <row r="261" spans="1:27">
      <c r="A261" t="s">
        <v>3044</v>
      </c>
      <c r="B261" t="s">
        <v>1548</v>
      </c>
      <c r="C261" t="s">
        <v>3370</v>
      </c>
      <c r="D261" t="str">
        <f>TEXT(orders[[#This Row],[OrderDate]], "YYYY-MM")</f>
        <v>2022-02</v>
      </c>
      <c r="E261" t="s">
        <v>2769</v>
      </c>
      <c r="F261" s="1">
        <v>44603</v>
      </c>
      <c r="I261">
        <v>4</v>
      </c>
      <c r="J261">
        <v>24999</v>
      </c>
      <c r="K261">
        <v>0</v>
      </c>
      <c r="L261">
        <v>0</v>
      </c>
      <c r="M261">
        <v>99996</v>
      </c>
      <c r="N261">
        <v>31996</v>
      </c>
      <c r="O261" t="s">
        <v>2781</v>
      </c>
      <c r="P261" t="s">
        <v>2750</v>
      </c>
      <c r="Q261" t="s">
        <v>2751</v>
      </c>
      <c r="R261" t="s">
        <v>46</v>
      </c>
      <c r="T261">
        <v>2022</v>
      </c>
      <c r="U261" t="s">
        <v>2759</v>
      </c>
      <c r="V261" t="s">
        <v>2753</v>
      </c>
      <c r="X26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61" t="str">
        <f>IF(orders[[#This Row],[Revenue]]&gt;AVERAGE(orders[Revenue])+3*STDEV(orders[Revenue]),"High Outlier",
 IF(orders[[#This Row],[Revenue]]&lt;AVERAGE(orders[Revenue])-3*STDEV(orders[Revenue]),"Low Outlier",
 "Normal"))</f>
        <v>Normal</v>
      </c>
      <c r="Z261">
        <f ca="1" xml:space="preserve"> _xlfn.DAYS(TODAY(), orders[[#This Row],[OrderDate]])</f>
        <v>1539</v>
      </c>
      <c r="AA261"/>
    </row>
    <row r="262" spans="1:27">
      <c r="A262" t="s">
        <v>3045</v>
      </c>
      <c r="B262" t="s">
        <v>1692</v>
      </c>
      <c r="C262" t="s">
        <v>3366</v>
      </c>
      <c r="D262" t="str">
        <f>TEXT(orders[[#This Row],[OrderDate]], "YYYY-MM")</f>
        <v>2022-07</v>
      </c>
      <c r="E262" t="s">
        <v>2769</v>
      </c>
      <c r="F262" s="1">
        <v>44762</v>
      </c>
      <c r="G262" s="1">
        <v>44763</v>
      </c>
      <c r="H262" s="1">
        <v>44764</v>
      </c>
      <c r="I262">
        <v>3</v>
      </c>
      <c r="J262">
        <v>19999</v>
      </c>
      <c r="K262">
        <v>15</v>
      </c>
      <c r="L262">
        <v>8999.5499999999993</v>
      </c>
      <c r="M262">
        <v>50997.45</v>
      </c>
      <c r="N262">
        <v>11997.45</v>
      </c>
      <c r="O262" t="s">
        <v>2749</v>
      </c>
      <c r="P262" t="s">
        <v>2761</v>
      </c>
      <c r="Q262" t="s">
        <v>2794</v>
      </c>
      <c r="R262" t="s">
        <v>46</v>
      </c>
      <c r="S262">
        <v>2</v>
      </c>
      <c r="T262">
        <v>2022</v>
      </c>
      <c r="U262" t="s">
        <v>2792</v>
      </c>
      <c r="V262" t="s">
        <v>2774</v>
      </c>
      <c r="W262">
        <v>1</v>
      </c>
      <c r="X26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62" t="str">
        <f>IF(orders[[#This Row],[Revenue]]&gt;AVERAGE(orders[Revenue])+3*STDEV(orders[Revenue]),"High Outlier",
 IF(orders[[#This Row],[Revenue]]&lt;AVERAGE(orders[Revenue])-3*STDEV(orders[Revenue]),"Low Outlier",
 "Normal"))</f>
        <v>Normal</v>
      </c>
      <c r="Z262">
        <f ca="1" xml:space="preserve"> _xlfn.DAYS(TODAY(), orders[[#This Row],[OrderDate]])</f>
        <v>1380</v>
      </c>
      <c r="AA262"/>
    </row>
    <row r="263" spans="1:27">
      <c r="A263" t="s">
        <v>3046</v>
      </c>
      <c r="B263" t="s">
        <v>1806</v>
      </c>
      <c r="C263" t="s">
        <v>3350</v>
      </c>
      <c r="D263" t="str">
        <f>TEXT(orders[[#This Row],[OrderDate]], "YYYY-MM")</f>
        <v>2024-06</v>
      </c>
      <c r="E263" t="s">
        <v>2769</v>
      </c>
      <c r="F263" s="1">
        <v>45454</v>
      </c>
      <c r="G263" s="1">
        <v>45458</v>
      </c>
      <c r="H263" s="1">
        <v>45458</v>
      </c>
      <c r="I263">
        <v>5</v>
      </c>
      <c r="J263">
        <v>12999</v>
      </c>
      <c r="K263">
        <v>5</v>
      </c>
      <c r="L263">
        <v>3249.75</v>
      </c>
      <c r="M263">
        <v>61745.25</v>
      </c>
      <c r="N263">
        <v>21745.25</v>
      </c>
      <c r="O263" t="s">
        <v>2749</v>
      </c>
      <c r="P263" t="s">
        <v>2750</v>
      </c>
      <c r="Q263" t="s">
        <v>2794</v>
      </c>
      <c r="R263" t="s">
        <v>46</v>
      </c>
      <c r="S263">
        <v>1</v>
      </c>
      <c r="T263">
        <v>2024</v>
      </c>
      <c r="U263" t="s">
        <v>2771</v>
      </c>
      <c r="V263" t="s">
        <v>2767</v>
      </c>
      <c r="W263">
        <v>4</v>
      </c>
      <c r="X26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63" t="str">
        <f>IF(orders[[#This Row],[Revenue]]&gt;AVERAGE(orders[Revenue])+3*STDEV(orders[Revenue]),"High Outlier",
 IF(orders[[#This Row],[Revenue]]&lt;AVERAGE(orders[Revenue])-3*STDEV(orders[Revenue]),"Low Outlier",
 "Normal"))</f>
        <v>Normal</v>
      </c>
      <c r="Z263">
        <f ca="1" xml:space="preserve"> _xlfn.DAYS(TODAY(), orders[[#This Row],[OrderDate]])</f>
        <v>688</v>
      </c>
      <c r="AA263"/>
    </row>
    <row r="264" spans="1:27">
      <c r="A264" t="s">
        <v>3047</v>
      </c>
      <c r="B264" t="s">
        <v>984</v>
      </c>
      <c r="C264" t="s">
        <v>3394</v>
      </c>
      <c r="D264" t="str">
        <f>TEXT(orders[[#This Row],[OrderDate]], "YYYY-MM")</f>
        <v>2023-04</v>
      </c>
      <c r="E264" t="s">
        <v>2755</v>
      </c>
      <c r="F264" s="1">
        <v>45024</v>
      </c>
      <c r="I264">
        <v>1</v>
      </c>
      <c r="J264">
        <v>2499</v>
      </c>
      <c r="K264">
        <v>0</v>
      </c>
      <c r="L264">
        <v>0</v>
      </c>
      <c r="M264">
        <v>2499</v>
      </c>
      <c r="N264">
        <v>1299</v>
      </c>
      <c r="O264" t="s">
        <v>2756</v>
      </c>
      <c r="P264" t="s">
        <v>2761</v>
      </c>
      <c r="Q264" t="s">
        <v>2794</v>
      </c>
      <c r="R264" t="s">
        <v>24</v>
      </c>
      <c r="T264">
        <v>2023</v>
      </c>
      <c r="U264" t="s">
        <v>2783</v>
      </c>
      <c r="V264" t="s">
        <v>2767</v>
      </c>
      <c r="X26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64" t="str">
        <f>IF(orders[[#This Row],[Revenue]]&gt;AVERAGE(orders[Revenue])+3*STDEV(orders[Revenue]),"High Outlier",
 IF(orders[[#This Row],[Revenue]]&lt;AVERAGE(orders[Revenue])-3*STDEV(orders[Revenue]),"Low Outlier",
 "Normal"))</f>
        <v>Normal</v>
      </c>
      <c r="Z264">
        <f ca="1" xml:space="preserve"> _xlfn.DAYS(TODAY(), orders[[#This Row],[OrderDate]])</f>
        <v>1118</v>
      </c>
      <c r="AA264"/>
    </row>
    <row r="265" spans="1:27">
      <c r="A265" t="s">
        <v>3048</v>
      </c>
      <c r="B265" t="s">
        <v>912</v>
      </c>
      <c r="C265" t="s">
        <v>3314</v>
      </c>
      <c r="D265" t="str">
        <f>TEXT(orders[[#This Row],[OrderDate]], "YYYY-MM")</f>
        <v>2024-05</v>
      </c>
      <c r="E265" t="s">
        <v>2769</v>
      </c>
      <c r="F265" s="1">
        <v>45436</v>
      </c>
      <c r="G265" s="1">
        <v>45439</v>
      </c>
      <c r="H265" s="1">
        <v>45439</v>
      </c>
      <c r="I265">
        <v>3</v>
      </c>
      <c r="J265">
        <v>114900</v>
      </c>
      <c r="K265">
        <v>20</v>
      </c>
      <c r="L265">
        <v>68940</v>
      </c>
      <c r="M265">
        <v>275760</v>
      </c>
      <c r="N265">
        <v>20760</v>
      </c>
      <c r="O265" t="s">
        <v>2749</v>
      </c>
      <c r="P265" t="s">
        <v>2750</v>
      </c>
      <c r="Q265" t="s">
        <v>2751</v>
      </c>
      <c r="R265" t="s">
        <v>46</v>
      </c>
      <c r="S265">
        <v>5</v>
      </c>
      <c r="T265">
        <v>2024</v>
      </c>
      <c r="U265" t="s">
        <v>2766</v>
      </c>
      <c r="V265" t="s">
        <v>2767</v>
      </c>
      <c r="W265">
        <v>3</v>
      </c>
      <c r="X26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65" t="str">
        <f>IF(orders[[#This Row],[Revenue]]&gt;AVERAGE(orders[Revenue])+3*STDEV(orders[Revenue]),"High Outlier",
 IF(orders[[#This Row],[Revenue]]&lt;AVERAGE(orders[Revenue])-3*STDEV(orders[Revenue]),"Low Outlier",
 "Normal"))</f>
        <v>Normal</v>
      </c>
      <c r="Z265">
        <f ca="1" xml:space="preserve"> _xlfn.DAYS(TODAY(), orders[[#This Row],[OrderDate]])</f>
        <v>706</v>
      </c>
      <c r="AA265"/>
    </row>
    <row r="266" spans="1:27">
      <c r="A266" t="s">
        <v>3049</v>
      </c>
      <c r="B266" t="s">
        <v>1026</v>
      </c>
      <c r="C266" t="s">
        <v>3336</v>
      </c>
      <c r="D266" t="str">
        <f>TEXT(orders[[#This Row],[OrderDate]], "YYYY-MM")</f>
        <v>2024-04</v>
      </c>
      <c r="E266" t="s">
        <v>2755</v>
      </c>
      <c r="F266" s="1">
        <v>45385</v>
      </c>
      <c r="G266" s="1">
        <v>45390</v>
      </c>
      <c r="H266" s="1">
        <v>45393</v>
      </c>
      <c r="I266">
        <v>5</v>
      </c>
      <c r="J266">
        <v>26990</v>
      </c>
      <c r="K266">
        <v>0</v>
      </c>
      <c r="L266">
        <v>0</v>
      </c>
      <c r="M266">
        <v>134950</v>
      </c>
      <c r="N266">
        <v>44950</v>
      </c>
      <c r="O266" t="s">
        <v>2749</v>
      </c>
      <c r="P266" t="s">
        <v>2757</v>
      </c>
      <c r="Q266" t="s">
        <v>2758</v>
      </c>
      <c r="R266" t="s">
        <v>24</v>
      </c>
      <c r="S266">
        <v>2</v>
      </c>
      <c r="T266">
        <v>2024</v>
      </c>
      <c r="U266" t="s">
        <v>2783</v>
      </c>
      <c r="V266" t="s">
        <v>2767</v>
      </c>
      <c r="W266">
        <v>5</v>
      </c>
      <c r="X26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66" t="str">
        <f>IF(orders[[#This Row],[Revenue]]&gt;AVERAGE(orders[Revenue])+3*STDEV(orders[Revenue]),"High Outlier",
 IF(orders[[#This Row],[Revenue]]&lt;AVERAGE(orders[Revenue])-3*STDEV(orders[Revenue]),"Low Outlier",
 "Normal"))</f>
        <v>Normal</v>
      </c>
      <c r="Z266">
        <f ca="1" xml:space="preserve"> _xlfn.DAYS(TODAY(), orders[[#This Row],[OrderDate]])</f>
        <v>757</v>
      </c>
      <c r="AA266"/>
    </row>
    <row r="267" spans="1:27">
      <c r="A267" t="s">
        <v>3050</v>
      </c>
      <c r="B267" t="s">
        <v>1707</v>
      </c>
      <c r="C267" t="s">
        <v>3379</v>
      </c>
      <c r="D267" t="str">
        <f>TEXT(orders[[#This Row],[OrderDate]], "YYYY-MM")</f>
        <v>2024-08</v>
      </c>
      <c r="E267" t="s">
        <v>2804</v>
      </c>
      <c r="F267" s="1">
        <v>45519</v>
      </c>
      <c r="G267" s="1">
        <v>45525</v>
      </c>
      <c r="H267" s="1">
        <v>45528</v>
      </c>
      <c r="I267">
        <v>5</v>
      </c>
      <c r="J267">
        <v>29999</v>
      </c>
      <c r="K267">
        <v>0</v>
      </c>
      <c r="L267">
        <v>0</v>
      </c>
      <c r="M267">
        <v>149995</v>
      </c>
      <c r="N267">
        <v>49995</v>
      </c>
      <c r="O267" t="s">
        <v>2749</v>
      </c>
      <c r="P267" t="s">
        <v>2761</v>
      </c>
      <c r="Q267" t="s">
        <v>2779</v>
      </c>
      <c r="R267" t="s">
        <v>46</v>
      </c>
      <c r="S267">
        <v>3</v>
      </c>
      <c r="T267">
        <v>2024</v>
      </c>
      <c r="U267" t="s">
        <v>2773</v>
      </c>
      <c r="V267" t="s">
        <v>2774</v>
      </c>
      <c r="W267">
        <v>6</v>
      </c>
      <c r="X26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67" t="str">
        <f>IF(orders[[#This Row],[Revenue]]&gt;AVERAGE(orders[Revenue])+3*STDEV(orders[Revenue]),"High Outlier",
 IF(orders[[#This Row],[Revenue]]&lt;AVERAGE(orders[Revenue])-3*STDEV(orders[Revenue]),"Low Outlier",
 "Normal"))</f>
        <v>Normal</v>
      </c>
      <c r="Z267">
        <f ca="1" xml:space="preserve"> _xlfn.DAYS(TODAY(), orders[[#This Row],[OrderDate]])</f>
        <v>623</v>
      </c>
      <c r="AA267"/>
    </row>
    <row r="268" spans="1:27">
      <c r="A268" t="s">
        <v>3051</v>
      </c>
      <c r="B268" t="s">
        <v>1413</v>
      </c>
      <c r="C268" t="s">
        <v>3325</v>
      </c>
      <c r="D268" t="str">
        <f>TEXT(orders[[#This Row],[OrderDate]], "YYYY-MM")</f>
        <v>2022-11</v>
      </c>
      <c r="E268" t="s">
        <v>2804</v>
      </c>
      <c r="F268" s="1">
        <v>44870</v>
      </c>
      <c r="I268">
        <v>3</v>
      </c>
      <c r="J268">
        <v>49990</v>
      </c>
      <c r="K268">
        <v>10</v>
      </c>
      <c r="L268">
        <v>14997</v>
      </c>
      <c r="M268">
        <v>134973</v>
      </c>
      <c r="N268">
        <v>29973</v>
      </c>
      <c r="O268" t="s">
        <v>2781</v>
      </c>
      <c r="P268" t="s">
        <v>2770</v>
      </c>
      <c r="Q268" t="s">
        <v>2794</v>
      </c>
      <c r="R268" t="s">
        <v>46</v>
      </c>
      <c r="T268">
        <v>2022</v>
      </c>
      <c r="U268" t="s">
        <v>2786</v>
      </c>
      <c r="V268" t="s">
        <v>2764</v>
      </c>
      <c r="X26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68" t="str">
        <f>IF(orders[[#This Row],[Revenue]]&gt;AVERAGE(orders[Revenue])+3*STDEV(orders[Revenue]),"High Outlier",
 IF(orders[[#This Row],[Revenue]]&lt;AVERAGE(orders[Revenue])-3*STDEV(orders[Revenue]),"Low Outlier",
 "Normal"))</f>
        <v>Normal</v>
      </c>
      <c r="Z268">
        <f ca="1" xml:space="preserve"> _xlfn.DAYS(TODAY(), orders[[#This Row],[OrderDate]])</f>
        <v>1272</v>
      </c>
      <c r="AA268"/>
    </row>
    <row r="269" spans="1:27">
      <c r="A269" t="s">
        <v>3052</v>
      </c>
      <c r="B269" t="s">
        <v>2429</v>
      </c>
      <c r="C269" t="s">
        <v>3314</v>
      </c>
      <c r="D269" t="str">
        <f>TEXT(orders[[#This Row],[OrderDate]], "YYYY-MM")</f>
        <v>2024-04</v>
      </c>
      <c r="E269" t="s">
        <v>2776</v>
      </c>
      <c r="F269" s="1">
        <v>45406</v>
      </c>
      <c r="G269" s="1">
        <v>45413</v>
      </c>
      <c r="H269" s="1">
        <v>45415</v>
      </c>
      <c r="I269">
        <v>2</v>
      </c>
      <c r="J269">
        <v>114900</v>
      </c>
      <c r="K269">
        <v>5</v>
      </c>
      <c r="L269">
        <v>11490</v>
      </c>
      <c r="M269">
        <v>218310</v>
      </c>
      <c r="N269">
        <v>48310</v>
      </c>
      <c r="O269" t="s">
        <v>2749</v>
      </c>
      <c r="P269" t="s">
        <v>2778</v>
      </c>
      <c r="Q269" t="s">
        <v>2758</v>
      </c>
      <c r="R269" t="s">
        <v>35</v>
      </c>
      <c r="S269">
        <v>2</v>
      </c>
      <c r="T269">
        <v>2024</v>
      </c>
      <c r="U269" t="s">
        <v>2783</v>
      </c>
      <c r="V269" t="s">
        <v>2767</v>
      </c>
      <c r="W269">
        <v>7</v>
      </c>
      <c r="X26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69" t="str">
        <f>IF(orders[[#This Row],[Revenue]]&gt;AVERAGE(orders[Revenue])+3*STDEV(orders[Revenue]),"High Outlier",
 IF(orders[[#This Row],[Revenue]]&lt;AVERAGE(orders[Revenue])-3*STDEV(orders[Revenue]),"Low Outlier",
 "Normal"))</f>
        <v>Normal</v>
      </c>
      <c r="Z269">
        <f ca="1" xml:space="preserve"> _xlfn.DAYS(TODAY(), orders[[#This Row],[OrderDate]])</f>
        <v>736</v>
      </c>
      <c r="AA269"/>
    </row>
    <row r="270" spans="1:27">
      <c r="A270" t="s">
        <v>3053</v>
      </c>
      <c r="B270" t="s">
        <v>1265</v>
      </c>
      <c r="C270" t="s">
        <v>3340</v>
      </c>
      <c r="D270" t="str">
        <f>TEXT(orders[[#This Row],[OrderDate]], "YYYY-MM")</f>
        <v>2022-11</v>
      </c>
      <c r="E270" t="s">
        <v>2804</v>
      </c>
      <c r="F270" s="1">
        <v>44869</v>
      </c>
      <c r="G270" s="1">
        <v>44870</v>
      </c>
      <c r="H270" s="1">
        <v>44871</v>
      </c>
      <c r="I270">
        <v>3</v>
      </c>
      <c r="J270">
        <v>6999</v>
      </c>
      <c r="K270">
        <v>15</v>
      </c>
      <c r="L270">
        <v>3149.55</v>
      </c>
      <c r="M270">
        <v>17847.45</v>
      </c>
      <c r="N270">
        <v>5247.45</v>
      </c>
      <c r="O270" t="s">
        <v>2749</v>
      </c>
      <c r="P270" t="s">
        <v>2770</v>
      </c>
      <c r="Q270" t="s">
        <v>2758</v>
      </c>
      <c r="R270" t="s">
        <v>46</v>
      </c>
      <c r="S270">
        <v>4</v>
      </c>
      <c r="T270">
        <v>2022</v>
      </c>
      <c r="U270" t="s">
        <v>2786</v>
      </c>
      <c r="V270" t="s">
        <v>2764</v>
      </c>
      <c r="W270">
        <v>1</v>
      </c>
      <c r="X27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70" t="str">
        <f>IF(orders[[#This Row],[Revenue]]&gt;AVERAGE(orders[Revenue])+3*STDEV(orders[Revenue]),"High Outlier",
 IF(orders[[#This Row],[Revenue]]&lt;AVERAGE(orders[Revenue])-3*STDEV(orders[Revenue]),"Low Outlier",
 "Normal"))</f>
        <v>Normal</v>
      </c>
      <c r="Z270">
        <f ca="1" xml:space="preserve"> _xlfn.DAYS(TODAY(), orders[[#This Row],[OrderDate]])</f>
        <v>1273</v>
      </c>
      <c r="AA270"/>
    </row>
    <row r="271" spans="1:27">
      <c r="A271" t="s">
        <v>3054</v>
      </c>
      <c r="B271" t="s">
        <v>1311</v>
      </c>
      <c r="C271" t="s">
        <v>3405</v>
      </c>
      <c r="D271" t="str">
        <f>TEXT(orders[[#This Row],[OrderDate]], "YYYY-MM")</f>
        <v>2023-02</v>
      </c>
      <c r="E271" t="s">
        <v>2813</v>
      </c>
      <c r="F271" s="1">
        <v>44975</v>
      </c>
      <c r="G271" s="1">
        <v>44978</v>
      </c>
      <c r="H271" s="1">
        <v>44979</v>
      </c>
      <c r="I271">
        <v>1</v>
      </c>
      <c r="J271">
        <v>8495</v>
      </c>
      <c r="K271">
        <v>5</v>
      </c>
      <c r="L271">
        <v>424.75</v>
      </c>
      <c r="M271">
        <v>8070.25</v>
      </c>
      <c r="N271">
        <v>2570.25</v>
      </c>
      <c r="O271" t="s">
        <v>2749</v>
      </c>
      <c r="P271" t="s">
        <v>2750</v>
      </c>
      <c r="Q271" t="s">
        <v>2758</v>
      </c>
      <c r="R271" t="s">
        <v>76</v>
      </c>
      <c r="S271">
        <v>2</v>
      </c>
      <c r="T271">
        <v>2023</v>
      </c>
      <c r="U271" t="s">
        <v>2759</v>
      </c>
      <c r="V271" t="s">
        <v>2753</v>
      </c>
      <c r="W271">
        <v>3</v>
      </c>
      <c r="X27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71" t="str">
        <f>IF(orders[[#This Row],[Revenue]]&gt;AVERAGE(orders[Revenue])+3*STDEV(orders[Revenue]),"High Outlier",
 IF(orders[[#This Row],[Revenue]]&lt;AVERAGE(orders[Revenue])-3*STDEV(orders[Revenue]),"Low Outlier",
 "Normal"))</f>
        <v>Normal</v>
      </c>
      <c r="Z271">
        <f ca="1" xml:space="preserve"> _xlfn.DAYS(TODAY(), orders[[#This Row],[OrderDate]])</f>
        <v>1167</v>
      </c>
      <c r="AA271"/>
    </row>
    <row r="272" spans="1:27">
      <c r="A272" t="s">
        <v>3055</v>
      </c>
      <c r="B272" t="s">
        <v>1880</v>
      </c>
      <c r="C272" t="s">
        <v>3307</v>
      </c>
      <c r="D272" t="str">
        <f>TEXT(orders[[#This Row],[OrderDate]], "YYYY-MM")</f>
        <v>2022-02</v>
      </c>
      <c r="E272" t="s">
        <v>2776</v>
      </c>
      <c r="F272" s="1">
        <v>44602</v>
      </c>
      <c r="G272" s="1">
        <v>44609</v>
      </c>
      <c r="H272" s="1">
        <v>44609</v>
      </c>
      <c r="I272">
        <v>3</v>
      </c>
      <c r="J272">
        <v>69999</v>
      </c>
      <c r="K272">
        <v>5</v>
      </c>
      <c r="L272">
        <v>10499.85</v>
      </c>
      <c r="M272">
        <v>199497.15</v>
      </c>
      <c r="N272">
        <v>55497.15</v>
      </c>
      <c r="O272" t="s">
        <v>2749</v>
      </c>
      <c r="P272" t="s">
        <v>2757</v>
      </c>
      <c r="Q272" t="s">
        <v>2751</v>
      </c>
      <c r="R272" t="s">
        <v>35</v>
      </c>
      <c r="S272">
        <v>3</v>
      </c>
      <c r="T272">
        <v>2022</v>
      </c>
      <c r="U272" t="s">
        <v>2759</v>
      </c>
      <c r="V272" t="s">
        <v>2753</v>
      </c>
      <c r="W272">
        <v>7</v>
      </c>
      <c r="X27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72" t="str">
        <f>IF(orders[[#This Row],[Revenue]]&gt;AVERAGE(orders[Revenue])+3*STDEV(orders[Revenue]),"High Outlier",
 IF(orders[[#This Row],[Revenue]]&lt;AVERAGE(orders[Revenue])-3*STDEV(orders[Revenue]),"Low Outlier",
 "Normal"))</f>
        <v>Normal</v>
      </c>
      <c r="Z272">
        <f ca="1" xml:space="preserve"> _xlfn.DAYS(TODAY(), orders[[#This Row],[OrderDate]])</f>
        <v>1540</v>
      </c>
      <c r="AA272"/>
    </row>
    <row r="273" spans="1:27">
      <c r="A273" t="s">
        <v>3056</v>
      </c>
      <c r="B273" t="s">
        <v>1951</v>
      </c>
      <c r="C273" t="s">
        <v>3409</v>
      </c>
      <c r="D273" t="str">
        <f>TEXT(orders[[#This Row],[OrderDate]], "YYYY-MM")</f>
        <v>2024-03</v>
      </c>
      <c r="E273" t="s">
        <v>2809</v>
      </c>
      <c r="F273" s="1">
        <v>45374</v>
      </c>
      <c r="I273">
        <v>2</v>
      </c>
      <c r="J273">
        <v>7499</v>
      </c>
      <c r="K273">
        <v>5</v>
      </c>
      <c r="L273">
        <v>749.9</v>
      </c>
      <c r="M273">
        <v>14248.1</v>
      </c>
      <c r="N273">
        <v>4648.1000000000004</v>
      </c>
      <c r="O273" t="s">
        <v>2781</v>
      </c>
      <c r="P273" t="s">
        <v>2757</v>
      </c>
      <c r="Q273" t="s">
        <v>2758</v>
      </c>
      <c r="R273" t="s">
        <v>24</v>
      </c>
      <c r="T273">
        <v>2024</v>
      </c>
      <c r="U273" t="s">
        <v>2752</v>
      </c>
      <c r="V273" t="s">
        <v>2753</v>
      </c>
      <c r="X27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73" t="str">
        <f>IF(orders[[#This Row],[Revenue]]&gt;AVERAGE(orders[Revenue])+3*STDEV(orders[Revenue]),"High Outlier",
 IF(orders[[#This Row],[Revenue]]&lt;AVERAGE(orders[Revenue])-3*STDEV(orders[Revenue]),"Low Outlier",
 "Normal"))</f>
        <v>Normal</v>
      </c>
      <c r="Z273">
        <f ca="1" xml:space="preserve"> _xlfn.DAYS(TODAY(), orders[[#This Row],[OrderDate]])</f>
        <v>768</v>
      </c>
      <c r="AA273"/>
    </row>
    <row r="274" spans="1:27">
      <c r="A274" t="s">
        <v>3057</v>
      </c>
      <c r="B274" t="s">
        <v>2114</v>
      </c>
      <c r="C274" t="s">
        <v>3384</v>
      </c>
      <c r="D274" t="str">
        <f>TEXT(orders[[#This Row],[OrderDate]], "YYYY-MM")</f>
        <v>2024-12</v>
      </c>
      <c r="E274" t="s">
        <v>2748</v>
      </c>
      <c r="F274" s="1">
        <v>45630</v>
      </c>
      <c r="I274">
        <v>5</v>
      </c>
      <c r="J274">
        <v>59900</v>
      </c>
      <c r="K274">
        <v>20</v>
      </c>
      <c r="L274">
        <v>59900</v>
      </c>
      <c r="M274">
        <v>239600</v>
      </c>
      <c r="N274">
        <v>29600</v>
      </c>
      <c r="O274" t="s">
        <v>2781</v>
      </c>
      <c r="P274" t="s">
        <v>2750</v>
      </c>
      <c r="Q274" t="s">
        <v>2751</v>
      </c>
      <c r="R274" t="s">
        <v>188</v>
      </c>
      <c r="T274">
        <v>2024</v>
      </c>
      <c r="U274" t="s">
        <v>2763</v>
      </c>
      <c r="V274" t="s">
        <v>2764</v>
      </c>
      <c r="X27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74" t="str">
        <f>IF(orders[[#This Row],[Revenue]]&gt;AVERAGE(orders[Revenue])+3*STDEV(orders[Revenue]),"High Outlier",
 IF(orders[[#This Row],[Revenue]]&lt;AVERAGE(orders[Revenue])-3*STDEV(orders[Revenue]),"Low Outlier",
 "Normal"))</f>
        <v>Normal</v>
      </c>
      <c r="Z274">
        <f ca="1" xml:space="preserve"> _xlfn.DAYS(TODAY(), orders[[#This Row],[OrderDate]])</f>
        <v>512</v>
      </c>
      <c r="AA274"/>
    </row>
    <row r="275" spans="1:27">
      <c r="A275" t="s">
        <v>3058</v>
      </c>
      <c r="B275" t="s">
        <v>2489</v>
      </c>
      <c r="C275" t="s">
        <v>3314</v>
      </c>
      <c r="D275" t="str">
        <f>TEXT(orders[[#This Row],[OrderDate]], "YYYY-MM")</f>
        <v>2022-09</v>
      </c>
      <c r="E275" t="s">
        <v>2804</v>
      </c>
      <c r="F275" s="1">
        <v>44812</v>
      </c>
      <c r="G275" s="1">
        <v>44815</v>
      </c>
      <c r="H275" s="1">
        <v>44818</v>
      </c>
      <c r="I275">
        <v>2</v>
      </c>
      <c r="J275">
        <v>114900</v>
      </c>
      <c r="K275">
        <v>10</v>
      </c>
      <c r="L275">
        <v>22980</v>
      </c>
      <c r="M275">
        <v>206820</v>
      </c>
      <c r="N275">
        <v>36820</v>
      </c>
      <c r="O275" t="s">
        <v>2749</v>
      </c>
      <c r="P275" t="s">
        <v>2782</v>
      </c>
      <c r="Q275" t="s">
        <v>2779</v>
      </c>
      <c r="R275" t="s">
        <v>46</v>
      </c>
      <c r="S275">
        <v>1</v>
      </c>
      <c r="T275">
        <v>2022</v>
      </c>
      <c r="U275" t="s">
        <v>2790</v>
      </c>
      <c r="V275" t="s">
        <v>2774</v>
      </c>
      <c r="W275">
        <v>3</v>
      </c>
      <c r="X27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75" t="str">
        <f>IF(orders[[#This Row],[Revenue]]&gt;AVERAGE(orders[Revenue])+3*STDEV(orders[Revenue]),"High Outlier",
 IF(orders[[#This Row],[Revenue]]&lt;AVERAGE(orders[Revenue])-3*STDEV(orders[Revenue]),"Low Outlier",
 "Normal"))</f>
        <v>Normal</v>
      </c>
      <c r="Z275">
        <f ca="1" xml:space="preserve"> _xlfn.DAYS(TODAY(), orders[[#This Row],[OrderDate]])</f>
        <v>1330</v>
      </c>
      <c r="AA275"/>
    </row>
    <row r="276" spans="1:27">
      <c r="A276" t="s">
        <v>3059</v>
      </c>
      <c r="B276" t="s">
        <v>631</v>
      </c>
      <c r="C276" t="s">
        <v>3336</v>
      </c>
      <c r="D276" t="str">
        <f>TEXT(orders[[#This Row],[OrderDate]], "YYYY-MM")</f>
        <v>2024-06</v>
      </c>
      <c r="E276" t="s">
        <v>2785</v>
      </c>
      <c r="F276" s="1">
        <v>45462</v>
      </c>
      <c r="G276" s="1">
        <v>45465</v>
      </c>
      <c r="H276" s="1">
        <v>45465</v>
      </c>
      <c r="I276">
        <v>4</v>
      </c>
      <c r="J276">
        <v>26990</v>
      </c>
      <c r="K276">
        <v>20</v>
      </c>
      <c r="L276">
        <v>21592</v>
      </c>
      <c r="M276">
        <v>86368</v>
      </c>
      <c r="N276">
        <v>14368</v>
      </c>
      <c r="O276" t="s">
        <v>2749</v>
      </c>
      <c r="P276" t="s">
        <v>2750</v>
      </c>
      <c r="Q276" t="s">
        <v>2762</v>
      </c>
      <c r="R276" t="s">
        <v>188</v>
      </c>
      <c r="S276">
        <v>3</v>
      </c>
      <c r="T276">
        <v>2024</v>
      </c>
      <c r="U276" t="s">
        <v>2771</v>
      </c>
      <c r="V276" t="s">
        <v>2767</v>
      </c>
      <c r="W276">
        <v>3</v>
      </c>
      <c r="X27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76" t="str">
        <f>IF(orders[[#This Row],[Revenue]]&gt;AVERAGE(orders[Revenue])+3*STDEV(orders[Revenue]),"High Outlier",
 IF(orders[[#This Row],[Revenue]]&lt;AVERAGE(orders[Revenue])-3*STDEV(orders[Revenue]),"Low Outlier",
 "Normal"))</f>
        <v>Normal</v>
      </c>
      <c r="Z276">
        <f ca="1" xml:space="preserve"> _xlfn.DAYS(TODAY(), orders[[#This Row],[OrderDate]])</f>
        <v>680</v>
      </c>
      <c r="AA276"/>
    </row>
    <row r="277" spans="1:27">
      <c r="A277" t="s">
        <v>3060</v>
      </c>
      <c r="B277" t="s">
        <v>1628</v>
      </c>
      <c r="C277" t="s">
        <v>3370</v>
      </c>
      <c r="D277" t="str">
        <f>TEXT(orders[[#This Row],[OrderDate]], "YYYY-MM")</f>
        <v>2023-05</v>
      </c>
      <c r="E277" t="s">
        <v>2755</v>
      </c>
      <c r="F277" s="1">
        <v>45066</v>
      </c>
      <c r="G277" s="1">
        <v>45073</v>
      </c>
      <c r="H277" s="1">
        <v>45074</v>
      </c>
      <c r="I277">
        <v>3</v>
      </c>
      <c r="J277">
        <v>24999</v>
      </c>
      <c r="K277">
        <v>15</v>
      </c>
      <c r="L277">
        <v>11249.55</v>
      </c>
      <c r="M277">
        <v>63747.45</v>
      </c>
      <c r="N277">
        <v>12747.45</v>
      </c>
      <c r="O277" t="s">
        <v>2749</v>
      </c>
      <c r="P277" t="s">
        <v>2778</v>
      </c>
      <c r="Q277" t="s">
        <v>2794</v>
      </c>
      <c r="R277" t="s">
        <v>24</v>
      </c>
      <c r="S277">
        <v>3</v>
      </c>
      <c r="T277">
        <v>2023</v>
      </c>
      <c r="U277" t="s">
        <v>2766</v>
      </c>
      <c r="V277" t="s">
        <v>2767</v>
      </c>
      <c r="W277">
        <v>7</v>
      </c>
      <c r="X27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77" t="str">
        <f>IF(orders[[#This Row],[Revenue]]&gt;AVERAGE(orders[Revenue])+3*STDEV(orders[Revenue]),"High Outlier",
 IF(orders[[#This Row],[Revenue]]&lt;AVERAGE(orders[Revenue])-3*STDEV(orders[Revenue]),"Low Outlier",
 "Normal"))</f>
        <v>Normal</v>
      </c>
      <c r="Z277">
        <f ca="1" xml:space="preserve"> _xlfn.DAYS(TODAY(), orders[[#This Row],[OrderDate]])</f>
        <v>1076</v>
      </c>
      <c r="AA277"/>
    </row>
    <row r="278" spans="1:27">
      <c r="A278" t="s">
        <v>3061</v>
      </c>
      <c r="B278" t="s">
        <v>110</v>
      </c>
      <c r="C278" t="s">
        <v>3405</v>
      </c>
      <c r="D278" t="str">
        <f>TEXT(orders[[#This Row],[OrderDate]], "YYYY-MM")</f>
        <v>2022-04</v>
      </c>
      <c r="E278" t="s">
        <v>2809</v>
      </c>
      <c r="F278" s="1">
        <v>44673</v>
      </c>
      <c r="I278">
        <v>2</v>
      </c>
      <c r="J278">
        <v>8495</v>
      </c>
      <c r="K278">
        <v>5</v>
      </c>
      <c r="L278">
        <v>849.5</v>
      </c>
      <c r="M278">
        <v>16140.5</v>
      </c>
      <c r="N278">
        <v>5140.5</v>
      </c>
      <c r="O278" t="s">
        <v>2781</v>
      </c>
      <c r="P278" t="s">
        <v>2761</v>
      </c>
      <c r="Q278" t="s">
        <v>2751</v>
      </c>
      <c r="R278" t="s">
        <v>24</v>
      </c>
      <c r="T278">
        <v>2022</v>
      </c>
      <c r="U278" t="s">
        <v>2783</v>
      </c>
      <c r="V278" t="s">
        <v>2767</v>
      </c>
      <c r="X27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78" t="str">
        <f>IF(orders[[#This Row],[Revenue]]&gt;AVERAGE(orders[Revenue])+3*STDEV(orders[Revenue]),"High Outlier",
 IF(orders[[#This Row],[Revenue]]&lt;AVERAGE(orders[Revenue])-3*STDEV(orders[Revenue]),"Low Outlier",
 "Normal"))</f>
        <v>Normal</v>
      </c>
      <c r="Z278">
        <f ca="1" xml:space="preserve"> _xlfn.DAYS(TODAY(), orders[[#This Row],[OrderDate]])</f>
        <v>1469</v>
      </c>
      <c r="AA278"/>
    </row>
    <row r="279" spans="1:27">
      <c r="A279" t="s">
        <v>3062</v>
      </c>
      <c r="B279" t="s">
        <v>1015</v>
      </c>
      <c r="C279" t="s">
        <v>3405</v>
      </c>
      <c r="D279" t="str">
        <f>TEXT(orders[[#This Row],[OrderDate]], "YYYY-MM")</f>
        <v>2022-09</v>
      </c>
      <c r="E279" t="s">
        <v>2755</v>
      </c>
      <c r="F279" s="1">
        <v>44811</v>
      </c>
      <c r="I279">
        <v>2</v>
      </c>
      <c r="J279">
        <v>8495</v>
      </c>
      <c r="K279">
        <v>15</v>
      </c>
      <c r="L279">
        <v>2548.5</v>
      </c>
      <c r="M279">
        <v>14441.5</v>
      </c>
      <c r="N279">
        <v>3441.5</v>
      </c>
      <c r="O279" t="s">
        <v>2756</v>
      </c>
      <c r="P279" t="s">
        <v>2770</v>
      </c>
      <c r="Q279" t="s">
        <v>2762</v>
      </c>
      <c r="R279" t="s">
        <v>24</v>
      </c>
      <c r="T279">
        <v>2022</v>
      </c>
      <c r="U279" t="s">
        <v>2790</v>
      </c>
      <c r="V279" t="s">
        <v>2774</v>
      </c>
      <c r="X27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79" t="str">
        <f>IF(orders[[#This Row],[Revenue]]&gt;AVERAGE(orders[Revenue])+3*STDEV(orders[Revenue]),"High Outlier",
 IF(orders[[#This Row],[Revenue]]&lt;AVERAGE(orders[Revenue])-3*STDEV(orders[Revenue]),"Low Outlier",
 "Normal"))</f>
        <v>Normal</v>
      </c>
      <c r="Z279">
        <f ca="1" xml:space="preserve"> _xlfn.DAYS(TODAY(), orders[[#This Row],[OrderDate]])</f>
        <v>1331</v>
      </c>
      <c r="AA279"/>
    </row>
    <row r="280" spans="1:27">
      <c r="A280" t="s">
        <v>3063</v>
      </c>
      <c r="B280" t="s">
        <v>2554</v>
      </c>
      <c r="C280" t="s">
        <v>3366</v>
      </c>
      <c r="D280" t="str">
        <f>TEXT(orders[[#This Row],[OrderDate]], "YYYY-MM")</f>
        <v>2023-09</v>
      </c>
      <c r="E280" t="s">
        <v>2755</v>
      </c>
      <c r="F280" s="1">
        <v>45178</v>
      </c>
      <c r="G280" s="1">
        <v>45185</v>
      </c>
      <c r="H280" s="1">
        <v>45186</v>
      </c>
      <c r="I280">
        <v>3</v>
      </c>
      <c r="J280">
        <v>19999</v>
      </c>
      <c r="K280">
        <v>5</v>
      </c>
      <c r="L280">
        <v>2999.85</v>
      </c>
      <c r="M280">
        <v>56997.15</v>
      </c>
      <c r="N280">
        <v>17997.150000000001</v>
      </c>
      <c r="O280" t="s">
        <v>2749</v>
      </c>
      <c r="P280" t="s">
        <v>2782</v>
      </c>
      <c r="Q280" t="s">
        <v>2751</v>
      </c>
      <c r="R280" t="s">
        <v>24</v>
      </c>
      <c r="S280">
        <v>3</v>
      </c>
      <c r="T280">
        <v>2023</v>
      </c>
      <c r="U280" t="s">
        <v>2790</v>
      </c>
      <c r="V280" t="s">
        <v>2774</v>
      </c>
      <c r="W280">
        <v>7</v>
      </c>
      <c r="X28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80" t="str">
        <f>IF(orders[[#This Row],[Revenue]]&gt;AVERAGE(orders[Revenue])+3*STDEV(orders[Revenue]),"High Outlier",
 IF(orders[[#This Row],[Revenue]]&lt;AVERAGE(orders[Revenue])-3*STDEV(orders[Revenue]),"Low Outlier",
 "Normal"))</f>
        <v>Normal</v>
      </c>
      <c r="Z280">
        <f ca="1" xml:space="preserve"> _xlfn.DAYS(TODAY(), orders[[#This Row],[OrderDate]])</f>
        <v>964</v>
      </c>
      <c r="AA280"/>
    </row>
    <row r="281" spans="1:27">
      <c r="A281" t="s">
        <v>3064</v>
      </c>
      <c r="B281" t="s">
        <v>2479</v>
      </c>
      <c r="C281" t="s">
        <v>3423</v>
      </c>
      <c r="D281" t="str">
        <f>TEXT(orders[[#This Row],[OrderDate]], "YYYY-MM")</f>
        <v>2022-03</v>
      </c>
      <c r="E281" t="s">
        <v>2776</v>
      </c>
      <c r="F281" s="1">
        <v>44631</v>
      </c>
      <c r="G281" s="1">
        <v>44638</v>
      </c>
      <c r="H281" s="1">
        <v>44638</v>
      </c>
      <c r="I281">
        <v>4</v>
      </c>
      <c r="J281">
        <v>1599</v>
      </c>
      <c r="K281">
        <v>15</v>
      </c>
      <c r="L281">
        <v>959.4</v>
      </c>
      <c r="M281">
        <v>5436.6</v>
      </c>
      <c r="N281">
        <v>2236.6</v>
      </c>
      <c r="O281" t="s">
        <v>2749</v>
      </c>
      <c r="P281" t="s">
        <v>2778</v>
      </c>
      <c r="Q281" t="s">
        <v>2751</v>
      </c>
      <c r="R281" t="s">
        <v>35</v>
      </c>
      <c r="S281">
        <v>3</v>
      </c>
      <c r="T281">
        <v>2022</v>
      </c>
      <c r="U281" t="s">
        <v>2752</v>
      </c>
      <c r="V281" t="s">
        <v>2753</v>
      </c>
      <c r="W281">
        <v>7</v>
      </c>
      <c r="X28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81" t="str">
        <f>IF(orders[[#This Row],[Revenue]]&gt;AVERAGE(orders[Revenue])+3*STDEV(orders[Revenue]),"High Outlier",
 IF(orders[[#This Row],[Revenue]]&lt;AVERAGE(orders[Revenue])-3*STDEV(orders[Revenue]),"Low Outlier",
 "Normal"))</f>
        <v>Normal</v>
      </c>
      <c r="Z281">
        <f ca="1" xml:space="preserve"> _xlfn.DAYS(TODAY(), orders[[#This Row],[OrderDate]])</f>
        <v>1511</v>
      </c>
      <c r="AA281"/>
    </row>
    <row r="282" spans="1:27">
      <c r="A282" t="s">
        <v>3065</v>
      </c>
      <c r="B282" t="s">
        <v>2069</v>
      </c>
      <c r="C282" t="s">
        <v>3370</v>
      </c>
      <c r="D282" t="str">
        <f>TEXT(orders[[#This Row],[OrderDate]], "YYYY-MM")</f>
        <v>2022-11</v>
      </c>
      <c r="E282" t="s">
        <v>2804</v>
      </c>
      <c r="F282" s="1">
        <v>44890</v>
      </c>
      <c r="I282">
        <v>3</v>
      </c>
      <c r="J282">
        <v>24999</v>
      </c>
      <c r="K282">
        <v>20</v>
      </c>
      <c r="L282">
        <v>14999.4</v>
      </c>
      <c r="M282">
        <v>59997.599999999999</v>
      </c>
      <c r="N282">
        <v>8997.6</v>
      </c>
      <c r="O282" t="s">
        <v>2781</v>
      </c>
      <c r="P282" t="s">
        <v>2757</v>
      </c>
      <c r="Q282" t="s">
        <v>2794</v>
      </c>
      <c r="R282" t="s">
        <v>46</v>
      </c>
      <c r="T282">
        <v>2022</v>
      </c>
      <c r="U282" t="s">
        <v>2786</v>
      </c>
      <c r="V282" t="s">
        <v>2764</v>
      </c>
      <c r="X28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82" t="str">
        <f>IF(orders[[#This Row],[Revenue]]&gt;AVERAGE(orders[Revenue])+3*STDEV(orders[Revenue]),"High Outlier",
 IF(orders[[#This Row],[Revenue]]&lt;AVERAGE(orders[Revenue])-3*STDEV(orders[Revenue]),"Low Outlier",
 "Normal"))</f>
        <v>Normal</v>
      </c>
      <c r="Z282">
        <f ca="1" xml:space="preserve"> _xlfn.DAYS(TODAY(), orders[[#This Row],[OrderDate]])</f>
        <v>1252</v>
      </c>
      <c r="AA282"/>
    </row>
    <row r="283" spans="1:27">
      <c r="A283" t="s">
        <v>3066</v>
      </c>
      <c r="B283" t="s">
        <v>1306</v>
      </c>
      <c r="C283" t="s">
        <v>3399</v>
      </c>
      <c r="D283" t="str">
        <f>TEXT(orders[[#This Row],[OrderDate]], "YYYY-MM")</f>
        <v>2024-07</v>
      </c>
      <c r="E283" t="s">
        <v>2769</v>
      </c>
      <c r="F283" s="1">
        <v>45490</v>
      </c>
      <c r="I283">
        <v>1</v>
      </c>
      <c r="J283">
        <v>3499</v>
      </c>
      <c r="K283">
        <v>0</v>
      </c>
      <c r="L283">
        <v>0</v>
      </c>
      <c r="M283">
        <v>3499</v>
      </c>
      <c r="N283">
        <v>1699</v>
      </c>
      <c r="O283" t="s">
        <v>2781</v>
      </c>
      <c r="P283" t="s">
        <v>2778</v>
      </c>
      <c r="Q283" t="s">
        <v>2779</v>
      </c>
      <c r="R283" t="s">
        <v>46</v>
      </c>
      <c r="T283">
        <v>2024</v>
      </c>
      <c r="U283" t="s">
        <v>2792</v>
      </c>
      <c r="V283" t="s">
        <v>2774</v>
      </c>
      <c r="X28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83" t="str">
        <f>IF(orders[[#This Row],[Revenue]]&gt;AVERAGE(orders[Revenue])+3*STDEV(orders[Revenue]),"High Outlier",
 IF(orders[[#This Row],[Revenue]]&lt;AVERAGE(orders[Revenue])-3*STDEV(orders[Revenue]),"Low Outlier",
 "Normal"))</f>
        <v>Normal</v>
      </c>
      <c r="Z283">
        <f ca="1" xml:space="preserve"> _xlfn.DAYS(TODAY(), orders[[#This Row],[OrderDate]])</f>
        <v>652</v>
      </c>
      <c r="AA283"/>
    </row>
    <row r="284" spans="1:27">
      <c r="A284" t="s">
        <v>3067</v>
      </c>
      <c r="B284" t="s">
        <v>1845</v>
      </c>
      <c r="C284" t="s">
        <v>3374</v>
      </c>
      <c r="D284" t="str">
        <f>TEXT(orders[[#This Row],[OrderDate]], "YYYY-MM")</f>
        <v>2022-01</v>
      </c>
      <c r="E284" t="s">
        <v>2776</v>
      </c>
      <c r="F284" s="1">
        <v>44568</v>
      </c>
      <c r="G284" s="1">
        <v>44570</v>
      </c>
      <c r="H284" s="1">
        <v>44572</v>
      </c>
      <c r="I284">
        <v>3</v>
      </c>
      <c r="J284">
        <v>64999</v>
      </c>
      <c r="K284">
        <v>0</v>
      </c>
      <c r="L284">
        <v>0</v>
      </c>
      <c r="M284">
        <v>194997</v>
      </c>
      <c r="N284">
        <v>59997</v>
      </c>
      <c r="O284" t="s">
        <v>2749</v>
      </c>
      <c r="P284" t="s">
        <v>2757</v>
      </c>
      <c r="Q284" t="s">
        <v>2779</v>
      </c>
      <c r="R284" t="s">
        <v>35</v>
      </c>
      <c r="S284">
        <v>2</v>
      </c>
      <c r="T284">
        <v>2022</v>
      </c>
      <c r="U284" t="s">
        <v>2795</v>
      </c>
      <c r="V284" t="s">
        <v>2753</v>
      </c>
      <c r="W284">
        <v>2</v>
      </c>
      <c r="X28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84" t="str">
        <f>IF(orders[[#This Row],[Revenue]]&gt;AVERAGE(orders[Revenue])+3*STDEV(orders[Revenue]),"High Outlier",
 IF(orders[[#This Row],[Revenue]]&lt;AVERAGE(orders[Revenue])-3*STDEV(orders[Revenue]),"Low Outlier",
 "Normal"))</f>
        <v>Normal</v>
      </c>
      <c r="Z284">
        <f ca="1" xml:space="preserve"> _xlfn.DAYS(TODAY(), orders[[#This Row],[OrderDate]])</f>
        <v>1574</v>
      </c>
      <c r="AA284"/>
    </row>
    <row r="285" spans="1:27">
      <c r="A285" t="s">
        <v>3068</v>
      </c>
      <c r="B285" t="s">
        <v>1553</v>
      </c>
      <c r="C285" t="s">
        <v>3413</v>
      </c>
      <c r="D285" t="str">
        <f>TEXT(orders[[#This Row],[OrderDate]], "YYYY-MM")</f>
        <v>2024-04</v>
      </c>
      <c r="E285" t="s">
        <v>2776</v>
      </c>
      <c r="F285" s="1">
        <v>45402</v>
      </c>
      <c r="G285" s="1">
        <v>45406</v>
      </c>
      <c r="H285" s="1">
        <v>45409</v>
      </c>
      <c r="I285">
        <v>2</v>
      </c>
      <c r="J285">
        <v>5999</v>
      </c>
      <c r="K285">
        <v>5</v>
      </c>
      <c r="L285">
        <v>599.9</v>
      </c>
      <c r="M285">
        <v>11398.1</v>
      </c>
      <c r="N285">
        <v>3798.1</v>
      </c>
      <c r="O285" t="s">
        <v>2749</v>
      </c>
      <c r="P285" t="s">
        <v>2782</v>
      </c>
      <c r="Q285" t="s">
        <v>2758</v>
      </c>
      <c r="R285" t="s">
        <v>35</v>
      </c>
      <c r="S285">
        <v>3</v>
      </c>
      <c r="T285">
        <v>2024</v>
      </c>
      <c r="U285" t="s">
        <v>2783</v>
      </c>
      <c r="V285" t="s">
        <v>2767</v>
      </c>
      <c r="W285">
        <v>4</v>
      </c>
      <c r="X28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85" t="str">
        <f>IF(orders[[#This Row],[Revenue]]&gt;AVERAGE(orders[Revenue])+3*STDEV(orders[Revenue]),"High Outlier",
 IF(orders[[#This Row],[Revenue]]&lt;AVERAGE(orders[Revenue])-3*STDEV(orders[Revenue]),"Low Outlier",
 "Normal"))</f>
        <v>Normal</v>
      </c>
      <c r="Z285">
        <f ca="1" xml:space="preserve"> _xlfn.DAYS(TODAY(), orders[[#This Row],[OrderDate]])</f>
        <v>740</v>
      </c>
      <c r="AA285"/>
    </row>
    <row r="286" spans="1:27">
      <c r="A286" t="s">
        <v>3069</v>
      </c>
      <c r="B286" t="s">
        <v>2277</v>
      </c>
      <c r="C286" t="s">
        <v>3350</v>
      </c>
      <c r="D286" t="str">
        <f>TEXT(orders[[#This Row],[OrderDate]], "YYYY-MM")</f>
        <v>2022-06</v>
      </c>
      <c r="E286" t="s">
        <v>2809</v>
      </c>
      <c r="F286" s="1">
        <v>44734</v>
      </c>
      <c r="G286" s="1">
        <v>44737</v>
      </c>
      <c r="H286" s="1">
        <v>44738</v>
      </c>
      <c r="I286">
        <v>4</v>
      </c>
      <c r="J286">
        <v>12999</v>
      </c>
      <c r="K286">
        <v>10</v>
      </c>
      <c r="L286">
        <v>5199.6000000000004</v>
      </c>
      <c r="M286">
        <v>46796.4</v>
      </c>
      <c r="N286">
        <v>14796.4</v>
      </c>
      <c r="O286" t="s">
        <v>2749</v>
      </c>
      <c r="P286" t="s">
        <v>2761</v>
      </c>
      <c r="Q286" t="s">
        <v>2779</v>
      </c>
      <c r="R286" t="s">
        <v>24</v>
      </c>
      <c r="S286">
        <v>1</v>
      </c>
      <c r="T286">
        <v>2022</v>
      </c>
      <c r="U286" t="s">
        <v>2771</v>
      </c>
      <c r="V286" t="s">
        <v>2767</v>
      </c>
      <c r="W286">
        <v>3</v>
      </c>
      <c r="X28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86" t="str">
        <f>IF(orders[[#This Row],[Revenue]]&gt;AVERAGE(orders[Revenue])+3*STDEV(orders[Revenue]),"High Outlier",
 IF(orders[[#This Row],[Revenue]]&lt;AVERAGE(orders[Revenue])-3*STDEV(orders[Revenue]),"Low Outlier",
 "Normal"))</f>
        <v>Normal</v>
      </c>
      <c r="Z286">
        <f ca="1" xml:space="preserve"> _xlfn.DAYS(TODAY(), orders[[#This Row],[OrderDate]])</f>
        <v>1408</v>
      </c>
      <c r="AA286"/>
    </row>
    <row r="287" spans="1:27">
      <c r="A287" t="s">
        <v>3070</v>
      </c>
      <c r="B287" t="s">
        <v>2654</v>
      </c>
      <c r="C287" t="s">
        <v>3298</v>
      </c>
      <c r="D287" t="str">
        <f>TEXT(orders[[#This Row],[OrderDate]], "YYYY-MM")</f>
        <v>2022-07</v>
      </c>
      <c r="E287" t="s">
        <v>2813</v>
      </c>
      <c r="F287" s="1">
        <v>44744</v>
      </c>
      <c r="G287" s="1">
        <v>44746</v>
      </c>
      <c r="H287" s="1">
        <v>44748</v>
      </c>
      <c r="I287">
        <v>2</v>
      </c>
      <c r="J287">
        <v>79999</v>
      </c>
      <c r="K287">
        <v>0</v>
      </c>
      <c r="L287">
        <v>0</v>
      </c>
      <c r="M287">
        <v>159998</v>
      </c>
      <c r="N287">
        <v>49998</v>
      </c>
      <c r="O287" t="s">
        <v>2749</v>
      </c>
      <c r="P287" t="s">
        <v>2770</v>
      </c>
      <c r="Q287" t="s">
        <v>2758</v>
      </c>
      <c r="R287" t="s">
        <v>76</v>
      </c>
      <c r="S287">
        <v>4</v>
      </c>
      <c r="T287">
        <v>2022</v>
      </c>
      <c r="U287" t="s">
        <v>2792</v>
      </c>
      <c r="V287" t="s">
        <v>2774</v>
      </c>
      <c r="W287">
        <v>2</v>
      </c>
      <c r="X28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87" t="str">
        <f>IF(orders[[#This Row],[Revenue]]&gt;AVERAGE(orders[Revenue])+3*STDEV(orders[Revenue]),"High Outlier",
 IF(orders[[#This Row],[Revenue]]&lt;AVERAGE(orders[Revenue])-3*STDEV(orders[Revenue]),"Low Outlier",
 "Normal"))</f>
        <v>Normal</v>
      </c>
      <c r="Z287">
        <f ca="1" xml:space="preserve"> _xlfn.DAYS(TODAY(), orders[[#This Row],[OrderDate]])</f>
        <v>1398</v>
      </c>
      <c r="AA287"/>
    </row>
    <row r="288" spans="1:27">
      <c r="A288" t="s">
        <v>3071</v>
      </c>
      <c r="B288" t="s">
        <v>1770</v>
      </c>
      <c r="C288" t="s">
        <v>3345</v>
      </c>
      <c r="D288" t="str">
        <f>TEXT(orders[[#This Row],[OrderDate]], "YYYY-MM")</f>
        <v>2022-07</v>
      </c>
      <c r="E288" t="s">
        <v>2809</v>
      </c>
      <c r="F288" s="1">
        <v>44744</v>
      </c>
      <c r="G288" s="1">
        <v>44746</v>
      </c>
      <c r="H288" s="1">
        <v>44746</v>
      </c>
      <c r="I288">
        <v>1</v>
      </c>
      <c r="J288">
        <v>29900</v>
      </c>
      <c r="K288">
        <v>20</v>
      </c>
      <c r="L288">
        <v>5980</v>
      </c>
      <c r="M288">
        <v>23920</v>
      </c>
      <c r="N288">
        <v>3920</v>
      </c>
      <c r="O288" t="s">
        <v>2749</v>
      </c>
      <c r="P288" t="s">
        <v>2770</v>
      </c>
      <c r="Q288" t="s">
        <v>2751</v>
      </c>
      <c r="R288" t="s">
        <v>24</v>
      </c>
      <c r="S288">
        <v>4</v>
      </c>
      <c r="T288">
        <v>2022</v>
      </c>
      <c r="U288" t="s">
        <v>2792</v>
      </c>
      <c r="V288" t="s">
        <v>2774</v>
      </c>
      <c r="W288">
        <v>2</v>
      </c>
      <c r="X28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88" t="str">
        <f>IF(orders[[#This Row],[Revenue]]&gt;AVERAGE(orders[Revenue])+3*STDEV(orders[Revenue]),"High Outlier",
 IF(orders[[#This Row],[Revenue]]&lt;AVERAGE(orders[Revenue])-3*STDEV(orders[Revenue]),"Low Outlier",
 "Normal"))</f>
        <v>Normal</v>
      </c>
      <c r="Z288">
        <f ca="1" xml:space="preserve"> _xlfn.DAYS(TODAY(), orders[[#This Row],[OrderDate]])</f>
        <v>1398</v>
      </c>
      <c r="AA288"/>
    </row>
    <row r="289" spans="1:27">
      <c r="A289" t="s">
        <v>3072</v>
      </c>
      <c r="B289" t="s">
        <v>458</v>
      </c>
      <c r="C289" t="s">
        <v>3340</v>
      </c>
      <c r="D289" t="str">
        <f>TEXT(orders[[#This Row],[OrderDate]], "YYYY-MM")</f>
        <v>2023-01</v>
      </c>
      <c r="E289" t="s">
        <v>2809</v>
      </c>
      <c r="F289" s="1">
        <v>44952</v>
      </c>
      <c r="G289" s="1">
        <v>44955</v>
      </c>
      <c r="H289" s="1">
        <v>44958</v>
      </c>
      <c r="I289">
        <v>4</v>
      </c>
      <c r="J289">
        <v>6999</v>
      </c>
      <c r="K289">
        <v>0</v>
      </c>
      <c r="L289">
        <v>0</v>
      </c>
      <c r="M289">
        <v>27996</v>
      </c>
      <c r="N289">
        <v>11196</v>
      </c>
      <c r="O289" t="s">
        <v>2749</v>
      </c>
      <c r="P289" t="s">
        <v>2770</v>
      </c>
      <c r="Q289" t="s">
        <v>2779</v>
      </c>
      <c r="R289" t="s">
        <v>24</v>
      </c>
      <c r="S289">
        <v>5</v>
      </c>
      <c r="T289">
        <v>2023</v>
      </c>
      <c r="U289" t="s">
        <v>2795</v>
      </c>
      <c r="V289" t="s">
        <v>2753</v>
      </c>
      <c r="W289">
        <v>3</v>
      </c>
      <c r="X28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89" t="str">
        <f>IF(orders[[#This Row],[Revenue]]&gt;AVERAGE(orders[Revenue])+3*STDEV(orders[Revenue]),"High Outlier",
 IF(orders[[#This Row],[Revenue]]&lt;AVERAGE(orders[Revenue])-3*STDEV(orders[Revenue]),"Low Outlier",
 "Normal"))</f>
        <v>Normal</v>
      </c>
      <c r="Z289">
        <f ca="1" xml:space="preserve"> _xlfn.DAYS(TODAY(), orders[[#This Row],[OrderDate]])</f>
        <v>1190</v>
      </c>
      <c r="AA289"/>
    </row>
    <row r="290" spans="1:27">
      <c r="A290" t="s">
        <v>3073</v>
      </c>
      <c r="B290" t="s">
        <v>750</v>
      </c>
      <c r="C290" t="s">
        <v>3350</v>
      </c>
      <c r="D290" t="str">
        <f>TEXT(orders[[#This Row],[OrderDate]], "YYYY-MM")</f>
        <v>2024-05</v>
      </c>
      <c r="E290" t="s">
        <v>2804</v>
      </c>
      <c r="F290" s="1">
        <v>45418</v>
      </c>
      <c r="G290" s="1">
        <v>45422</v>
      </c>
      <c r="H290" s="1">
        <v>45423</v>
      </c>
      <c r="I290">
        <v>1</v>
      </c>
      <c r="J290">
        <v>12999</v>
      </c>
      <c r="K290">
        <v>5</v>
      </c>
      <c r="L290">
        <v>649.95000000000005</v>
      </c>
      <c r="M290">
        <v>12349.05</v>
      </c>
      <c r="N290">
        <v>4349.05</v>
      </c>
      <c r="O290" t="s">
        <v>2749</v>
      </c>
      <c r="P290" t="s">
        <v>2750</v>
      </c>
      <c r="Q290" t="s">
        <v>2779</v>
      </c>
      <c r="R290" t="s">
        <v>46</v>
      </c>
      <c r="S290">
        <v>5</v>
      </c>
      <c r="T290">
        <v>2024</v>
      </c>
      <c r="U290" t="s">
        <v>2766</v>
      </c>
      <c r="V290" t="s">
        <v>2767</v>
      </c>
      <c r="W290">
        <v>4</v>
      </c>
      <c r="X29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90" t="str">
        <f>IF(orders[[#This Row],[Revenue]]&gt;AVERAGE(orders[Revenue])+3*STDEV(orders[Revenue]),"High Outlier",
 IF(orders[[#This Row],[Revenue]]&lt;AVERAGE(orders[Revenue])-3*STDEV(orders[Revenue]),"Low Outlier",
 "Normal"))</f>
        <v>Normal</v>
      </c>
      <c r="Z290">
        <f ca="1" xml:space="preserve"> _xlfn.DAYS(TODAY(), orders[[#This Row],[OrderDate]])</f>
        <v>724</v>
      </c>
      <c r="AA290"/>
    </row>
    <row r="291" spans="1:27">
      <c r="A291" t="s">
        <v>3074</v>
      </c>
      <c r="B291" t="s">
        <v>1382</v>
      </c>
      <c r="C291" t="s">
        <v>3340</v>
      </c>
      <c r="D291" t="str">
        <f>TEXT(orders[[#This Row],[OrderDate]], "YYYY-MM")</f>
        <v>2024-07</v>
      </c>
      <c r="E291" t="s">
        <v>2785</v>
      </c>
      <c r="F291" s="1">
        <v>45500</v>
      </c>
      <c r="G291" s="1">
        <v>45501</v>
      </c>
      <c r="H291" s="1">
        <v>45504</v>
      </c>
      <c r="I291">
        <v>2</v>
      </c>
      <c r="J291">
        <v>6999</v>
      </c>
      <c r="K291">
        <v>10</v>
      </c>
      <c r="L291">
        <v>1399.8</v>
      </c>
      <c r="M291">
        <v>12598.2</v>
      </c>
      <c r="N291">
        <v>4198.2</v>
      </c>
      <c r="O291" t="s">
        <v>2749</v>
      </c>
      <c r="P291" t="s">
        <v>2778</v>
      </c>
      <c r="Q291" t="s">
        <v>2751</v>
      </c>
      <c r="R291" t="s">
        <v>188</v>
      </c>
      <c r="S291">
        <v>2</v>
      </c>
      <c r="T291">
        <v>2024</v>
      </c>
      <c r="U291" t="s">
        <v>2792</v>
      </c>
      <c r="V291" t="s">
        <v>2774</v>
      </c>
      <c r="W291">
        <v>1</v>
      </c>
      <c r="X29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91" t="str">
        <f>IF(orders[[#This Row],[Revenue]]&gt;AVERAGE(orders[Revenue])+3*STDEV(orders[Revenue]),"High Outlier",
 IF(orders[[#This Row],[Revenue]]&lt;AVERAGE(orders[Revenue])-3*STDEV(orders[Revenue]),"Low Outlier",
 "Normal"))</f>
        <v>Normal</v>
      </c>
      <c r="Z291">
        <f ca="1" xml:space="preserve"> _xlfn.DAYS(TODAY(), orders[[#This Row],[OrderDate]])</f>
        <v>642</v>
      </c>
      <c r="AA291"/>
    </row>
    <row r="292" spans="1:27">
      <c r="A292" t="s">
        <v>3075</v>
      </c>
      <c r="B292" t="s">
        <v>2059</v>
      </c>
      <c r="C292" t="s">
        <v>3366</v>
      </c>
      <c r="D292" t="str">
        <f>TEXT(orders[[#This Row],[OrderDate]], "YYYY-MM")</f>
        <v>2023-06</v>
      </c>
      <c r="E292" t="s">
        <v>2769</v>
      </c>
      <c r="F292" s="1">
        <v>45086</v>
      </c>
      <c r="G292" s="1">
        <v>45087</v>
      </c>
      <c r="H292" s="1">
        <v>45087</v>
      </c>
      <c r="I292">
        <v>1</v>
      </c>
      <c r="J292">
        <v>19999</v>
      </c>
      <c r="K292">
        <v>10</v>
      </c>
      <c r="L292">
        <v>1999.9</v>
      </c>
      <c r="M292">
        <v>17999.099999999999</v>
      </c>
      <c r="N292">
        <v>4999.1000000000004</v>
      </c>
      <c r="O292" t="s">
        <v>2749</v>
      </c>
      <c r="P292" t="s">
        <v>2782</v>
      </c>
      <c r="Q292" t="s">
        <v>2751</v>
      </c>
      <c r="R292" t="s">
        <v>46</v>
      </c>
      <c r="S292">
        <v>3</v>
      </c>
      <c r="T292">
        <v>2023</v>
      </c>
      <c r="U292" t="s">
        <v>2771</v>
      </c>
      <c r="V292" t="s">
        <v>2767</v>
      </c>
      <c r="W292">
        <v>1</v>
      </c>
      <c r="X29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92" t="str">
        <f>IF(orders[[#This Row],[Revenue]]&gt;AVERAGE(orders[Revenue])+3*STDEV(orders[Revenue]),"High Outlier",
 IF(orders[[#This Row],[Revenue]]&lt;AVERAGE(orders[Revenue])-3*STDEV(orders[Revenue]),"Low Outlier",
 "Normal"))</f>
        <v>Normal</v>
      </c>
      <c r="Z292">
        <f ca="1" xml:space="preserve"> _xlfn.DAYS(TODAY(), orders[[#This Row],[OrderDate]])</f>
        <v>1056</v>
      </c>
      <c r="AA292"/>
    </row>
    <row r="293" spans="1:27">
      <c r="A293" t="s">
        <v>3076</v>
      </c>
      <c r="B293" t="s">
        <v>1786</v>
      </c>
      <c r="C293" t="s">
        <v>3409</v>
      </c>
      <c r="D293" t="str">
        <f>TEXT(orders[[#This Row],[OrderDate]], "YYYY-MM")</f>
        <v>2022-01</v>
      </c>
      <c r="E293" t="s">
        <v>2748</v>
      </c>
      <c r="F293" s="1">
        <v>44572</v>
      </c>
      <c r="G293" s="1">
        <v>44577</v>
      </c>
      <c r="H293" s="1">
        <v>44580</v>
      </c>
      <c r="I293">
        <v>3</v>
      </c>
      <c r="J293">
        <v>7499</v>
      </c>
      <c r="K293">
        <v>10</v>
      </c>
      <c r="L293">
        <v>2249.6999999999998</v>
      </c>
      <c r="M293">
        <v>20247.3</v>
      </c>
      <c r="N293">
        <v>5847.3</v>
      </c>
      <c r="O293" t="s">
        <v>2749</v>
      </c>
      <c r="P293" t="s">
        <v>2778</v>
      </c>
      <c r="Q293" t="s">
        <v>2794</v>
      </c>
      <c r="R293" t="s">
        <v>188</v>
      </c>
      <c r="S293">
        <v>2</v>
      </c>
      <c r="T293">
        <v>2022</v>
      </c>
      <c r="U293" t="s">
        <v>2795</v>
      </c>
      <c r="V293" t="s">
        <v>2753</v>
      </c>
      <c r="W293">
        <v>5</v>
      </c>
      <c r="X29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93" t="str">
        <f>IF(orders[[#This Row],[Revenue]]&gt;AVERAGE(orders[Revenue])+3*STDEV(orders[Revenue]),"High Outlier",
 IF(orders[[#This Row],[Revenue]]&lt;AVERAGE(orders[Revenue])-3*STDEV(orders[Revenue]),"Low Outlier",
 "Normal"))</f>
        <v>Normal</v>
      </c>
      <c r="Z293">
        <f ca="1" xml:space="preserve"> _xlfn.DAYS(TODAY(), orders[[#This Row],[OrderDate]])</f>
        <v>1570</v>
      </c>
      <c r="AA293"/>
    </row>
    <row r="294" spans="1:27">
      <c r="A294" t="s">
        <v>3077</v>
      </c>
      <c r="B294" t="s">
        <v>2703</v>
      </c>
      <c r="C294" t="s">
        <v>3390</v>
      </c>
      <c r="D294" t="str">
        <f>TEXT(orders[[#This Row],[OrderDate]], "YYYY-MM")</f>
        <v>2023-01</v>
      </c>
      <c r="E294" t="s">
        <v>2809</v>
      </c>
      <c r="F294" s="1">
        <v>44929</v>
      </c>
      <c r="G294" s="1">
        <v>44931</v>
      </c>
      <c r="H294" s="1">
        <v>44934</v>
      </c>
      <c r="I294">
        <v>3</v>
      </c>
      <c r="J294">
        <v>54999</v>
      </c>
      <c r="K294">
        <v>15</v>
      </c>
      <c r="L294">
        <v>24749.55</v>
      </c>
      <c r="M294">
        <v>140247.45000000001</v>
      </c>
      <c r="N294">
        <v>26247.45</v>
      </c>
      <c r="O294" t="s">
        <v>2749</v>
      </c>
      <c r="P294" t="s">
        <v>2782</v>
      </c>
      <c r="Q294" t="s">
        <v>2762</v>
      </c>
      <c r="R294" t="s">
        <v>24</v>
      </c>
      <c r="S294">
        <v>3</v>
      </c>
      <c r="T294">
        <v>2023</v>
      </c>
      <c r="U294" t="s">
        <v>2795</v>
      </c>
      <c r="V294" t="s">
        <v>2753</v>
      </c>
      <c r="W294">
        <v>2</v>
      </c>
      <c r="X29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94" t="str">
        <f>IF(orders[[#This Row],[Revenue]]&gt;AVERAGE(orders[Revenue])+3*STDEV(orders[Revenue]),"High Outlier",
 IF(orders[[#This Row],[Revenue]]&lt;AVERAGE(orders[Revenue])-3*STDEV(orders[Revenue]),"Low Outlier",
 "Normal"))</f>
        <v>Normal</v>
      </c>
      <c r="Z294">
        <f ca="1" xml:space="preserve"> _xlfn.DAYS(TODAY(), orders[[#This Row],[OrderDate]])</f>
        <v>1213</v>
      </c>
      <c r="AA294"/>
    </row>
    <row r="295" spans="1:27">
      <c r="A295" t="s">
        <v>3078</v>
      </c>
      <c r="B295" t="s">
        <v>2049</v>
      </c>
      <c r="C295" t="s">
        <v>3384</v>
      </c>
      <c r="D295" t="str">
        <f>TEXT(orders[[#This Row],[OrderDate]], "YYYY-MM")</f>
        <v>2022-10</v>
      </c>
      <c r="E295" t="s">
        <v>2776</v>
      </c>
      <c r="F295" s="1">
        <v>44852</v>
      </c>
      <c r="G295" s="1">
        <v>44853</v>
      </c>
      <c r="H295" s="1">
        <v>44855</v>
      </c>
      <c r="I295">
        <v>1</v>
      </c>
      <c r="J295">
        <v>59900</v>
      </c>
      <c r="K295">
        <v>0</v>
      </c>
      <c r="L295">
        <v>0</v>
      </c>
      <c r="M295">
        <v>59900</v>
      </c>
      <c r="N295">
        <v>17900</v>
      </c>
      <c r="O295" t="s">
        <v>2749</v>
      </c>
      <c r="P295" t="s">
        <v>2770</v>
      </c>
      <c r="Q295" t="s">
        <v>2794</v>
      </c>
      <c r="R295" t="s">
        <v>35</v>
      </c>
      <c r="S295">
        <v>3</v>
      </c>
      <c r="T295">
        <v>2022</v>
      </c>
      <c r="U295" t="s">
        <v>2788</v>
      </c>
      <c r="V295" t="s">
        <v>2764</v>
      </c>
      <c r="W295">
        <v>1</v>
      </c>
      <c r="X29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95" t="str">
        <f>IF(orders[[#This Row],[Revenue]]&gt;AVERAGE(orders[Revenue])+3*STDEV(orders[Revenue]),"High Outlier",
 IF(orders[[#This Row],[Revenue]]&lt;AVERAGE(orders[Revenue])-3*STDEV(orders[Revenue]),"Low Outlier",
 "Normal"))</f>
        <v>Normal</v>
      </c>
      <c r="Z295">
        <f ca="1" xml:space="preserve"> _xlfn.DAYS(TODAY(), orders[[#This Row],[OrderDate]])</f>
        <v>1290</v>
      </c>
      <c r="AA295"/>
    </row>
    <row r="296" spans="1:27">
      <c r="A296" t="s">
        <v>3079</v>
      </c>
      <c r="B296" t="s">
        <v>2600</v>
      </c>
      <c r="C296" t="s">
        <v>3370</v>
      </c>
      <c r="D296" t="str">
        <f>TEXT(orders[[#This Row],[OrderDate]], "YYYY-MM")</f>
        <v>2023-06</v>
      </c>
      <c r="E296" t="s">
        <v>2769</v>
      </c>
      <c r="F296" s="1">
        <v>45101</v>
      </c>
      <c r="I296">
        <v>3</v>
      </c>
      <c r="J296">
        <v>24999</v>
      </c>
      <c r="K296">
        <v>20</v>
      </c>
      <c r="L296">
        <v>14999.4</v>
      </c>
      <c r="M296">
        <v>59997.599999999999</v>
      </c>
      <c r="N296">
        <v>8997.6</v>
      </c>
      <c r="O296" t="s">
        <v>2756</v>
      </c>
      <c r="P296" t="s">
        <v>2750</v>
      </c>
      <c r="Q296" t="s">
        <v>2751</v>
      </c>
      <c r="R296" t="s">
        <v>46</v>
      </c>
      <c r="T296">
        <v>2023</v>
      </c>
      <c r="U296" t="s">
        <v>2771</v>
      </c>
      <c r="V296" t="s">
        <v>2767</v>
      </c>
      <c r="X29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96" t="str">
        <f>IF(orders[[#This Row],[Revenue]]&gt;AVERAGE(orders[Revenue])+3*STDEV(orders[Revenue]),"High Outlier",
 IF(orders[[#This Row],[Revenue]]&lt;AVERAGE(orders[Revenue])-3*STDEV(orders[Revenue]),"Low Outlier",
 "Normal"))</f>
        <v>Normal</v>
      </c>
      <c r="Z296">
        <f ca="1" xml:space="preserve"> _xlfn.DAYS(TODAY(), orders[[#This Row],[OrderDate]])</f>
        <v>1041</v>
      </c>
      <c r="AA296"/>
    </row>
    <row r="297" spans="1:27">
      <c r="A297" t="s">
        <v>3080</v>
      </c>
      <c r="B297" t="s">
        <v>2514</v>
      </c>
      <c r="C297" t="s">
        <v>3331</v>
      </c>
      <c r="D297" t="str">
        <f>TEXT(orders[[#This Row],[OrderDate]], "YYYY-MM")</f>
        <v>2024-10</v>
      </c>
      <c r="E297" t="s">
        <v>2785</v>
      </c>
      <c r="F297" s="1">
        <v>45568</v>
      </c>
      <c r="G297" s="1">
        <v>45573</v>
      </c>
      <c r="H297" s="1">
        <v>45576</v>
      </c>
      <c r="I297">
        <v>1</v>
      </c>
      <c r="J297">
        <v>38999</v>
      </c>
      <c r="K297">
        <v>5</v>
      </c>
      <c r="L297">
        <v>1949.95</v>
      </c>
      <c r="M297">
        <v>37049.050000000003</v>
      </c>
      <c r="N297">
        <v>10049.049999999999</v>
      </c>
      <c r="O297" t="s">
        <v>2749</v>
      </c>
      <c r="P297" t="s">
        <v>2782</v>
      </c>
      <c r="Q297" t="s">
        <v>2762</v>
      </c>
      <c r="R297" t="s">
        <v>188</v>
      </c>
      <c r="S297">
        <v>2</v>
      </c>
      <c r="T297">
        <v>2024</v>
      </c>
      <c r="U297" t="s">
        <v>2788</v>
      </c>
      <c r="V297" t="s">
        <v>2764</v>
      </c>
      <c r="W297">
        <v>5</v>
      </c>
      <c r="X29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97" t="str">
        <f>IF(orders[[#This Row],[Revenue]]&gt;AVERAGE(orders[Revenue])+3*STDEV(orders[Revenue]),"High Outlier",
 IF(orders[[#This Row],[Revenue]]&lt;AVERAGE(orders[Revenue])-3*STDEV(orders[Revenue]),"Low Outlier",
 "Normal"))</f>
        <v>Normal</v>
      </c>
      <c r="Z297">
        <f ca="1" xml:space="preserve"> _xlfn.DAYS(TODAY(), orders[[#This Row],[OrderDate]])</f>
        <v>574</v>
      </c>
      <c r="AA297"/>
    </row>
    <row r="298" spans="1:27">
      <c r="A298" t="s">
        <v>3081</v>
      </c>
      <c r="B298" t="s">
        <v>654</v>
      </c>
      <c r="C298" t="s">
        <v>3307</v>
      </c>
      <c r="D298" t="str">
        <f>TEXT(orders[[#This Row],[OrderDate]], "YYYY-MM")</f>
        <v>2023-06</v>
      </c>
      <c r="E298" t="s">
        <v>2776</v>
      </c>
      <c r="F298" s="1">
        <v>45094</v>
      </c>
      <c r="G298" s="1">
        <v>45100</v>
      </c>
      <c r="H298" s="1">
        <v>45103</v>
      </c>
      <c r="I298">
        <v>4</v>
      </c>
      <c r="J298">
        <v>69999</v>
      </c>
      <c r="K298">
        <v>0</v>
      </c>
      <c r="L298">
        <v>0</v>
      </c>
      <c r="M298">
        <v>279996</v>
      </c>
      <c r="N298">
        <v>87996</v>
      </c>
      <c r="O298" t="s">
        <v>2749</v>
      </c>
      <c r="P298" t="s">
        <v>2770</v>
      </c>
      <c r="Q298" t="s">
        <v>2762</v>
      </c>
      <c r="R298" t="s">
        <v>35</v>
      </c>
      <c r="S298">
        <v>4</v>
      </c>
      <c r="T298">
        <v>2023</v>
      </c>
      <c r="U298" t="s">
        <v>2771</v>
      </c>
      <c r="V298" t="s">
        <v>2767</v>
      </c>
      <c r="W298">
        <v>6</v>
      </c>
      <c r="X29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98" t="str">
        <f>IF(orders[[#This Row],[Revenue]]&gt;AVERAGE(orders[Revenue])+3*STDEV(orders[Revenue]),"High Outlier",
 IF(orders[[#This Row],[Revenue]]&lt;AVERAGE(orders[Revenue])-3*STDEV(orders[Revenue]),"Low Outlier",
 "Normal"))</f>
        <v>Normal</v>
      </c>
      <c r="Z298">
        <f ca="1" xml:space="preserve"> _xlfn.DAYS(TODAY(), orders[[#This Row],[OrderDate]])</f>
        <v>1048</v>
      </c>
      <c r="AA298"/>
    </row>
    <row r="299" spans="1:27">
      <c r="A299" t="s">
        <v>3082</v>
      </c>
      <c r="B299" t="s">
        <v>1139</v>
      </c>
      <c r="C299" t="s">
        <v>3413</v>
      </c>
      <c r="D299" t="str">
        <f>TEXT(orders[[#This Row],[OrderDate]], "YYYY-MM")</f>
        <v>2024-07</v>
      </c>
      <c r="E299" t="s">
        <v>2769</v>
      </c>
      <c r="F299" s="1">
        <v>45499</v>
      </c>
      <c r="G299" s="1">
        <v>45500</v>
      </c>
      <c r="H299" s="1">
        <v>45501</v>
      </c>
      <c r="I299">
        <v>1</v>
      </c>
      <c r="J299">
        <v>5999</v>
      </c>
      <c r="K299">
        <v>10</v>
      </c>
      <c r="L299">
        <v>599.9</v>
      </c>
      <c r="M299">
        <v>5399.1</v>
      </c>
      <c r="N299">
        <v>1599.1</v>
      </c>
      <c r="O299" t="s">
        <v>2749</v>
      </c>
      <c r="P299" t="s">
        <v>2757</v>
      </c>
      <c r="Q299" t="s">
        <v>2779</v>
      </c>
      <c r="R299" t="s">
        <v>46</v>
      </c>
      <c r="S299">
        <v>3</v>
      </c>
      <c r="T299">
        <v>2024</v>
      </c>
      <c r="U299" t="s">
        <v>2792</v>
      </c>
      <c r="V299" t="s">
        <v>2774</v>
      </c>
      <c r="W299">
        <v>1</v>
      </c>
      <c r="X29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299" t="str">
        <f>IF(orders[[#This Row],[Revenue]]&gt;AVERAGE(orders[Revenue])+3*STDEV(orders[Revenue]),"High Outlier",
 IF(orders[[#This Row],[Revenue]]&lt;AVERAGE(orders[Revenue])-3*STDEV(orders[Revenue]),"Low Outlier",
 "Normal"))</f>
        <v>Normal</v>
      </c>
      <c r="Z299">
        <f ca="1" xml:space="preserve"> _xlfn.DAYS(TODAY(), orders[[#This Row],[OrderDate]])</f>
        <v>643</v>
      </c>
      <c r="AA299"/>
    </row>
    <row r="300" spans="1:27">
      <c r="A300" t="s">
        <v>3083</v>
      </c>
      <c r="B300" t="s">
        <v>648</v>
      </c>
      <c r="C300" t="s">
        <v>3331</v>
      </c>
      <c r="D300" t="str">
        <f>TEXT(orders[[#This Row],[OrderDate]], "YYYY-MM")</f>
        <v>2023-03</v>
      </c>
      <c r="E300" t="s">
        <v>2769</v>
      </c>
      <c r="F300" s="1">
        <v>44996</v>
      </c>
      <c r="I300">
        <v>1</v>
      </c>
      <c r="J300">
        <v>38999</v>
      </c>
      <c r="K300">
        <v>20</v>
      </c>
      <c r="L300">
        <v>7799.8</v>
      </c>
      <c r="M300">
        <v>31199.200000000001</v>
      </c>
      <c r="N300">
        <v>4199.2</v>
      </c>
      <c r="O300" t="s">
        <v>2756</v>
      </c>
      <c r="P300" t="s">
        <v>2761</v>
      </c>
      <c r="Q300" t="s">
        <v>2779</v>
      </c>
      <c r="R300" t="s">
        <v>46</v>
      </c>
      <c r="T300">
        <v>2023</v>
      </c>
      <c r="U300" t="s">
        <v>2752</v>
      </c>
      <c r="V300" t="s">
        <v>2753</v>
      </c>
      <c r="X30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00" t="str">
        <f>IF(orders[[#This Row],[Revenue]]&gt;AVERAGE(orders[Revenue])+3*STDEV(orders[Revenue]),"High Outlier",
 IF(orders[[#This Row],[Revenue]]&lt;AVERAGE(orders[Revenue])-3*STDEV(orders[Revenue]),"Low Outlier",
 "Normal"))</f>
        <v>Normal</v>
      </c>
      <c r="Z300">
        <f ca="1" xml:space="preserve"> _xlfn.DAYS(TODAY(), orders[[#This Row],[OrderDate]])</f>
        <v>1146</v>
      </c>
      <c r="AA300"/>
    </row>
    <row r="301" spans="1:27">
      <c r="A301" t="s">
        <v>3084</v>
      </c>
      <c r="B301" t="s">
        <v>1296</v>
      </c>
      <c r="C301" t="s">
        <v>3314</v>
      </c>
      <c r="D301" t="str">
        <f>TEXT(orders[[#This Row],[OrderDate]], "YYYY-MM")</f>
        <v>2024-10</v>
      </c>
      <c r="E301" t="s">
        <v>2748</v>
      </c>
      <c r="F301" s="1">
        <v>45582</v>
      </c>
      <c r="I301">
        <v>1</v>
      </c>
      <c r="J301">
        <v>114900</v>
      </c>
      <c r="K301">
        <v>10</v>
      </c>
      <c r="L301">
        <v>11490</v>
      </c>
      <c r="M301">
        <v>103410</v>
      </c>
      <c r="N301">
        <v>18410</v>
      </c>
      <c r="O301" t="s">
        <v>2781</v>
      </c>
      <c r="P301" t="s">
        <v>2757</v>
      </c>
      <c r="Q301" t="s">
        <v>2794</v>
      </c>
      <c r="R301" t="s">
        <v>188</v>
      </c>
      <c r="T301">
        <v>2024</v>
      </c>
      <c r="U301" t="s">
        <v>2788</v>
      </c>
      <c r="V301" t="s">
        <v>2764</v>
      </c>
      <c r="X30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01" t="str">
        <f>IF(orders[[#This Row],[Revenue]]&gt;AVERAGE(orders[Revenue])+3*STDEV(orders[Revenue]),"High Outlier",
 IF(orders[[#This Row],[Revenue]]&lt;AVERAGE(orders[Revenue])-3*STDEV(orders[Revenue]),"Low Outlier",
 "Normal"))</f>
        <v>Normal</v>
      </c>
      <c r="Z301">
        <f ca="1" xml:space="preserve"> _xlfn.DAYS(TODAY(), orders[[#This Row],[OrderDate]])</f>
        <v>560</v>
      </c>
      <c r="AA301"/>
    </row>
    <row r="302" spans="1:27">
      <c r="A302" t="s">
        <v>3085</v>
      </c>
      <c r="B302" t="s">
        <v>1976</v>
      </c>
      <c r="C302" t="s">
        <v>3409</v>
      </c>
      <c r="D302" t="str">
        <f>TEXT(orders[[#This Row],[OrderDate]], "YYYY-MM")</f>
        <v>2024-03</v>
      </c>
      <c r="E302" t="s">
        <v>2748</v>
      </c>
      <c r="F302" s="1">
        <v>45369</v>
      </c>
      <c r="G302" s="1">
        <v>45374</v>
      </c>
      <c r="H302" s="1">
        <v>45374</v>
      </c>
      <c r="I302">
        <v>3</v>
      </c>
      <c r="J302">
        <v>7499</v>
      </c>
      <c r="K302">
        <v>0</v>
      </c>
      <c r="L302">
        <v>0</v>
      </c>
      <c r="M302">
        <v>22497</v>
      </c>
      <c r="N302">
        <v>8097</v>
      </c>
      <c r="O302" t="s">
        <v>2749</v>
      </c>
      <c r="P302" t="s">
        <v>2757</v>
      </c>
      <c r="Q302" t="s">
        <v>2762</v>
      </c>
      <c r="R302" t="s">
        <v>188</v>
      </c>
      <c r="S302">
        <v>4</v>
      </c>
      <c r="T302">
        <v>2024</v>
      </c>
      <c r="U302" t="s">
        <v>2752</v>
      </c>
      <c r="V302" t="s">
        <v>2753</v>
      </c>
      <c r="W302">
        <v>5</v>
      </c>
      <c r="X30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02" t="str">
        <f>IF(orders[[#This Row],[Revenue]]&gt;AVERAGE(orders[Revenue])+3*STDEV(orders[Revenue]),"High Outlier",
 IF(orders[[#This Row],[Revenue]]&lt;AVERAGE(orders[Revenue])-3*STDEV(orders[Revenue]),"Low Outlier",
 "Normal"))</f>
        <v>Normal</v>
      </c>
      <c r="Z302">
        <f ca="1" xml:space="preserve"> _xlfn.DAYS(TODAY(), orders[[#This Row],[OrderDate]])</f>
        <v>773</v>
      </c>
      <c r="AA302"/>
    </row>
    <row r="303" spans="1:27">
      <c r="A303" t="s">
        <v>3086</v>
      </c>
      <c r="B303" t="s">
        <v>2356</v>
      </c>
      <c r="C303" t="s">
        <v>3413</v>
      </c>
      <c r="D303" t="str">
        <f>TEXT(orders[[#This Row],[OrderDate]], "YYYY-MM")</f>
        <v>2024-07</v>
      </c>
      <c r="E303" t="s">
        <v>2769</v>
      </c>
      <c r="F303" s="1">
        <v>45491</v>
      </c>
      <c r="I303">
        <v>3</v>
      </c>
      <c r="J303">
        <v>5999</v>
      </c>
      <c r="K303">
        <v>0</v>
      </c>
      <c r="L303">
        <v>0</v>
      </c>
      <c r="M303">
        <v>17997</v>
      </c>
      <c r="N303">
        <v>6597</v>
      </c>
      <c r="O303" t="s">
        <v>2781</v>
      </c>
      <c r="P303" t="s">
        <v>2750</v>
      </c>
      <c r="Q303" t="s">
        <v>2762</v>
      </c>
      <c r="R303" t="s">
        <v>46</v>
      </c>
      <c r="T303">
        <v>2024</v>
      </c>
      <c r="U303" t="s">
        <v>2792</v>
      </c>
      <c r="V303" t="s">
        <v>2774</v>
      </c>
      <c r="X30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03" t="str">
        <f>IF(orders[[#This Row],[Revenue]]&gt;AVERAGE(orders[Revenue])+3*STDEV(orders[Revenue]),"High Outlier",
 IF(orders[[#This Row],[Revenue]]&lt;AVERAGE(orders[Revenue])-3*STDEV(orders[Revenue]),"Low Outlier",
 "Normal"))</f>
        <v>Normal</v>
      </c>
      <c r="Z303">
        <f ca="1" xml:space="preserve"> _xlfn.DAYS(TODAY(), orders[[#This Row],[OrderDate]])</f>
        <v>651</v>
      </c>
      <c r="AA303"/>
    </row>
    <row r="304" spans="1:27">
      <c r="A304" t="s">
        <v>3087</v>
      </c>
      <c r="B304" t="s">
        <v>1911</v>
      </c>
      <c r="C304" t="s">
        <v>3399</v>
      </c>
      <c r="D304" t="str">
        <f>TEXT(orders[[#This Row],[OrderDate]], "YYYY-MM")</f>
        <v>2023-10</v>
      </c>
      <c r="E304" t="s">
        <v>2813</v>
      </c>
      <c r="F304" s="1">
        <v>45227</v>
      </c>
      <c r="I304">
        <v>5</v>
      </c>
      <c r="J304">
        <v>3499</v>
      </c>
      <c r="K304">
        <v>0</v>
      </c>
      <c r="L304">
        <v>0</v>
      </c>
      <c r="M304">
        <v>17495</v>
      </c>
      <c r="N304">
        <v>8495</v>
      </c>
      <c r="O304" t="s">
        <v>2781</v>
      </c>
      <c r="P304" t="s">
        <v>2782</v>
      </c>
      <c r="Q304" t="s">
        <v>2762</v>
      </c>
      <c r="R304" t="s">
        <v>76</v>
      </c>
      <c r="T304">
        <v>2023</v>
      </c>
      <c r="U304" t="s">
        <v>2788</v>
      </c>
      <c r="V304" t="s">
        <v>2764</v>
      </c>
      <c r="X30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04" t="str">
        <f>IF(orders[[#This Row],[Revenue]]&gt;AVERAGE(orders[Revenue])+3*STDEV(orders[Revenue]),"High Outlier",
 IF(orders[[#This Row],[Revenue]]&lt;AVERAGE(orders[Revenue])-3*STDEV(orders[Revenue]),"Low Outlier",
 "Normal"))</f>
        <v>Normal</v>
      </c>
      <c r="Z304">
        <f ca="1" xml:space="preserve"> _xlfn.DAYS(TODAY(), orders[[#This Row],[OrderDate]])</f>
        <v>915</v>
      </c>
      <c r="AA304"/>
    </row>
    <row r="305" spans="1:27">
      <c r="A305" t="s">
        <v>3088</v>
      </c>
      <c r="B305" t="s">
        <v>2282</v>
      </c>
      <c r="C305" t="s">
        <v>3405</v>
      </c>
      <c r="D305" t="str">
        <f>TEXT(orders[[#This Row],[OrderDate]], "YYYY-MM")</f>
        <v>2023-10</v>
      </c>
      <c r="E305" t="s">
        <v>2755</v>
      </c>
      <c r="F305" s="1">
        <v>45223</v>
      </c>
      <c r="G305" s="1">
        <v>45229</v>
      </c>
      <c r="H305" s="1">
        <v>45229</v>
      </c>
      <c r="I305">
        <v>5</v>
      </c>
      <c r="J305">
        <v>8495</v>
      </c>
      <c r="K305">
        <v>10</v>
      </c>
      <c r="L305">
        <v>4247.5</v>
      </c>
      <c r="M305">
        <v>38227.5</v>
      </c>
      <c r="N305">
        <v>10727.5</v>
      </c>
      <c r="O305" t="s">
        <v>2749</v>
      </c>
      <c r="P305" t="s">
        <v>2757</v>
      </c>
      <c r="Q305" t="s">
        <v>2751</v>
      </c>
      <c r="R305" t="s">
        <v>24</v>
      </c>
      <c r="S305">
        <v>3</v>
      </c>
      <c r="T305">
        <v>2023</v>
      </c>
      <c r="U305" t="s">
        <v>2788</v>
      </c>
      <c r="V305" t="s">
        <v>2764</v>
      </c>
      <c r="W305">
        <v>6</v>
      </c>
      <c r="X30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05" t="str">
        <f>IF(orders[[#This Row],[Revenue]]&gt;AVERAGE(orders[Revenue])+3*STDEV(orders[Revenue]),"High Outlier",
 IF(orders[[#This Row],[Revenue]]&lt;AVERAGE(orders[Revenue])-3*STDEV(orders[Revenue]),"Low Outlier",
 "Normal"))</f>
        <v>Normal</v>
      </c>
      <c r="Z305">
        <f ca="1" xml:space="preserve"> _xlfn.DAYS(TODAY(), orders[[#This Row],[OrderDate]])</f>
        <v>919</v>
      </c>
      <c r="AA305"/>
    </row>
    <row r="306" spans="1:27">
      <c r="A306" t="s">
        <v>3089</v>
      </c>
      <c r="B306" t="s">
        <v>643</v>
      </c>
      <c r="C306" t="s">
        <v>3340</v>
      </c>
      <c r="D306" t="str">
        <f>TEXT(orders[[#This Row],[OrderDate]], "YYYY-MM")</f>
        <v>2022-07</v>
      </c>
      <c r="E306" t="s">
        <v>2755</v>
      </c>
      <c r="F306" s="1">
        <v>44744</v>
      </c>
      <c r="G306" s="1">
        <v>44751</v>
      </c>
      <c r="H306" s="1">
        <v>44752</v>
      </c>
      <c r="I306">
        <v>2</v>
      </c>
      <c r="J306">
        <v>6999</v>
      </c>
      <c r="K306">
        <v>10</v>
      </c>
      <c r="L306">
        <v>1399.8</v>
      </c>
      <c r="M306">
        <v>12598.2</v>
      </c>
      <c r="N306">
        <v>4198.2</v>
      </c>
      <c r="O306" t="s">
        <v>2749</v>
      </c>
      <c r="P306" t="s">
        <v>2770</v>
      </c>
      <c r="Q306" t="s">
        <v>2794</v>
      </c>
      <c r="R306" t="s">
        <v>24</v>
      </c>
      <c r="S306">
        <v>2</v>
      </c>
      <c r="T306">
        <v>2022</v>
      </c>
      <c r="U306" t="s">
        <v>2792</v>
      </c>
      <c r="V306" t="s">
        <v>2774</v>
      </c>
      <c r="W306">
        <v>7</v>
      </c>
      <c r="X30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06" t="str">
        <f>IF(orders[[#This Row],[Revenue]]&gt;AVERAGE(orders[Revenue])+3*STDEV(orders[Revenue]),"High Outlier",
 IF(orders[[#This Row],[Revenue]]&lt;AVERAGE(orders[Revenue])-3*STDEV(orders[Revenue]),"Low Outlier",
 "Normal"))</f>
        <v>Normal</v>
      </c>
      <c r="Z306">
        <f ca="1" xml:space="preserve"> _xlfn.DAYS(TODAY(), orders[[#This Row],[OrderDate]])</f>
        <v>1398</v>
      </c>
      <c r="AA306"/>
    </row>
    <row r="307" spans="1:27">
      <c r="A307" t="s">
        <v>3090</v>
      </c>
      <c r="B307" t="s">
        <v>464</v>
      </c>
      <c r="C307" t="s">
        <v>3350</v>
      </c>
      <c r="D307" t="str">
        <f>TEXT(orders[[#This Row],[OrderDate]], "YYYY-MM")</f>
        <v>2024-06</v>
      </c>
      <c r="E307" t="s">
        <v>2785</v>
      </c>
      <c r="F307" s="1">
        <v>45447</v>
      </c>
      <c r="I307">
        <v>3</v>
      </c>
      <c r="J307">
        <v>12999</v>
      </c>
      <c r="K307">
        <v>0</v>
      </c>
      <c r="L307">
        <v>0</v>
      </c>
      <c r="M307">
        <v>38997</v>
      </c>
      <c r="N307">
        <v>14997</v>
      </c>
      <c r="O307" t="s">
        <v>2781</v>
      </c>
      <c r="P307" t="s">
        <v>2750</v>
      </c>
      <c r="Q307" t="s">
        <v>2762</v>
      </c>
      <c r="R307" t="s">
        <v>188</v>
      </c>
      <c r="T307">
        <v>2024</v>
      </c>
      <c r="U307" t="s">
        <v>2771</v>
      </c>
      <c r="V307" t="s">
        <v>2767</v>
      </c>
      <c r="X30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07" t="str">
        <f>IF(orders[[#This Row],[Revenue]]&gt;AVERAGE(orders[Revenue])+3*STDEV(orders[Revenue]),"High Outlier",
 IF(orders[[#This Row],[Revenue]]&lt;AVERAGE(orders[Revenue])-3*STDEV(orders[Revenue]),"Low Outlier",
 "Normal"))</f>
        <v>Normal</v>
      </c>
      <c r="Z307">
        <f ca="1" xml:space="preserve"> _xlfn.DAYS(TODAY(), orders[[#This Row],[OrderDate]])</f>
        <v>695</v>
      </c>
      <c r="AA307"/>
    </row>
    <row r="308" spans="1:27">
      <c r="A308" t="s">
        <v>3091</v>
      </c>
      <c r="B308" t="s">
        <v>2360</v>
      </c>
      <c r="C308" t="s">
        <v>3362</v>
      </c>
      <c r="D308" t="str">
        <f>TEXT(orders[[#This Row],[OrderDate]], "YYYY-MM")</f>
        <v>2024-09</v>
      </c>
      <c r="E308" t="s">
        <v>2804</v>
      </c>
      <c r="F308" s="1">
        <v>45564</v>
      </c>
      <c r="G308" s="1">
        <v>45568</v>
      </c>
      <c r="H308" s="1">
        <v>45571</v>
      </c>
      <c r="I308">
        <v>3</v>
      </c>
      <c r="J308">
        <v>41900</v>
      </c>
      <c r="K308">
        <v>10</v>
      </c>
      <c r="L308">
        <v>12570</v>
      </c>
      <c r="M308">
        <v>113130</v>
      </c>
      <c r="N308">
        <v>29130</v>
      </c>
      <c r="O308" t="s">
        <v>2749</v>
      </c>
      <c r="P308" t="s">
        <v>2757</v>
      </c>
      <c r="Q308" t="s">
        <v>2751</v>
      </c>
      <c r="R308" t="s">
        <v>46</v>
      </c>
      <c r="S308">
        <v>3</v>
      </c>
      <c r="T308">
        <v>2024</v>
      </c>
      <c r="U308" t="s">
        <v>2790</v>
      </c>
      <c r="V308" t="s">
        <v>2774</v>
      </c>
      <c r="W308">
        <v>4</v>
      </c>
      <c r="X30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08" t="str">
        <f>IF(orders[[#This Row],[Revenue]]&gt;AVERAGE(orders[Revenue])+3*STDEV(orders[Revenue]),"High Outlier",
 IF(orders[[#This Row],[Revenue]]&lt;AVERAGE(orders[Revenue])-3*STDEV(orders[Revenue]),"Low Outlier",
 "Normal"))</f>
        <v>Normal</v>
      </c>
      <c r="Z308">
        <f ca="1" xml:space="preserve"> _xlfn.DAYS(TODAY(), orders[[#This Row],[OrderDate]])</f>
        <v>578</v>
      </c>
      <c r="AA308"/>
    </row>
    <row r="309" spans="1:27">
      <c r="A309" t="s">
        <v>3092</v>
      </c>
      <c r="B309" t="s">
        <v>1806</v>
      </c>
      <c r="C309" t="s">
        <v>3331</v>
      </c>
      <c r="D309" t="str">
        <f>TEXT(orders[[#This Row],[OrderDate]], "YYYY-MM")</f>
        <v>2024-05</v>
      </c>
      <c r="E309" t="s">
        <v>2769</v>
      </c>
      <c r="F309" s="1">
        <v>45434</v>
      </c>
      <c r="G309" s="1">
        <v>45435</v>
      </c>
      <c r="H309" s="1">
        <v>45437</v>
      </c>
      <c r="I309">
        <v>4</v>
      </c>
      <c r="J309">
        <v>38999</v>
      </c>
      <c r="K309">
        <v>5</v>
      </c>
      <c r="L309">
        <v>7799.8</v>
      </c>
      <c r="M309">
        <v>148196.20000000001</v>
      </c>
      <c r="N309">
        <v>40196.199999999997</v>
      </c>
      <c r="O309" t="s">
        <v>2749</v>
      </c>
      <c r="P309" t="s">
        <v>2778</v>
      </c>
      <c r="Q309" t="s">
        <v>2779</v>
      </c>
      <c r="R309" t="s">
        <v>46</v>
      </c>
      <c r="S309">
        <v>4</v>
      </c>
      <c r="T309">
        <v>2024</v>
      </c>
      <c r="U309" t="s">
        <v>2766</v>
      </c>
      <c r="V309" t="s">
        <v>2767</v>
      </c>
      <c r="W309">
        <v>1</v>
      </c>
      <c r="X30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09" t="str">
        <f>IF(orders[[#This Row],[Revenue]]&gt;AVERAGE(orders[Revenue])+3*STDEV(orders[Revenue]),"High Outlier",
 IF(orders[[#This Row],[Revenue]]&lt;AVERAGE(orders[Revenue])-3*STDEV(orders[Revenue]),"Low Outlier",
 "Normal"))</f>
        <v>Normal</v>
      </c>
      <c r="Z309">
        <f ca="1" xml:space="preserve"> _xlfn.DAYS(TODAY(), orders[[#This Row],[OrderDate]])</f>
        <v>708</v>
      </c>
      <c r="AA309"/>
    </row>
    <row r="310" spans="1:27">
      <c r="A310" t="s">
        <v>3093</v>
      </c>
      <c r="B310" t="s">
        <v>1578</v>
      </c>
      <c r="C310" t="s">
        <v>3405</v>
      </c>
      <c r="D310" t="str">
        <f>TEXT(orders[[#This Row],[OrderDate]], "YYYY-MM")</f>
        <v>2023-08</v>
      </c>
      <c r="E310" t="s">
        <v>2809</v>
      </c>
      <c r="F310" s="1">
        <v>45157</v>
      </c>
      <c r="G310" s="1">
        <v>45161</v>
      </c>
      <c r="H310" s="1">
        <v>45161</v>
      </c>
      <c r="I310">
        <v>4</v>
      </c>
      <c r="J310">
        <v>8495</v>
      </c>
      <c r="K310">
        <v>5</v>
      </c>
      <c r="L310">
        <v>1699</v>
      </c>
      <c r="M310">
        <v>32281</v>
      </c>
      <c r="N310">
        <v>10281</v>
      </c>
      <c r="O310" t="s">
        <v>2749</v>
      </c>
      <c r="P310" t="s">
        <v>2782</v>
      </c>
      <c r="Q310" t="s">
        <v>2779</v>
      </c>
      <c r="R310" t="s">
        <v>24</v>
      </c>
      <c r="S310">
        <v>3</v>
      </c>
      <c r="T310">
        <v>2023</v>
      </c>
      <c r="U310" t="s">
        <v>2773</v>
      </c>
      <c r="V310" t="s">
        <v>2774</v>
      </c>
      <c r="W310">
        <v>4</v>
      </c>
      <c r="X31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10" t="str">
        <f>IF(orders[[#This Row],[Revenue]]&gt;AVERAGE(orders[Revenue])+3*STDEV(orders[Revenue]),"High Outlier",
 IF(orders[[#This Row],[Revenue]]&lt;AVERAGE(orders[Revenue])-3*STDEV(orders[Revenue]),"Low Outlier",
 "Normal"))</f>
        <v>Normal</v>
      </c>
      <c r="Z310">
        <f ca="1" xml:space="preserve"> _xlfn.DAYS(TODAY(), orders[[#This Row],[OrderDate]])</f>
        <v>985</v>
      </c>
      <c r="AA310"/>
    </row>
    <row r="311" spans="1:27">
      <c r="A311" t="s">
        <v>3094</v>
      </c>
      <c r="B311" t="s">
        <v>2380</v>
      </c>
      <c r="C311" t="s">
        <v>3340</v>
      </c>
      <c r="D311" t="str">
        <f>TEXT(orders[[#This Row],[OrderDate]], "YYYY-MM")</f>
        <v>2023-08</v>
      </c>
      <c r="E311" t="s">
        <v>2785</v>
      </c>
      <c r="F311" s="1">
        <v>45167</v>
      </c>
      <c r="I311">
        <v>1</v>
      </c>
      <c r="J311">
        <v>6999</v>
      </c>
      <c r="K311">
        <v>20</v>
      </c>
      <c r="L311">
        <v>1399.8</v>
      </c>
      <c r="M311">
        <v>5599.2</v>
      </c>
      <c r="N311">
        <v>1399.2</v>
      </c>
      <c r="O311" t="s">
        <v>2756</v>
      </c>
      <c r="P311" t="s">
        <v>2757</v>
      </c>
      <c r="Q311" t="s">
        <v>2762</v>
      </c>
      <c r="R311" t="s">
        <v>188</v>
      </c>
      <c r="T311">
        <v>2023</v>
      </c>
      <c r="U311" t="s">
        <v>2773</v>
      </c>
      <c r="V311" t="s">
        <v>2774</v>
      </c>
      <c r="X31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11" t="str">
        <f>IF(orders[[#This Row],[Revenue]]&gt;AVERAGE(orders[Revenue])+3*STDEV(orders[Revenue]),"High Outlier",
 IF(orders[[#This Row],[Revenue]]&lt;AVERAGE(orders[Revenue])-3*STDEV(orders[Revenue]),"Low Outlier",
 "Normal"))</f>
        <v>Normal</v>
      </c>
      <c r="Z311">
        <f ca="1" xml:space="preserve"> _xlfn.DAYS(TODAY(), orders[[#This Row],[OrderDate]])</f>
        <v>975</v>
      </c>
      <c r="AA311"/>
    </row>
    <row r="312" spans="1:27">
      <c r="A312" t="s">
        <v>3095</v>
      </c>
      <c r="B312" t="s">
        <v>1543</v>
      </c>
      <c r="C312" t="s">
        <v>3319</v>
      </c>
      <c r="D312" t="str">
        <f>TEXT(orders[[#This Row],[OrderDate]], "YYYY-MM")</f>
        <v>2024-04</v>
      </c>
      <c r="E312" t="s">
        <v>2785</v>
      </c>
      <c r="F312" s="1">
        <v>45407</v>
      </c>
      <c r="G312" s="1">
        <v>45411</v>
      </c>
      <c r="H312" s="1">
        <v>45413</v>
      </c>
      <c r="I312">
        <v>3</v>
      </c>
      <c r="J312">
        <v>55990</v>
      </c>
      <c r="K312">
        <v>5</v>
      </c>
      <c r="L312">
        <v>8398.5</v>
      </c>
      <c r="M312">
        <v>159571.5</v>
      </c>
      <c r="N312">
        <v>39571.5</v>
      </c>
      <c r="O312" t="s">
        <v>2749</v>
      </c>
      <c r="P312" t="s">
        <v>2761</v>
      </c>
      <c r="Q312" t="s">
        <v>2762</v>
      </c>
      <c r="R312" t="s">
        <v>188</v>
      </c>
      <c r="S312">
        <v>5</v>
      </c>
      <c r="T312">
        <v>2024</v>
      </c>
      <c r="U312" t="s">
        <v>2783</v>
      </c>
      <c r="V312" t="s">
        <v>2767</v>
      </c>
      <c r="W312">
        <v>4</v>
      </c>
      <c r="X31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12" t="str">
        <f>IF(orders[[#This Row],[Revenue]]&gt;AVERAGE(orders[Revenue])+3*STDEV(orders[Revenue]),"High Outlier",
 IF(orders[[#This Row],[Revenue]]&lt;AVERAGE(orders[Revenue])-3*STDEV(orders[Revenue]),"Low Outlier",
 "Normal"))</f>
        <v>Normal</v>
      </c>
      <c r="Z312">
        <f ca="1" xml:space="preserve"> _xlfn.DAYS(TODAY(), orders[[#This Row],[OrderDate]])</f>
        <v>735</v>
      </c>
      <c r="AA312"/>
    </row>
    <row r="313" spans="1:27">
      <c r="A313" t="s">
        <v>3096</v>
      </c>
      <c r="B313" t="s">
        <v>94</v>
      </c>
      <c r="C313" t="s">
        <v>3319</v>
      </c>
      <c r="D313" t="str">
        <f>TEXT(orders[[#This Row],[OrderDate]], "YYYY-MM")</f>
        <v>2023-01</v>
      </c>
      <c r="E313" t="s">
        <v>2769</v>
      </c>
      <c r="F313" s="1">
        <v>44929</v>
      </c>
      <c r="G313" s="1">
        <v>44936</v>
      </c>
      <c r="H313" s="1">
        <v>44939</v>
      </c>
      <c r="I313">
        <v>1</v>
      </c>
      <c r="J313">
        <v>55990</v>
      </c>
      <c r="K313">
        <v>0</v>
      </c>
      <c r="L313">
        <v>0</v>
      </c>
      <c r="M313">
        <v>55990</v>
      </c>
      <c r="N313">
        <v>15990</v>
      </c>
      <c r="O313" t="s">
        <v>2749</v>
      </c>
      <c r="P313" t="s">
        <v>2770</v>
      </c>
      <c r="Q313" t="s">
        <v>2794</v>
      </c>
      <c r="R313" t="s">
        <v>46</v>
      </c>
      <c r="S313">
        <v>3</v>
      </c>
      <c r="T313">
        <v>2023</v>
      </c>
      <c r="U313" t="s">
        <v>2795</v>
      </c>
      <c r="V313" t="s">
        <v>2753</v>
      </c>
      <c r="W313">
        <v>7</v>
      </c>
      <c r="X31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13" t="str">
        <f>IF(orders[[#This Row],[Revenue]]&gt;AVERAGE(orders[Revenue])+3*STDEV(orders[Revenue]),"High Outlier",
 IF(orders[[#This Row],[Revenue]]&lt;AVERAGE(orders[Revenue])-3*STDEV(orders[Revenue]),"Low Outlier",
 "Normal"))</f>
        <v>Normal</v>
      </c>
      <c r="Z313">
        <f ca="1" xml:space="preserve"> _xlfn.DAYS(TODAY(), orders[[#This Row],[OrderDate]])</f>
        <v>1213</v>
      </c>
      <c r="AA313"/>
    </row>
    <row r="314" spans="1:27">
      <c r="A314" t="s">
        <v>3097</v>
      </c>
      <c r="B314" t="s">
        <v>1734</v>
      </c>
      <c r="C314" t="s">
        <v>3418</v>
      </c>
      <c r="D314" t="str">
        <f>TEXT(orders[[#This Row],[OrderDate]], "YYYY-MM")</f>
        <v>2024-07</v>
      </c>
      <c r="E314" t="s">
        <v>2755</v>
      </c>
      <c r="F314" s="1">
        <v>45483</v>
      </c>
      <c r="I314">
        <v>3</v>
      </c>
      <c r="J314">
        <v>4999</v>
      </c>
      <c r="K314">
        <v>10</v>
      </c>
      <c r="L314">
        <v>1499.7</v>
      </c>
      <c r="M314">
        <v>13497.3</v>
      </c>
      <c r="N314">
        <v>5097.3</v>
      </c>
      <c r="O314" t="s">
        <v>2756</v>
      </c>
      <c r="P314" t="s">
        <v>2782</v>
      </c>
      <c r="Q314" t="s">
        <v>2779</v>
      </c>
      <c r="R314" t="s">
        <v>24</v>
      </c>
      <c r="T314">
        <v>2024</v>
      </c>
      <c r="U314" t="s">
        <v>2792</v>
      </c>
      <c r="V314" t="s">
        <v>2774</v>
      </c>
      <c r="X31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14" t="str">
        <f>IF(orders[[#This Row],[Revenue]]&gt;AVERAGE(orders[Revenue])+3*STDEV(orders[Revenue]),"High Outlier",
 IF(orders[[#This Row],[Revenue]]&lt;AVERAGE(orders[Revenue])-3*STDEV(orders[Revenue]),"Low Outlier",
 "Normal"))</f>
        <v>Normal</v>
      </c>
      <c r="Z314">
        <f ca="1" xml:space="preserve"> _xlfn.DAYS(TODAY(), orders[[#This Row],[OrderDate]])</f>
        <v>659</v>
      </c>
      <c r="AA314"/>
    </row>
    <row r="315" spans="1:27">
      <c r="A315" t="s">
        <v>3098</v>
      </c>
      <c r="B315" t="s">
        <v>659</v>
      </c>
      <c r="C315" t="s">
        <v>3314</v>
      </c>
      <c r="D315" t="str">
        <f>TEXT(orders[[#This Row],[OrderDate]], "YYYY-MM")</f>
        <v>2022-08</v>
      </c>
      <c r="E315" t="s">
        <v>2769</v>
      </c>
      <c r="F315" s="1">
        <v>44779</v>
      </c>
      <c r="G315" s="1">
        <v>44784</v>
      </c>
      <c r="H315" s="1">
        <v>44784</v>
      </c>
      <c r="I315">
        <v>1</v>
      </c>
      <c r="J315">
        <v>114900</v>
      </c>
      <c r="K315">
        <v>10</v>
      </c>
      <c r="L315">
        <v>11490</v>
      </c>
      <c r="M315">
        <v>103410</v>
      </c>
      <c r="N315">
        <v>18410</v>
      </c>
      <c r="O315" t="s">
        <v>2749</v>
      </c>
      <c r="P315" t="s">
        <v>2757</v>
      </c>
      <c r="Q315" t="s">
        <v>2762</v>
      </c>
      <c r="R315" t="s">
        <v>46</v>
      </c>
      <c r="S315">
        <v>2</v>
      </c>
      <c r="T315">
        <v>2022</v>
      </c>
      <c r="U315" t="s">
        <v>2773</v>
      </c>
      <c r="V315" t="s">
        <v>2774</v>
      </c>
      <c r="W315">
        <v>5</v>
      </c>
      <c r="X31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15" t="str">
        <f>IF(orders[[#This Row],[Revenue]]&gt;AVERAGE(orders[Revenue])+3*STDEV(orders[Revenue]),"High Outlier",
 IF(orders[[#This Row],[Revenue]]&lt;AVERAGE(orders[Revenue])-3*STDEV(orders[Revenue]),"Low Outlier",
 "Normal"))</f>
        <v>Normal</v>
      </c>
      <c r="Z315">
        <f ca="1" xml:space="preserve"> _xlfn.DAYS(TODAY(), orders[[#This Row],[OrderDate]])</f>
        <v>1363</v>
      </c>
      <c r="AA315"/>
    </row>
    <row r="316" spans="1:27">
      <c r="A316" t="s">
        <v>3099</v>
      </c>
      <c r="B316" t="s">
        <v>1911</v>
      </c>
      <c r="C316" t="s">
        <v>3379</v>
      </c>
      <c r="D316" t="str">
        <f>TEXT(orders[[#This Row],[OrderDate]], "YYYY-MM")</f>
        <v>2024-04</v>
      </c>
      <c r="E316" t="s">
        <v>2813</v>
      </c>
      <c r="F316" s="1">
        <v>45391</v>
      </c>
      <c r="I316">
        <v>5</v>
      </c>
      <c r="J316">
        <v>29999</v>
      </c>
      <c r="K316">
        <v>15</v>
      </c>
      <c r="L316">
        <v>22499.25</v>
      </c>
      <c r="M316">
        <v>127495.75</v>
      </c>
      <c r="N316">
        <v>27495.75</v>
      </c>
      <c r="O316" t="s">
        <v>2781</v>
      </c>
      <c r="P316" t="s">
        <v>2750</v>
      </c>
      <c r="Q316" t="s">
        <v>2758</v>
      </c>
      <c r="R316" t="s">
        <v>76</v>
      </c>
      <c r="T316">
        <v>2024</v>
      </c>
      <c r="U316" t="s">
        <v>2783</v>
      </c>
      <c r="V316" t="s">
        <v>2767</v>
      </c>
      <c r="X31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16" t="str">
        <f>IF(orders[[#This Row],[Revenue]]&gt;AVERAGE(orders[Revenue])+3*STDEV(orders[Revenue]),"High Outlier",
 IF(orders[[#This Row],[Revenue]]&lt;AVERAGE(orders[Revenue])-3*STDEV(orders[Revenue]),"Low Outlier",
 "Normal"))</f>
        <v>Normal</v>
      </c>
      <c r="Z316">
        <f ca="1" xml:space="preserve"> _xlfn.DAYS(TODAY(), orders[[#This Row],[OrderDate]])</f>
        <v>751</v>
      </c>
      <c r="AA316"/>
    </row>
    <row r="317" spans="1:27">
      <c r="A317" t="s">
        <v>3100</v>
      </c>
      <c r="B317" t="s">
        <v>2312</v>
      </c>
      <c r="C317" t="s">
        <v>3399</v>
      </c>
      <c r="D317" t="str">
        <f>TEXT(orders[[#This Row],[OrderDate]], "YYYY-MM")</f>
        <v>2024-03</v>
      </c>
      <c r="E317" t="s">
        <v>2785</v>
      </c>
      <c r="F317" s="1">
        <v>45370</v>
      </c>
      <c r="G317" s="1">
        <v>45371</v>
      </c>
      <c r="H317" s="1">
        <v>45372</v>
      </c>
      <c r="I317">
        <v>2</v>
      </c>
      <c r="J317">
        <v>3499</v>
      </c>
      <c r="K317">
        <v>0</v>
      </c>
      <c r="L317">
        <v>0</v>
      </c>
      <c r="M317">
        <v>6998</v>
      </c>
      <c r="N317">
        <v>3398</v>
      </c>
      <c r="O317" t="s">
        <v>2749</v>
      </c>
      <c r="P317" t="s">
        <v>2782</v>
      </c>
      <c r="Q317" t="s">
        <v>2762</v>
      </c>
      <c r="R317" t="s">
        <v>188</v>
      </c>
      <c r="S317">
        <v>1</v>
      </c>
      <c r="T317">
        <v>2024</v>
      </c>
      <c r="U317" t="s">
        <v>2752</v>
      </c>
      <c r="V317" t="s">
        <v>2753</v>
      </c>
      <c r="W317">
        <v>1</v>
      </c>
      <c r="X31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17" t="str">
        <f>IF(orders[[#This Row],[Revenue]]&gt;AVERAGE(orders[Revenue])+3*STDEV(orders[Revenue]),"High Outlier",
 IF(orders[[#This Row],[Revenue]]&lt;AVERAGE(orders[Revenue])-3*STDEV(orders[Revenue]),"Low Outlier",
 "Normal"))</f>
        <v>Normal</v>
      </c>
      <c r="Z317">
        <f ca="1" xml:space="preserve"> _xlfn.DAYS(TODAY(), orders[[#This Row],[OrderDate]])</f>
        <v>772</v>
      </c>
      <c r="AA317"/>
    </row>
    <row r="318" spans="1:27">
      <c r="A318" t="s">
        <v>3101</v>
      </c>
      <c r="B318" t="s">
        <v>2015</v>
      </c>
      <c r="C318" t="s">
        <v>3336</v>
      </c>
      <c r="D318" t="str">
        <f>TEXT(orders[[#This Row],[OrderDate]], "YYYY-MM")</f>
        <v>2023-03</v>
      </c>
      <c r="E318" t="s">
        <v>2804</v>
      </c>
      <c r="F318" s="1">
        <v>44990</v>
      </c>
      <c r="G318" s="1">
        <v>44996</v>
      </c>
      <c r="H318" s="1">
        <v>44997</v>
      </c>
      <c r="I318">
        <v>2</v>
      </c>
      <c r="J318">
        <v>26990</v>
      </c>
      <c r="K318">
        <v>10</v>
      </c>
      <c r="L318">
        <v>5398</v>
      </c>
      <c r="M318">
        <v>48582</v>
      </c>
      <c r="N318">
        <v>12582</v>
      </c>
      <c r="O318" t="s">
        <v>2749</v>
      </c>
      <c r="P318" t="s">
        <v>2778</v>
      </c>
      <c r="Q318" t="s">
        <v>2758</v>
      </c>
      <c r="R318" t="s">
        <v>46</v>
      </c>
      <c r="S318">
        <v>2</v>
      </c>
      <c r="T318">
        <v>2023</v>
      </c>
      <c r="U318" t="s">
        <v>2752</v>
      </c>
      <c r="V318" t="s">
        <v>2753</v>
      </c>
      <c r="W318">
        <v>6</v>
      </c>
      <c r="X31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18" t="str">
        <f>IF(orders[[#This Row],[Revenue]]&gt;AVERAGE(orders[Revenue])+3*STDEV(orders[Revenue]),"High Outlier",
 IF(orders[[#This Row],[Revenue]]&lt;AVERAGE(orders[Revenue])-3*STDEV(orders[Revenue]),"Low Outlier",
 "Normal"))</f>
        <v>Normal</v>
      </c>
      <c r="Z318">
        <f ca="1" xml:space="preserve"> _xlfn.DAYS(TODAY(), orders[[#This Row],[OrderDate]])</f>
        <v>1152</v>
      </c>
      <c r="AA318"/>
    </row>
    <row r="319" spans="1:27">
      <c r="A319" t="s">
        <v>3102</v>
      </c>
      <c r="B319" t="s">
        <v>357</v>
      </c>
      <c r="C319" t="s">
        <v>3350</v>
      </c>
      <c r="D319" t="str">
        <f>TEXT(orders[[#This Row],[OrderDate]], "YYYY-MM")</f>
        <v>2022-10</v>
      </c>
      <c r="E319" t="s">
        <v>2776</v>
      </c>
      <c r="F319" s="1">
        <v>44865</v>
      </c>
      <c r="G319" s="1">
        <v>44869</v>
      </c>
      <c r="H319" s="1">
        <v>44869</v>
      </c>
      <c r="I319">
        <v>1</v>
      </c>
      <c r="J319">
        <v>12999</v>
      </c>
      <c r="K319">
        <v>0</v>
      </c>
      <c r="L319">
        <v>0</v>
      </c>
      <c r="M319">
        <v>12999</v>
      </c>
      <c r="N319">
        <v>4999</v>
      </c>
      <c r="O319" t="s">
        <v>2749</v>
      </c>
      <c r="P319" t="s">
        <v>2782</v>
      </c>
      <c r="Q319" t="s">
        <v>2751</v>
      </c>
      <c r="R319" t="s">
        <v>35</v>
      </c>
      <c r="S319">
        <v>4</v>
      </c>
      <c r="T319">
        <v>2022</v>
      </c>
      <c r="U319" t="s">
        <v>2788</v>
      </c>
      <c r="V319" t="s">
        <v>2764</v>
      </c>
      <c r="W319">
        <v>4</v>
      </c>
      <c r="X31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19" t="str">
        <f>IF(orders[[#This Row],[Revenue]]&gt;AVERAGE(orders[Revenue])+3*STDEV(orders[Revenue]),"High Outlier",
 IF(orders[[#This Row],[Revenue]]&lt;AVERAGE(orders[Revenue])-3*STDEV(orders[Revenue]),"Low Outlier",
 "Normal"))</f>
        <v>Normal</v>
      </c>
      <c r="Z319">
        <f ca="1" xml:space="preserve"> _xlfn.DAYS(TODAY(), orders[[#This Row],[OrderDate]])</f>
        <v>1277</v>
      </c>
      <c r="AA319"/>
    </row>
    <row r="320" spans="1:27">
      <c r="A320" t="s">
        <v>3103</v>
      </c>
      <c r="B320" t="s">
        <v>1438</v>
      </c>
      <c r="C320" t="s">
        <v>3298</v>
      </c>
      <c r="D320" t="str">
        <f>TEXT(orders[[#This Row],[OrderDate]], "YYYY-MM")</f>
        <v>2023-05</v>
      </c>
      <c r="E320" t="s">
        <v>2755</v>
      </c>
      <c r="F320" s="1">
        <v>45058</v>
      </c>
      <c r="G320" s="1">
        <v>45061</v>
      </c>
      <c r="H320" s="1">
        <v>45064</v>
      </c>
      <c r="I320">
        <v>1</v>
      </c>
      <c r="J320">
        <v>79999</v>
      </c>
      <c r="K320">
        <v>10</v>
      </c>
      <c r="L320">
        <v>7999.9</v>
      </c>
      <c r="M320">
        <v>71999.100000000006</v>
      </c>
      <c r="N320">
        <v>16999.099999999999</v>
      </c>
      <c r="O320" t="s">
        <v>2749</v>
      </c>
      <c r="P320" t="s">
        <v>2757</v>
      </c>
      <c r="Q320" t="s">
        <v>2762</v>
      </c>
      <c r="R320" t="s">
        <v>24</v>
      </c>
      <c r="S320">
        <v>4</v>
      </c>
      <c r="T320">
        <v>2023</v>
      </c>
      <c r="U320" t="s">
        <v>2766</v>
      </c>
      <c r="V320" t="s">
        <v>2767</v>
      </c>
      <c r="W320">
        <v>3</v>
      </c>
      <c r="X32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20" t="str">
        <f>IF(orders[[#This Row],[Revenue]]&gt;AVERAGE(orders[Revenue])+3*STDEV(orders[Revenue]),"High Outlier",
 IF(orders[[#This Row],[Revenue]]&lt;AVERAGE(orders[Revenue])-3*STDEV(orders[Revenue]),"Low Outlier",
 "Normal"))</f>
        <v>Normal</v>
      </c>
      <c r="Z320">
        <f ca="1" xml:space="preserve"> _xlfn.DAYS(TODAY(), orders[[#This Row],[OrderDate]])</f>
        <v>1084</v>
      </c>
      <c r="AA320"/>
    </row>
    <row r="321" spans="1:27">
      <c r="A321" t="s">
        <v>3104</v>
      </c>
      <c r="B321" t="s">
        <v>1291</v>
      </c>
      <c r="C321" t="s">
        <v>3379</v>
      </c>
      <c r="D321" t="str">
        <f>TEXT(orders[[#This Row],[OrderDate]], "YYYY-MM")</f>
        <v>2022-03</v>
      </c>
      <c r="E321" t="s">
        <v>2776</v>
      </c>
      <c r="F321" s="1">
        <v>44637</v>
      </c>
      <c r="G321" s="1">
        <v>44641</v>
      </c>
      <c r="H321" s="1">
        <v>44644</v>
      </c>
      <c r="I321">
        <v>5</v>
      </c>
      <c r="J321">
        <v>29999</v>
      </c>
      <c r="K321">
        <v>15</v>
      </c>
      <c r="L321">
        <v>22499.25</v>
      </c>
      <c r="M321">
        <v>127495.75</v>
      </c>
      <c r="N321">
        <v>27495.75</v>
      </c>
      <c r="O321" t="s">
        <v>2749</v>
      </c>
      <c r="P321" t="s">
        <v>2782</v>
      </c>
      <c r="Q321" t="s">
        <v>2762</v>
      </c>
      <c r="R321" t="s">
        <v>35</v>
      </c>
      <c r="S321">
        <v>5</v>
      </c>
      <c r="T321">
        <v>2022</v>
      </c>
      <c r="U321" t="s">
        <v>2752</v>
      </c>
      <c r="V321" t="s">
        <v>2753</v>
      </c>
      <c r="W321">
        <v>4</v>
      </c>
      <c r="X32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21" t="str">
        <f>IF(orders[[#This Row],[Revenue]]&gt;AVERAGE(orders[Revenue])+3*STDEV(orders[Revenue]),"High Outlier",
 IF(orders[[#This Row],[Revenue]]&lt;AVERAGE(orders[Revenue])-3*STDEV(orders[Revenue]),"Low Outlier",
 "Normal"))</f>
        <v>Normal</v>
      </c>
      <c r="Z321">
        <f ca="1" xml:space="preserve"> _xlfn.DAYS(TODAY(), orders[[#This Row],[OrderDate]])</f>
        <v>1505</v>
      </c>
      <c r="AA321"/>
    </row>
    <row r="322" spans="1:27">
      <c r="A322" t="s">
        <v>3105</v>
      </c>
      <c r="B322" t="s">
        <v>102</v>
      </c>
      <c r="C322" t="s">
        <v>3370</v>
      </c>
      <c r="D322" t="str">
        <f>TEXT(orders[[#This Row],[OrderDate]], "YYYY-MM")</f>
        <v>2022-05</v>
      </c>
      <c r="E322" t="s">
        <v>2769</v>
      </c>
      <c r="F322" s="1">
        <v>44692</v>
      </c>
      <c r="G322" s="1">
        <v>44698</v>
      </c>
      <c r="H322" s="1">
        <v>44701</v>
      </c>
      <c r="I322">
        <v>4</v>
      </c>
      <c r="J322">
        <v>24999</v>
      </c>
      <c r="K322">
        <v>0</v>
      </c>
      <c r="L322">
        <v>0</v>
      </c>
      <c r="M322">
        <v>99996</v>
      </c>
      <c r="N322">
        <v>31996</v>
      </c>
      <c r="O322" t="s">
        <v>2749</v>
      </c>
      <c r="P322" t="s">
        <v>2770</v>
      </c>
      <c r="Q322" t="s">
        <v>2758</v>
      </c>
      <c r="R322" t="s">
        <v>46</v>
      </c>
      <c r="S322">
        <v>3</v>
      </c>
      <c r="T322">
        <v>2022</v>
      </c>
      <c r="U322" t="s">
        <v>2766</v>
      </c>
      <c r="V322" t="s">
        <v>2767</v>
      </c>
      <c r="W322">
        <v>6</v>
      </c>
      <c r="X32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22" t="str">
        <f>IF(orders[[#This Row],[Revenue]]&gt;AVERAGE(orders[Revenue])+3*STDEV(orders[Revenue]),"High Outlier",
 IF(orders[[#This Row],[Revenue]]&lt;AVERAGE(orders[Revenue])-3*STDEV(orders[Revenue]),"Low Outlier",
 "Normal"))</f>
        <v>Normal</v>
      </c>
      <c r="Z322">
        <f ca="1" xml:space="preserve"> _xlfn.DAYS(TODAY(), orders[[#This Row],[OrderDate]])</f>
        <v>1450</v>
      </c>
      <c r="AA322"/>
    </row>
    <row r="323" spans="1:27">
      <c r="A323" t="s">
        <v>3106</v>
      </c>
      <c r="B323" t="s">
        <v>1377</v>
      </c>
      <c r="C323" t="s">
        <v>3413</v>
      </c>
      <c r="D323" t="str">
        <f>TEXT(orders[[#This Row],[OrderDate]], "YYYY-MM")</f>
        <v>2022-02</v>
      </c>
      <c r="E323" t="s">
        <v>2769</v>
      </c>
      <c r="F323" s="1">
        <v>44604</v>
      </c>
      <c r="G323" s="1">
        <v>44607</v>
      </c>
      <c r="H323" s="1">
        <v>44608</v>
      </c>
      <c r="I323">
        <v>4</v>
      </c>
      <c r="J323">
        <v>5999</v>
      </c>
      <c r="K323">
        <v>10</v>
      </c>
      <c r="L323">
        <v>2399.6</v>
      </c>
      <c r="M323">
        <v>21596.400000000001</v>
      </c>
      <c r="N323">
        <v>6396.4</v>
      </c>
      <c r="O323" t="s">
        <v>2749</v>
      </c>
      <c r="P323" t="s">
        <v>2770</v>
      </c>
      <c r="Q323" t="s">
        <v>2779</v>
      </c>
      <c r="R323" t="s">
        <v>46</v>
      </c>
      <c r="S323">
        <v>5</v>
      </c>
      <c r="T323">
        <v>2022</v>
      </c>
      <c r="U323" t="s">
        <v>2759</v>
      </c>
      <c r="V323" t="s">
        <v>2753</v>
      </c>
      <c r="W323">
        <v>3</v>
      </c>
      <c r="X32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23" t="str">
        <f>IF(orders[[#This Row],[Revenue]]&gt;AVERAGE(orders[Revenue])+3*STDEV(orders[Revenue]),"High Outlier",
 IF(orders[[#This Row],[Revenue]]&lt;AVERAGE(orders[Revenue])-3*STDEV(orders[Revenue]),"Low Outlier",
 "Normal"))</f>
        <v>Normal</v>
      </c>
      <c r="Z323">
        <f ca="1" xml:space="preserve"> _xlfn.DAYS(TODAY(), orders[[#This Row],[OrderDate]])</f>
        <v>1538</v>
      </c>
      <c r="AA323"/>
    </row>
    <row r="324" spans="1:27">
      <c r="A324" t="s">
        <v>3107</v>
      </c>
      <c r="B324" t="s">
        <v>760</v>
      </c>
      <c r="C324" t="s">
        <v>3394</v>
      </c>
      <c r="D324" t="str">
        <f>TEXT(orders[[#This Row],[OrderDate]], "YYYY-MM")</f>
        <v>2024-08</v>
      </c>
      <c r="E324" t="s">
        <v>2755</v>
      </c>
      <c r="F324" s="1">
        <v>45521</v>
      </c>
      <c r="G324" s="1">
        <v>45524</v>
      </c>
      <c r="H324" s="1">
        <v>45527</v>
      </c>
      <c r="I324">
        <v>4</v>
      </c>
      <c r="J324">
        <v>2499</v>
      </c>
      <c r="K324">
        <v>10</v>
      </c>
      <c r="L324">
        <v>999.6</v>
      </c>
      <c r="M324">
        <v>8996.4</v>
      </c>
      <c r="N324">
        <v>4196.3999999999996</v>
      </c>
      <c r="O324" t="s">
        <v>2749</v>
      </c>
      <c r="P324" t="s">
        <v>2770</v>
      </c>
      <c r="Q324" t="s">
        <v>2779</v>
      </c>
      <c r="R324" t="s">
        <v>24</v>
      </c>
      <c r="S324">
        <v>5</v>
      </c>
      <c r="T324">
        <v>2024</v>
      </c>
      <c r="U324" t="s">
        <v>2773</v>
      </c>
      <c r="V324" t="s">
        <v>2774</v>
      </c>
      <c r="W324">
        <v>3</v>
      </c>
      <c r="X32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24" t="str">
        <f>IF(orders[[#This Row],[Revenue]]&gt;AVERAGE(orders[Revenue])+3*STDEV(orders[Revenue]),"High Outlier",
 IF(orders[[#This Row],[Revenue]]&lt;AVERAGE(orders[Revenue])-3*STDEV(orders[Revenue]),"Low Outlier",
 "Normal"))</f>
        <v>Normal</v>
      </c>
      <c r="Z324">
        <f ca="1" xml:space="preserve"> _xlfn.DAYS(TODAY(), orders[[#This Row],[OrderDate]])</f>
        <v>621</v>
      </c>
      <c r="AA324"/>
    </row>
    <row r="325" spans="1:27">
      <c r="A325" t="s">
        <v>3108</v>
      </c>
      <c r="B325" t="s">
        <v>727</v>
      </c>
      <c r="C325" t="s">
        <v>3350</v>
      </c>
      <c r="D325" t="str">
        <f>TEXT(orders[[#This Row],[OrderDate]], "YYYY-MM")</f>
        <v>2024-09</v>
      </c>
      <c r="E325" t="s">
        <v>2809</v>
      </c>
      <c r="F325" s="1">
        <v>45550</v>
      </c>
      <c r="G325" s="1">
        <v>45552</v>
      </c>
      <c r="H325" s="1">
        <v>45553</v>
      </c>
      <c r="I325">
        <v>2</v>
      </c>
      <c r="J325">
        <v>12999</v>
      </c>
      <c r="K325">
        <v>15</v>
      </c>
      <c r="L325">
        <v>3899.7</v>
      </c>
      <c r="M325">
        <v>22098.3</v>
      </c>
      <c r="N325">
        <v>6098.3</v>
      </c>
      <c r="O325" t="s">
        <v>2749</v>
      </c>
      <c r="P325" t="s">
        <v>2757</v>
      </c>
      <c r="Q325" t="s">
        <v>2751</v>
      </c>
      <c r="R325" t="s">
        <v>24</v>
      </c>
      <c r="S325">
        <v>4</v>
      </c>
      <c r="T325">
        <v>2024</v>
      </c>
      <c r="U325" t="s">
        <v>2790</v>
      </c>
      <c r="V325" t="s">
        <v>2774</v>
      </c>
      <c r="W325">
        <v>2</v>
      </c>
      <c r="X32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25" t="str">
        <f>IF(orders[[#This Row],[Revenue]]&gt;AVERAGE(orders[Revenue])+3*STDEV(orders[Revenue]),"High Outlier",
 IF(orders[[#This Row],[Revenue]]&lt;AVERAGE(orders[Revenue])-3*STDEV(orders[Revenue]),"Low Outlier",
 "Normal"))</f>
        <v>Normal</v>
      </c>
      <c r="Z325">
        <f ca="1" xml:space="preserve"> _xlfn.DAYS(TODAY(), orders[[#This Row],[OrderDate]])</f>
        <v>592</v>
      </c>
      <c r="AA325"/>
    </row>
    <row r="326" spans="1:27">
      <c r="A326" t="s">
        <v>3109</v>
      </c>
      <c r="B326" t="s">
        <v>1000</v>
      </c>
      <c r="C326" t="s">
        <v>3340</v>
      </c>
      <c r="D326" t="str">
        <f>TEXT(orders[[#This Row],[OrderDate]], "YYYY-MM")</f>
        <v>2022-04</v>
      </c>
      <c r="E326" t="s">
        <v>2748</v>
      </c>
      <c r="F326" s="1">
        <v>44658</v>
      </c>
      <c r="G326" s="1">
        <v>44661</v>
      </c>
      <c r="H326" s="1">
        <v>44663</v>
      </c>
      <c r="I326">
        <v>3</v>
      </c>
      <c r="J326">
        <v>6999</v>
      </c>
      <c r="K326">
        <v>0</v>
      </c>
      <c r="L326">
        <v>0</v>
      </c>
      <c r="M326">
        <v>20997</v>
      </c>
      <c r="N326">
        <v>8397</v>
      </c>
      <c r="O326" t="s">
        <v>2749</v>
      </c>
      <c r="P326" t="s">
        <v>2782</v>
      </c>
      <c r="Q326" t="s">
        <v>2758</v>
      </c>
      <c r="R326" t="s">
        <v>188</v>
      </c>
      <c r="S326">
        <v>1</v>
      </c>
      <c r="T326">
        <v>2022</v>
      </c>
      <c r="U326" t="s">
        <v>2783</v>
      </c>
      <c r="V326" t="s">
        <v>2767</v>
      </c>
      <c r="W326">
        <v>3</v>
      </c>
      <c r="X32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26" t="str">
        <f>IF(orders[[#This Row],[Revenue]]&gt;AVERAGE(orders[Revenue])+3*STDEV(orders[Revenue]),"High Outlier",
 IF(orders[[#This Row],[Revenue]]&lt;AVERAGE(orders[Revenue])-3*STDEV(orders[Revenue]),"Low Outlier",
 "Normal"))</f>
        <v>Normal</v>
      </c>
      <c r="Z326">
        <f ca="1" xml:space="preserve"> _xlfn.DAYS(TODAY(), orders[[#This Row],[OrderDate]])</f>
        <v>1484</v>
      </c>
      <c r="AA326"/>
    </row>
    <row r="327" spans="1:27">
      <c r="A327" t="s">
        <v>3110</v>
      </c>
      <c r="B327" t="s">
        <v>2297</v>
      </c>
      <c r="C327" t="s">
        <v>3314</v>
      </c>
      <c r="D327" t="str">
        <f>TEXT(orders[[#This Row],[OrderDate]], "YYYY-MM")</f>
        <v>2024-05</v>
      </c>
      <c r="E327" t="s">
        <v>2776</v>
      </c>
      <c r="F327" s="1">
        <v>45443</v>
      </c>
      <c r="G327" s="1">
        <v>45448</v>
      </c>
      <c r="H327" s="1">
        <v>45449</v>
      </c>
      <c r="I327">
        <v>1</v>
      </c>
      <c r="J327">
        <v>114900</v>
      </c>
      <c r="K327">
        <v>20</v>
      </c>
      <c r="L327">
        <v>22980</v>
      </c>
      <c r="M327">
        <v>91920</v>
      </c>
      <c r="N327">
        <v>6920</v>
      </c>
      <c r="O327" t="s">
        <v>2749</v>
      </c>
      <c r="P327" t="s">
        <v>2782</v>
      </c>
      <c r="Q327" t="s">
        <v>2751</v>
      </c>
      <c r="R327" t="s">
        <v>35</v>
      </c>
      <c r="S327">
        <v>3</v>
      </c>
      <c r="T327">
        <v>2024</v>
      </c>
      <c r="U327" t="s">
        <v>2766</v>
      </c>
      <c r="V327" t="s">
        <v>2767</v>
      </c>
      <c r="W327">
        <v>5</v>
      </c>
      <c r="X32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27" t="str">
        <f>IF(orders[[#This Row],[Revenue]]&gt;AVERAGE(orders[Revenue])+3*STDEV(orders[Revenue]),"High Outlier",
 IF(orders[[#This Row],[Revenue]]&lt;AVERAGE(orders[Revenue])-3*STDEV(orders[Revenue]),"Low Outlier",
 "Normal"))</f>
        <v>Normal</v>
      </c>
      <c r="Z327">
        <f ca="1" xml:space="preserve"> _xlfn.DAYS(TODAY(), orders[[#This Row],[OrderDate]])</f>
        <v>699</v>
      </c>
      <c r="AA327"/>
    </row>
    <row r="328" spans="1:27">
      <c r="A328" t="s">
        <v>3111</v>
      </c>
      <c r="B328" t="s">
        <v>1098</v>
      </c>
      <c r="C328" t="s">
        <v>3362</v>
      </c>
      <c r="D328" t="str">
        <f>TEXT(orders[[#This Row],[OrderDate]], "YYYY-MM")</f>
        <v>2023-07</v>
      </c>
      <c r="E328" t="s">
        <v>2809</v>
      </c>
      <c r="F328" s="1">
        <v>45109</v>
      </c>
      <c r="G328" s="1">
        <v>45116</v>
      </c>
      <c r="H328" s="1">
        <v>45116</v>
      </c>
      <c r="I328">
        <v>1</v>
      </c>
      <c r="J328">
        <v>41900</v>
      </c>
      <c r="K328">
        <v>15</v>
      </c>
      <c r="L328">
        <v>6285</v>
      </c>
      <c r="M328">
        <v>35615</v>
      </c>
      <c r="N328">
        <v>7615</v>
      </c>
      <c r="O328" t="s">
        <v>2749</v>
      </c>
      <c r="P328" t="s">
        <v>2770</v>
      </c>
      <c r="Q328" t="s">
        <v>2762</v>
      </c>
      <c r="R328" t="s">
        <v>24</v>
      </c>
      <c r="S328">
        <v>1</v>
      </c>
      <c r="T328">
        <v>2023</v>
      </c>
      <c r="U328" t="s">
        <v>2792</v>
      </c>
      <c r="V328" t="s">
        <v>2774</v>
      </c>
      <c r="W328">
        <v>7</v>
      </c>
      <c r="X32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28" t="str">
        <f>IF(orders[[#This Row],[Revenue]]&gt;AVERAGE(orders[Revenue])+3*STDEV(orders[Revenue]),"High Outlier",
 IF(orders[[#This Row],[Revenue]]&lt;AVERAGE(orders[Revenue])-3*STDEV(orders[Revenue]),"Low Outlier",
 "Normal"))</f>
        <v>Normal</v>
      </c>
      <c r="Z328">
        <f ca="1" xml:space="preserve"> _xlfn.DAYS(TODAY(), orders[[#This Row],[OrderDate]])</f>
        <v>1033</v>
      </c>
      <c r="AA328"/>
    </row>
    <row r="329" spans="1:27">
      <c r="A329" t="s">
        <v>3112</v>
      </c>
      <c r="B329" t="s">
        <v>2233</v>
      </c>
      <c r="C329" t="s">
        <v>3399</v>
      </c>
      <c r="D329" t="str">
        <f>TEXT(orders[[#This Row],[OrderDate]], "YYYY-MM")</f>
        <v>2022-03</v>
      </c>
      <c r="E329" t="s">
        <v>2809</v>
      </c>
      <c r="F329" s="1">
        <v>44647</v>
      </c>
      <c r="I329">
        <v>1</v>
      </c>
      <c r="J329">
        <v>3499</v>
      </c>
      <c r="K329">
        <v>0</v>
      </c>
      <c r="L329">
        <v>0</v>
      </c>
      <c r="M329">
        <v>3499</v>
      </c>
      <c r="N329">
        <v>1699</v>
      </c>
      <c r="O329" t="s">
        <v>2756</v>
      </c>
      <c r="P329" t="s">
        <v>2778</v>
      </c>
      <c r="Q329" t="s">
        <v>2762</v>
      </c>
      <c r="R329" t="s">
        <v>24</v>
      </c>
      <c r="T329">
        <v>2022</v>
      </c>
      <c r="U329" t="s">
        <v>2752</v>
      </c>
      <c r="V329" t="s">
        <v>2753</v>
      </c>
      <c r="X32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29" t="str">
        <f>IF(orders[[#This Row],[Revenue]]&gt;AVERAGE(orders[Revenue])+3*STDEV(orders[Revenue]),"High Outlier",
 IF(orders[[#This Row],[Revenue]]&lt;AVERAGE(orders[Revenue])-3*STDEV(orders[Revenue]),"Low Outlier",
 "Normal"))</f>
        <v>Normal</v>
      </c>
      <c r="Z329">
        <f ca="1" xml:space="preserve"> _xlfn.DAYS(TODAY(), orders[[#This Row],[OrderDate]])</f>
        <v>1495</v>
      </c>
      <c r="AA329"/>
    </row>
    <row r="330" spans="1:27">
      <c r="A330" t="s">
        <v>3113</v>
      </c>
      <c r="B330" t="s">
        <v>2454</v>
      </c>
      <c r="C330" t="s">
        <v>3336</v>
      </c>
      <c r="D330" t="str">
        <f>TEXT(orders[[#This Row],[OrderDate]], "YYYY-MM")</f>
        <v>2022-11</v>
      </c>
      <c r="E330" t="s">
        <v>2769</v>
      </c>
      <c r="F330" s="1">
        <v>44883</v>
      </c>
      <c r="I330">
        <v>3</v>
      </c>
      <c r="J330">
        <v>26990</v>
      </c>
      <c r="K330">
        <v>15</v>
      </c>
      <c r="L330">
        <v>12145.5</v>
      </c>
      <c r="M330">
        <v>68824.5</v>
      </c>
      <c r="N330">
        <v>14824.5</v>
      </c>
      <c r="O330" t="s">
        <v>2781</v>
      </c>
      <c r="P330" t="s">
        <v>2761</v>
      </c>
      <c r="Q330" t="s">
        <v>2751</v>
      </c>
      <c r="R330" t="s">
        <v>46</v>
      </c>
      <c r="T330">
        <v>2022</v>
      </c>
      <c r="U330" t="s">
        <v>2786</v>
      </c>
      <c r="V330" t="s">
        <v>2764</v>
      </c>
      <c r="X33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30" t="str">
        <f>IF(orders[[#This Row],[Revenue]]&gt;AVERAGE(orders[Revenue])+3*STDEV(orders[Revenue]),"High Outlier",
 IF(orders[[#This Row],[Revenue]]&lt;AVERAGE(orders[Revenue])-3*STDEV(orders[Revenue]),"Low Outlier",
 "Normal"))</f>
        <v>Normal</v>
      </c>
      <c r="Z330">
        <f ca="1" xml:space="preserve"> _xlfn.DAYS(TODAY(), orders[[#This Row],[OrderDate]])</f>
        <v>1259</v>
      </c>
      <c r="AA330"/>
    </row>
    <row r="331" spans="1:27">
      <c r="A331" t="s">
        <v>3114</v>
      </c>
      <c r="B331" t="s">
        <v>2109</v>
      </c>
      <c r="C331" t="s">
        <v>3319</v>
      </c>
      <c r="D331" t="str">
        <f>TEXT(orders[[#This Row],[OrderDate]], "YYYY-MM")</f>
        <v>2024-01</v>
      </c>
      <c r="E331" t="s">
        <v>2776</v>
      </c>
      <c r="F331" s="1">
        <v>45306</v>
      </c>
      <c r="G331" s="1">
        <v>45313</v>
      </c>
      <c r="H331" s="1">
        <v>45314</v>
      </c>
      <c r="I331">
        <v>1</v>
      </c>
      <c r="J331">
        <v>55990</v>
      </c>
      <c r="K331">
        <v>5</v>
      </c>
      <c r="L331">
        <v>2799.5</v>
      </c>
      <c r="M331">
        <v>53190.5</v>
      </c>
      <c r="N331">
        <v>13190.5</v>
      </c>
      <c r="O331" t="s">
        <v>2749</v>
      </c>
      <c r="P331" t="s">
        <v>2770</v>
      </c>
      <c r="Q331" t="s">
        <v>2751</v>
      </c>
      <c r="R331" t="s">
        <v>35</v>
      </c>
      <c r="S331">
        <v>1</v>
      </c>
      <c r="T331">
        <v>2024</v>
      </c>
      <c r="U331" t="s">
        <v>2795</v>
      </c>
      <c r="V331" t="s">
        <v>2753</v>
      </c>
      <c r="W331">
        <v>7</v>
      </c>
      <c r="X33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31" t="str">
        <f>IF(orders[[#This Row],[Revenue]]&gt;AVERAGE(orders[Revenue])+3*STDEV(orders[Revenue]),"High Outlier",
 IF(orders[[#This Row],[Revenue]]&lt;AVERAGE(orders[Revenue])-3*STDEV(orders[Revenue]),"Low Outlier",
 "Normal"))</f>
        <v>Normal</v>
      </c>
      <c r="Z331">
        <f ca="1" xml:space="preserve"> _xlfn.DAYS(TODAY(), orders[[#This Row],[OrderDate]])</f>
        <v>836</v>
      </c>
      <c r="AA331"/>
    </row>
    <row r="332" spans="1:27">
      <c r="A332" t="s">
        <v>3115</v>
      </c>
      <c r="B332" t="s">
        <v>832</v>
      </c>
      <c r="C332" t="s">
        <v>3379</v>
      </c>
      <c r="D332" t="str">
        <f>TEXT(orders[[#This Row],[OrderDate]], "YYYY-MM")</f>
        <v>2023-08</v>
      </c>
      <c r="E332" t="s">
        <v>2755</v>
      </c>
      <c r="F332" s="1">
        <v>45149</v>
      </c>
      <c r="I332">
        <v>2</v>
      </c>
      <c r="J332">
        <v>29999</v>
      </c>
      <c r="K332">
        <v>0</v>
      </c>
      <c r="L332">
        <v>0</v>
      </c>
      <c r="M332">
        <v>59998</v>
      </c>
      <c r="N332">
        <v>19998</v>
      </c>
      <c r="O332" t="s">
        <v>2756</v>
      </c>
      <c r="P332" t="s">
        <v>2750</v>
      </c>
      <c r="Q332" t="s">
        <v>2794</v>
      </c>
      <c r="R332" t="s">
        <v>24</v>
      </c>
      <c r="T332">
        <v>2023</v>
      </c>
      <c r="U332" t="s">
        <v>2773</v>
      </c>
      <c r="V332" t="s">
        <v>2774</v>
      </c>
      <c r="X33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32" t="str">
        <f>IF(orders[[#This Row],[Revenue]]&gt;AVERAGE(orders[Revenue])+3*STDEV(orders[Revenue]),"High Outlier",
 IF(orders[[#This Row],[Revenue]]&lt;AVERAGE(orders[Revenue])-3*STDEV(orders[Revenue]),"Low Outlier",
 "Normal"))</f>
        <v>Normal</v>
      </c>
      <c r="Z332">
        <f ca="1" xml:space="preserve"> _xlfn.DAYS(TODAY(), orders[[#This Row],[OrderDate]])</f>
        <v>993</v>
      </c>
      <c r="AA332"/>
    </row>
    <row r="333" spans="1:27">
      <c r="A333" t="s">
        <v>3116</v>
      </c>
      <c r="B333" t="s">
        <v>2064</v>
      </c>
      <c r="C333" t="s">
        <v>3423</v>
      </c>
      <c r="D333" t="str">
        <f>TEXT(orders[[#This Row],[OrderDate]], "YYYY-MM")</f>
        <v>2024-01</v>
      </c>
      <c r="E333" t="s">
        <v>2776</v>
      </c>
      <c r="F333" s="1">
        <v>45300</v>
      </c>
      <c r="I333">
        <v>2</v>
      </c>
      <c r="J333">
        <v>1599</v>
      </c>
      <c r="K333">
        <v>0</v>
      </c>
      <c r="L333">
        <v>0</v>
      </c>
      <c r="M333">
        <v>3198</v>
      </c>
      <c r="N333">
        <v>1598</v>
      </c>
      <c r="O333" t="s">
        <v>2781</v>
      </c>
      <c r="P333" t="s">
        <v>2761</v>
      </c>
      <c r="Q333" t="s">
        <v>2751</v>
      </c>
      <c r="R333" t="s">
        <v>35</v>
      </c>
      <c r="T333">
        <v>2024</v>
      </c>
      <c r="U333" t="s">
        <v>2795</v>
      </c>
      <c r="V333" t="s">
        <v>2753</v>
      </c>
      <c r="X33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33" t="str">
        <f>IF(orders[[#This Row],[Revenue]]&gt;AVERAGE(orders[Revenue])+3*STDEV(orders[Revenue]),"High Outlier",
 IF(orders[[#This Row],[Revenue]]&lt;AVERAGE(orders[Revenue])-3*STDEV(orders[Revenue]),"Low Outlier",
 "Normal"))</f>
        <v>Normal</v>
      </c>
      <c r="Z333">
        <f ca="1" xml:space="preserve"> _xlfn.DAYS(TODAY(), orders[[#This Row],[OrderDate]])</f>
        <v>842</v>
      </c>
      <c r="AA333"/>
    </row>
    <row r="334" spans="1:27">
      <c r="A334" t="s">
        <v>3117</v>
      </c>
      <c r="B334" t="s">
        <v>2248</v>
      </c>
      <c r="C334" t="s">
        <v>3340</v>
      </c>
      <c r="D334" t="str">
        <f>TEXT(orders[[#This Row],[OrderDate]], "YYYY-MM")</f>
        <v>2024-05</v>
      </c>
      <c r="E334" t="s">
        <v>2776</v>
      </c>
      <c r="F334" s="1">
        <v>45440</v>
      </c>
      <c r="G334" s="1">
        <v>45444</v>
      </c>
      <c r="H334" s="1">
        <v>45447</v>
      </c>
      <c r="I334">
        <v>5</v>
      </c>
      <c r="J334">
        <v>6999</v>
      </c>
      <c r="K334">
        <v>10</v>
      </c>
      <c r="L334">
        <v>3499.5</v>
      </c>
      <c r="M334">
        <v>31495.5</v>
      </c>
      <c r="N334">
        <v>10495.5</v>
      </c>
      <c r="O334" t="s">
        <v>2749</v>
      </c>
      <c r="P334" t="s">
        <v>2757</v>
      </c>
      <c r="Q334" t="s">
        <v>2751</v>
      </c>
      <c r="R334" t="s">
        <v>35</v>
      </c>
      <c r="S334">
        <v>2</v>
      </c>
      <c r="T334">
        <v>2024</v>
      </c>
      <c r="U334" t="s">
        <v>2766</v>
      </c>
      <c r="V334" t="s">
        <v>2767</v>
      </c>
      <c r="W334">
        <v>4</v>
      </c>
      <c r="X33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34" t="str">
        <f>IF(orders[[#This Row],[Revenue]]&gt;AVERAGE(orders[Revenue])+3*STDEV(orders[Revenue]),"High Outlier",
 IF(orders[[#This Row],[Revenue]]&lt;AVERAGE(orders[Revenue])-3*STDEV(orders[Revenue]),"Low Outlier",
 "Normal"))</f>
        <v>Normal</v>
      </c>
      <c r="Z334">
        <f ca="1" xml:space="preserve"> _xlfn.DAYS(TODAY(), orders[[#This Row],[OrderDate]])</f>
        <v>702</v>
      </c>
      <c r="AA334"/>
    </row>
    <row r="335" spans="1:27">
      <c r="A335" t="s">
        <v>3118</v>
      </c>
      <c r="B335" t="s">
        <v>2203</v>
      </c>
      <c r="C335" t="s">
        <v>3298</v>
      </c>
      <c r="D335" t="str">
        <f>TEXT(orders[[#This Row],[OrderDate]], "YYYY-MM")</f>
        <v>2022-06</v>
      </c>
      <c r="E335" t="s">
        <v>2748</v>
      </c>
      <c r="F335" s="1">
        <v>44735</v>
      </c>
      <c r="G335" s="1">
        <v>44738</v>
      </c>
      <c r="H335" s="1">
        <v>44741</v>
      </c>
      <c r="I335">
        <v>2</v>
      </c>
      <c r="J335">
        <v>79999</v>
      </c>
      <c r="K335">
        <v>10</v>
      </c>
      <c r="L335">
        <v>15999.8</v>
      </c>
      <c r="M335">
        <v>143998.20000000001</v>
      </c>
      <c r="N335">
        <v>33998.199999999997</v>
      </c>
      <c r="O335" t="s">
        <v>2749</v>
      </c>
      <c r="P335" t="s">
        <v>2757</v>
      </c>
      <c r="Q335" t="s">
        <v>2751</v>
      </c>
      <c r="R335" t="s">
        <v>188</v>
      </c>
      <c r="S335">
        <v>1</v>
      </c>
      <c r="T335">
        <v>2022</v>
      </c>
      <c r="U335" t="s">
        <v>2771</v>
      </c>
      <c r="V335" t="s">
        <v>2767</v>
      </c>
      <c r="W335">
        <v>3</v>
      </c>
      <c r="X33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35" t="str">
        <f>IF(orders[[#This Row],[Revenue]]&gt;AVERAGE(orders[Revenue])+3*STDEV(orders[Revenue]),"High Outlier",
 IF(orders[[#This Row],[Revenue]]&lt;AVERAGE(orders[Revenue])-3*STDEV(orders[Revenue]),"Low Outlier",
 "Normal"))</f>
        <v>Normal</v>
      </c>
      <c r="Z335">
        <f ca="1" xml:space="preserve"> _xlfn.DAYS(TODAY(), orders[[#This Row],[OrderDate]])</f>
        <v>1407</v>
      </c>
      <c r="AA335"/>
    </row>
    <row r="336" spans="1:27">
      <c r="A336" t="s">
        <v>3119</v>
      </c>
      <c r="B336" t="s">
        <v>1926</v>
      </c>
      <c r="C336" t="s">
        <v>3405</v>
      </c>
      <c r="D336" t="str">
        <f>TEXT(orders[[#This Row],[OrderDate]], "YYYY-MM")</f>
        <v>2022-04</v>
      </c>
      <c r="E336" t="s">
        <v>2748</v>
      </c>
      <c r="F336" s="1">
        <v>44680</v>
      </c>
      <c r="I336">
        <v>5</v>
      </c>
      <c r="J336">
        <v>8495</v>
      </c>
      <c r="K336">
        <v>5</v>
      </c>
      <c r="L336">
        <v>2123.75</v>
      </c>
      <c r="M336">
        <v>40351.25</v>
      </c>
      <c r="N336">
        <v>12851.25</v>
      </c>
      <c r="O336" t="s">
        <v>2781</v>
      </c>
      <c r="P336" t="s">
        <v>2770</v>
      </c>
      <c r="Q336" t="s">
        <v>2751</v>
      </c>
      <c r="R336" t="s">
        <v>188</v>
      </c>
      <c r="T336">
        <v>2022</v>
      </c>
      <c r="U336" t="s">
        <v>2783</v>
      </c>
      <c r="V336" t="s">
        <v>2767</v>
      </c>
      <c r="X33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36" t="str">
        <f>IF(orders[[#This Row],[Revenue]]&gt;AVERAGE(orders[Revenue])+3*STDEV(orders[Revenue]),"High Outlier",
 IF(orders[[#This Row],[Revenue]]&lt;AVERAGE(orders[Revenue])-3*STDEV(orders[Revenue]),"Low Outlier",
 "Normal"))</f>
        <v>Normal</v>
      </c>
      <c r="Z336">
        <f ca="1" xml:space="preserve"> _xlfn.DAYS(TODAY(), orders[[#This Row],[OrderDate]])</f>
        <v>1462</v>
      </c>
      <c r="AA336"/>
    </row>
    <row r="337" spans="1:27">
      <c r="A337" t="s">
        <v>3120</v>
      </c>
      <c r="B337" t="s">
        <v>2494</v>
      </c>
      <c r="C337" t="s">
        <v>3409</v>
      </c>
      <c r="D337" t="str">
        <f>TEXT(orders[[#This Row],[OrderDate]], "YYYY-MM")</f>
        <v>2023-10</v>
      </c>
      <c r="E337" t="s">
        <v>2785</v>
      </c>
      <c r="F337" s="1">
        <v>45204</v>
      </c>
      <c r="G337" s="1">
        <v>45205</v>
      </c>
      <c r="H337" s="1">
        <v>45207</v>
      </c>
      <c r="I337">
        <v>5</v>
      </c>
      <c r="J337">
        <v>7499</v>
      </c>
      <c r="K337">
        <v>0</v>
      </c>
      <c r="L337">
        <v>0</v>
      </c>
      <c r="M337">
        <v>37495</v>
      </c>
      <c r="N337">
        <v>13495</v>
      </c>
      <c r="O337" t="s">
        <v>2749</v>
      </c>
      <c r="P337" t="s">
        <v>2778</v>
      </c>
      <c r="Q337" t="s">
        <v>2751</v>
      </c>
      <c r="R337" t="s">
        <v>188</v>
      </c>
      <c r="S337">
        <v>4</v>
      </c>
      <c r="T337">
        <v>2023</v>
      </c>
      <c r="U337" t="s">
        <v>2788</v>
      </c>
      <c r="V337" t="s">
        <v>2764</v>
      </c>
      <c r="W337">
        <v>1</v>
      </c>
      <c r="X33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37" t="str">
        <f>IF(orders[[#This Row],[Revenue]]&gt;AVERAGE(orders[Revenue])+3*STDEV(orders[Revenue]),"High Outlier",
 IF(orders[[#This Row],[Revenue]]&lt;AVERAGE(orders[Revenue])-3*STDEV(orders[Revenue]),"Low Outlier",
 "Normal"))</f>
        <v>Normal</v>
      </c>
      <c r="Z337">
        <f ca="1" xml:space="preserve"> _xlfn.DAYS(TODAY(), orders[[#This Row],[OrderDate]])</f>
        <v>938</v>
      </c>
      <c r="AA337"/>
    </row>
    <row r="338" spans="1:27">
      <c r="A338" t="s">
        <v>3121</v>
      </c>
      <c r="B338" t="s">
        <v>1880</v>
      </c>
      <c r="C338" t="s">
        <v>3336</v>
      </c>
      <c r="D338" t="str">
        <f>TEXT(orders[[#This Row],[OrderDate]], "YYYY-MM")</f>
        <v>2023-12</v>
      </c>
      <c r="E338" t="s">
        <v>2776</v>
      </c>
      <c r="F338" s="1">
        <v>45269</v>
      </c>
      <c r="I338">
        <v>4</v>
      </c>
      <c r="J338">
        <v>26990</v>
      </c>
      <c r="K338">
        <v>5</v>
      </c>
      <c r="L338">
        <v>5398</v>
      </c>
      <c r="M338">
        <v>102562</v>
      </c>
      <c r="N338">
        <v>30562</v>
      </c>
      <c r="O338" t="s">
        <v>2781</v>
      </c>
      <c r="P338" t="s">
        <v>2750</v>
      </c>
      <c r="Q338" t="s">
        <v>2762</v>
      </c>
      <c r="R338" t="s">
        <v>35</v>
      </c>
      <c r="T338">
        <v>2023</v>
      </c>
      <c r="U338" t="s">
        <v>2763</v>
      </c>
      <c r="V338" t="s">
        <v>2764</v>
      </c>
      <c r="X33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38" t="str">
        <f>IF(orders[[#This Row],[Revenue]]&gt;AVERAGE(orders[Revenue])+3*STDEV(orders[Revenue]),"High Outlier",
 IF(orders[[#This Row],[Revenue]]&lt;AVERAGE(orders[Revenue])-3*STDEV(orders[Revenue]),"Low Outlier",
 "Normal"))</f>
        <v>Normal</v>
      </c>
      <c r="Z338">
        <f ca="1" xml:space="preserve"> _xlfn.DAYS(TODAY(), orders[[#This Row],[OrderDate]])</f>
        <v>873</v>
      </c>
      <c r="AA338"/>
    </row>
    <row r="339" spans="1:27">
      <c r="A339" t="s">
        <v>3122</v>
      </c>
      <c r="B339" t="s">
        <v>168</v>
      </c>
      <c r="C339" t="s">
        <v>3390</v>
      </c>
      <c r="D339" t="str">
        <f>TEXT(orders[[#This Row],[OrderDate]], "YYYY-MM")</f>
        <v>2024-03</v>
      </c>
      <c r="E339" t="s">
        <v>2755</v>
      </c>
      <c r="F339" s="1">
        <v>45360</v>
      </c>
      <c r="I339">
        <v>2</v>
      </c>
      <c r="J339">
        <v>54999</v>
      </c>
      <c r="K339">
        <v>20</v>
      </c>
      <c r="L339">
        <v>21999.599999999999</v>
      </c>
      <c r="M339">
        <v>87998.399999999994</v>
      </c>
      <c r="N339">
        <v>11998.4</v>
      </c>
      <c r="O339" t="s">
        <v>2781</v>
      </c>
      <c r="P339" t="s">
        <v>2761</v>
      </c>
      <c r="Q339" t="s">
        <v>2794</v>
      </c>
      <c r="R339" t="s">
        <v>24</v>
      </c>
      <c r="T339">
        <v>2024</v>
      </c>
      <c r="U339" t="s">
        <v>2752</v>
      </c>
      <c r="V339" t="s">
        <v>2753</v>
      </c>
      <c r="X33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39" t="str">
        <f>IF(orders[[#This Row],[Revenue]]&gt;AVERAGE(orders[Revenue])+3*STDEV(orders[Revenue]),"High Outlier",
 IF(orders[[#This Row],[Revenue]]&lt;AVERAGE(orders[Revenue])-3*STDEV(orders[Revenue]),"Low Outlier",
 "Normal"))</f>
        <v>Normal</v>
      </c>
      <c r="Z339">
        <f ca="1" xml:space="preserve"> _xlfn.DAYS(TODAY(), orders[[#This Row],[OrderDate]])</f>
        <v>782</v>
      </c>
      <c r="AA339"/>
    </row>
    <row r="340" spans="1:27">
      <c r="A340" t="s">
        <v>3123</v>
      </c>
      <c r="B340" t="s">
        <v>744</v>
      </c>
      <c r="C340" t="s">
        <v>3314</v>
      </c>
      <c r="D340" t="str">
        <f>TEXT(orders[[#This Row],[OrderDate]], "YYYY-MM")</f>
        <v>2024-12</v>
      </c>
      <c r="E340" t="s">
        <v>2785</v>
      </c>
      <c r="F340" s="1">
        <v>45629</v>
      </c>
      <c r="G340" s="1">
        <v>45636</v>
      </c>
      <c r="H340" s="1">
        <v>45637</v>
      </c>
      <c r="I340">
        <v>1</v>
      </c>
      <c r="J340">
        <v>114900</v>
      </c>
      <c r="K340">
        <v>0</v>
      </c>
      <c r="L340">
        <v>0</v>
      </c>
      <c r="M340">
        <v>114900</v>
      </c>
      <c r="N340">
        <v>29900</v>
      </c>
      <c r="O340" t="s">
        <v>2749</v>
      </c>
      <c r="P340" t="s">
        <v>2761</v>
      </c>
      <c r="Q340" t="s">
        <v>2758</v>
      </c>
      <c r="R340" t="s">
        <v>188</v>
      </c>
      <c r="S340">
        <v>3</v>
      </c>
      <c r="T340">
        <v>2024</v>
      </c>
      <c r="U340" t="s">
        <v>2763</v>
      </c>
      <c r="V340" t="s">
        <v>2764</v>
      </c>
      <c r="W340">
        <v>7</v>
      </c>
      <c r="X34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40" t="str">
        <f>IF(orders[[#This Row],[Revenue]]&gt;AVERAGE(orders[Revenue])+3*STDEV(orders[Revenue]),"High Outlier",
 IF(orders[[#This Row],[Revenue]]&lt;AVERAGE(orders[Revenue])-3*STDEV(orders[Revenue]),"Low Outlier",
 "Normal"))</f>
        <v>Normal</v>
      </c>
      <c r="Z340">
        <f ca="1" xml:space="preserve"> _xlfn.DAYS(TODAY(), orders[[#This Row],[OrderDate]])</f>
        <v>513</v>
      </c>
      <c r="AA340"/>
    </row>
    <row r="341" spans="1:27">
      <c r="A341" t="s">
        <v>3124</v>
      </c>
      <c r="B341" t="s">
        <v>820</v>
      </c>
      <c r="C341" t="s">
        <v>3423</v>
      </c>
      <c r="D341" t="str">
        <f>TEXT(orders[[#This Row],[OrderDate]], "YYYY-MM")</f>
        <v>2024-05</v>
      </c>
      <c r="E341" t="s">
        <v>2769</v>
      </c>
      <c r="F341" s="1">
        <v>45427</v>
      </c>
      <c r="I341">
        <v>1</v>
      </c>
      <c r="J341">
        <v>1599</v>
      </c>
      <c r="K341">
        <v>0</v>
      </c>
      <c r="L341">
        <v>0</v>
      </c>
      <c r="M341">
        <v>1599</v>
      </c>
      <c r="N341">
        <v>799</v>
      </c>
      <c r="O341" t="s">
        <v>2756</v>
      </c>
      <c r="P341" t="s">
        <v>2750</v>
      </c>
      <c r="Q341" t="s">
        <v>2794</v>
      </c>
      <c r="R341" t="s">
        <v>46</v>
      </c>
      <c r="T341">
        <v>2024</v>
      </c>
      <c r="U341" t="s">
        <v>2766</v>
      </c>
      <c r="V341" t="s">
        <v>2767</v>
      </c>
      <c r="X34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41" t="str">
        <f>IF(orders[[#This Row],[Revenue]]&gt;AVERAGE(orders[Revenue])+3*STDEV(orders[Revenue]),"High Outlier",
 IF(orders[[#This Row],[Revenue]]&lt;AVERAGE(orders[Revenue])-3*STDEV(orders[Revenue]),"Low Outlier",
 "Normal"))</f>
        <v>Normal</v>
      </c>
      <c r="Z341">
        <f ca="1" xml:space="preserve"> _xlfn.DAYS(TODAY(), orders[[#This Row],[OrderDate]])</f>
        <v>715</v>
      </c>
      <c r="AA341"/>
    </row>
    <row r="342" spans="1:27">
      <c r="A342" t="s">
        <v>3125</v>
      </c>
      <c r="B342" t="s">
        <v>1840</v>
      </c>
      <c r="C342" t="s">
        <v>3384</v>
      </c>
      <c r="D342" t="str">
        <f>TEXT(orders[[#This Row],[OrderDate]], "YYYY-MM")</f>
        <v>2022-09</v>
      </c>
      <c r="E342" t="s">
        <v>2755</v>
      </c>
      <c r="F342" s="1">
        <v>44815</v>
      </c>
      <c r="G342" s="1">
        <v>44822</v>
      </c>
      <c r="H342" s="1">
        <v>44822</v>
      </c>
      <c r="I342">
        <v>4</v>
      </c>
      <c r="J342">
        <v>59900</v>
      </c>
      <c r="K342">
        <v>5</v>
      </c>
      <c r="L342">
        <v>11980</v>
      </c>
      <c r="M342">
        <v>227620</v>
      </c>
      <c r="N342">
        <v>59620</v>
      </c>
      <c r="O342" t="s">
        <v>2749</v>
      </c>
      <c r="P342" t="s">
        <v>2761</v>
      </c>
      <c r="Q342" t="s">
        <v>2762</v>
      </c>
      <c r="R342" t="s">
        <v>24</v>
      </c>
      <c r="S342">
        <v>4</v>
      </c>
      <c r="T342">
        <v>2022</v>
      </c>
      <c r="U342" t="s">
        <v>2790</v>
      </c>
      <c r="V342" t="s">
        <v>2774</v>
      </c>
      <c r="W342">
        <v>7</v>
      </c>
      <c r="X34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42" t="str">
        <f>IF(orders[[#This Row],[Revenue]]&gt;AVERAGE(orders[Revenue])+3*STDEV(orders[Revenue]),"High Outlier",
 IF(orders[[#This Row],[Revenue]]&lt;AVERAGE(orders[Revenue])-3*STDEV(orders[Revenue]),"Low Outlier",
 "Normal"))</f>
        <v>Normal</v>
      </c>
      <c r="Z342">
        <f ca="1" xml:space="preserve"> _xlfn.DAYS(TODAY(), orders[[#This Row],[OrderDate]])</f>
        <v>1327</v>
      </c>
      <c r="AA342"/>
    </row>
    <row r="343" spans="1:27">
      <c r="A343" t="s">
        <v>3126</v>
      </c>
      <c r="B343" t="s">
        <v>1093</v>
      </c>
      <c r="C343" t="s">
        <v>3340</v>
      </c>
      <c r="D343" t="str">
        <f>TEXT(orders[[#This Row],[OrderDate]], "YYYY-MM")</f>
        <v>2023-12</v>
      </c>
      <c r="E343" t="s">
        <v>2748</v>
      </c>
      <c r="F343" s="1">
        <v>45279</v>
      </c>
      <c r="G343" s="1">
        <v>45282</v>
      </c>
      <c r="H343" s="1">
        <v>45283</v>
      </c>
      <c r="I343">
        <v>4</v>
      </c>
      <c r="J343">
        <v>6999</v>
      </c>
      <c r="K343">
        <v>20</v>
      </c>
      <c r="L343">
        <v>5599.2</v>
      </c>
      <c r="M343">
        <v>22396.799999999999</v>
      </c>
      <c r="N343">
        <v>5596.8</v>
      </c>
      <c r="O343" t="s">
        <v>2749</v>
      </c>
      <c r="P343" t="s">
        <v>2778</v>
      </c>
      <c r="Q343" t="s">
        <v>2779</v>
      </c>
      <c r="R343" t="s">
        <v>188</v>
      </c>
      <c r="S343">
        <v>1</v>
      </c>
      <c r="T343">
        <v>2023</v>
      </c>
      <c r="U343" t="s">
        <v>2763</v>
      </c>
      <c r="V343" t="s">
        <v>2764</v>
      </c>
      <c r="W343">
        <v>3</v>
      </c>
      <c r="X34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43" t="str">
        <f>IF(orders[[#This Row],[Revenue]]&gt;AVERAGE(orders[Revenue])+3*STDEV(orders[Revenue]),"High Outlier",
 IF(orders[[#This Row],[Revenue]]&lt;AVERAGE(orders[Revenue])-3*STDEV(orders[Revenue]),"Low Outlier",
 "Normal"))</f>
        <v>Normal</v>
      </c>
      <c r="Z343">
        <f ca="1" xml:space="preserve"> _xlfn.DAYS(TODAY(), orders[[#This Row],[OrderDate]])</f>
        <v>863</v>
      </c>
      <c r="AA343"/>
    </row>
    <row r="344" spans="1:27">
      <c r="A344" t="s">
        <v>3127</v>
      </c>
      <c r="B344" t="s">
        <v>1061</v>
      </c>
      <c r="C344" t="s">
        <v>3384</v>
      </c>
      <c r="D344" t="str">
        <f>TEXT(orders[[#This Row],[OrderDate]], "YYYY-MM")</f>
        <v>2024-01</v>
      </c>
      <c r="E344" t="s">
        <v>2813</v>
      </c>
      <c r="F344" s="1">
        <v>45301</v>
      </c>
      <c r="G344" s="1">
        <v>45302</v>
      </c>
      <c r="H344" s="1">
        <v>45303</v>
      </c>
      <c r="I344">
        <v>4</v>
      </c>
      <c r="J344">
        <v>59900</v>
      </c>
      <c r="K344">
        <v>10</v>
      </c>
      <c r="L344">
        <v>23960</v>
      </c>
      <c r="M344">
        <v>215640</v>
      </c>
      <c r="N344">
        <v>47640</v>
      </c>
      <c r="O344" t="s">
        <v>2749</v>
      </c>
      <c r="P344" t="s">
        <v>2757</v>
      </c>
      <c r="Q344" t="s">
        <v>2762</v>
      </c>
      <c r="R344" t="s">
        <v>76</v>
      </c>
      <c r="S344">
        <v>1</v>
      </c>
      <c r="T344">
        <v>2024</v>
      </c>
      <c r="U344" t="s">
        <v>2795</v>
      </c>
      <c r="V344" t="s">
        <v>2753</v>
      </c>
      <c r="W344">
        <v>1</v>
      </c>
      <c r="X34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44" t="str">
        <f>IF(orders[[#This Row],[Revenue]]&gt;AVERAGE(orders[Revenue])+3*STDEV(orders[Revenue]),"High Outlier",
 IF(orders[[#This Row],[Revenue]]&lt;AVERAGE(orders[Revenue])-3*STDEV(orders[Revenue]),"Low Outlier",
 "Normal"))</f>
        <v>Normal</v>
      </c>
      <c r="Z344">
        <f ca="1" xml:space="preserve"> _xlfn.DAYS(TODAY(), orders[[#This Row],[OrderDate]])</f>
        <v>841</v>
      </c>
      <c r="AA344"/>
    </row>
    <row r="345" spans="1:27">
      <c r="A345" t="s">
        <v>3128</v>
      </c>
      <c r="B345" t="s">
        <v>1316</v>
      </c>
      <c r="C345" t="s">
        <v>3325</v>
      </c>
      <c r="D345" t="str">
        <f>TEXT(orders[[#This Row],[OrderDate]], "YYYY-MM")</f>
        <v>2023-03</v>
      </c>
      <c r="E345" t="s">
        <v>2785</v>
      </c>
      <c r="F345" s="1">
        <v>45001</v>
      </c>
      <c r="G345" s="1">
        <v>45002</v>
      </c>
      <c r="H345" s="1">
        <v>45004</v>
      </c>
      <c r="I345">
        <v>5</v>
      </c>
      <c r="J345">
        <v>49990</v>
      </c>
      <c r="K345">
        <v>10</v>
      </c>
      <c r="L345">
        <v>24995</v>
      </c>
      <c r="M345">
        <v>224955</v>
      </c>
      <c r="N345">
        <v>49955</v>
      </c>
      <c r="O345" t="s">
        <v>2749</v>
      </c>
      <c r="P345" t="s">
        <v>2761</v>
      </c>
      <c r="Q345" t="s">
        <v>2758</v>
      </c>
      <c r="R345" t="s">
        <v>188</v>
      </c>
      <c r="S345">
        <v>5</v>
      </c>
      <c r="T345">
        <v>2023</v>
      </c>
      <c r="U345" t="s">
        <v>2752</v>
      </c>
      <c r="V345" t="s">
        <v>2753</v>
      </c>
      <c r="W345">
        <v>1</v>
      </c>
      <c r="X34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45" t="str">
        <f>IF(orders[[#This Row],[Revenue]]&gt;AVERAGE(orders[Revenue])+3*STDEV(orders[Revenue]),"High Outlier",
 IF(orders[[#This Row],[Revenue]]&lt;AVERAGE(orders[Revenue])-3*STDEV(orders[Revenue]),"Low Outlier",
 "Normal"))</f>
        <v>Normal</v>
      </c>
      <c r="Z345">
        <f ca="1" xml:space="preserve"> _xlfn.DAYS(TODAY(), orders[[#This Row],[OrderDate]])</f>
        <v>1141</v>
      </c>
      <c r="AA345"/>
    </row>
    <row r="346" spans="1:27">
      <c r="A346" t="s">
        <v>3129</v>
      </c>
      <c r="B346" t="s">
        <v>2224</v>
      </c>
      <c r="C346" t="s">
        <v>3366</v>
      </c>
      <c r="D346" t="str">
        <f>TEXT(orders[[#This Row],[OrderDate]], "YYYY-MM")</f>
        <v>2024-10</v>
      </c>
      <c r="E346" t="s">
        <v>2755</v>
      </c>
      <c r="F346" s="1">
        <v>45583</v>
      </c>
      <c r="I346">
        <v>4</v>
      </c>
      <c r="J346">
        <v>19999</v>
      </c>
      <c r="K346">
        <v>15</v>
      </c>
      <c r="L346">
        <v>11999.4</v>
      </c>
      <c r="M346">
        <v>67996.600000000006</v>
      </c>
      <c r="N346">
        <v>15996.6</v>
      </c>
      <c r="O346" t="s">
        <v>2781</v>
      </c>
      <c r="P346" t="s">
        <v>2778</v>
      </c>
      <c r="Q346" t="s">
        <v>2751</v>
      </c>
      <c r="R346" t="s">
        <v>24</v>
      </c>
      <c r="T346">
        <v>2024</v>
      </c>
      <c r="U346" t="s">
        <v>2788</v>
      </c>
      <c r="V346" t="s">
        <v>2764</v>
      </c>
      <c r="X34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46" t="str">
        <f>IF(orders[[#This Row],[Revenue]]&gt;AVERAGE(orders[Revenue])+3*STDEV(orders[Revenue]),"High Outlier",
 IF(orders[[#This Row],[Revenue]]&lt;AVERAGE(orders[Revenue])-3*STDEV(orders[Revenue]),"Low Outlier",
 "Normal"))</f>
        <v>Normal</v>
      </c>
      <c r="Z346">
        <f ca="1" xml:space="preserve"> _xlfn.DAYS(TODAY(), orders[[#This Row],[OrderDate]])</f>
        <v>559</v>
      </c>
      <c r="AA346"/>
    </row>
    <row r="347" spans="1:27">
      <c r="A347" t="s">
        <v>3130</v>
      </c>
      <c r="B347" t="s">
        <v>2104</v>
      </c>
      <c r="C347" t="s">
        <v>3370</v>
      </c>
      <c r="D347" t="str">
        <f>TEXT(orders[[#This Row],[OrderDate]], "YYYY-MM")</f>
        <v>2022-10</v>
      </c>
      <c r="E347" t="s">
        <v>2809</v>
      </c>
      <c r="F347" s="1">
        <v>44857</v>
      </c>
      <c r="I347">
        <v>2</v>
      </c>
      <c r="J347">
        <v>24999</v>
      </c>
      <c r="K347">
        <v>15</v>
      </c>
      <c r="L347">
        <v>7499.7</v>
      </c>
      <c r="M347">
        <v>42498.3</v>
      </c>
      <c r="N347">
        <v>8498.2999999999993</v>
      </c>
      <c r="O347" t="s">
        <v>2756</v>
      </c>
      <c r="P347" t="s">
        <v>2778</v>
      </c>
      <c r="Q347" t="s">
        <v>2751</v>
      </c>
      <c r="R347" t="s">
        <v>24</v>
      </c>
      <c r="T347">
        <v>2022</v>
      </c>
      <c r="U347" t="s">
        <v>2788</v>
      </c>
      <c r="V347" t="s">
        <v>2764</v>
      </c>
      <c r="X34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47" t="str">
        <f>IF(orders[[#This Row],[Revenue]]&gt;AVERAGE(orders[Revenue])+3*STDEV(orders[Revenue]),"High Outlier",
 IF(orders[[#This Row],[Revenue]]&lt;AVERAGE(orders[Revenue])-3*STDEV(orders[Revenue]),"Low Outlier",
 "Normal"))</f>
        <v>Normal</v>
      </c>
      <c r="Z347">
        <f ca="1" xml:space="preserve"> _xlfn.DAYS(TODAY(), orders[[#This Row],[OrderDate]])</f>
        <v>1285</v>
      </c>
      <c r="AA347"/>
    </row>
    <row r="348" spans="1:27">
      <c r="A348" t="s">
        <v>3131</v>
      </c>
      <c r="B348" t="s">
        <v>495</v>
      </c>
      <c r="C348" t="s">
        <v>3413</v>
      </c>
      <c r="D348" t="str">
        <f>TEXT(orders[[#This Row],[OrderDate]], "YYYY-MM")</f>
        <v>2023-03</v>
      </c>
      <c r="E348" t="s">
        <v>2809</v>
      </c>
      <c r="F348" s="1">
        <v>44997</v>
      </c>
      <c r="G348" s="1">
        <v>45001</v>
      </c>
      <c r="H348" s="1">
        <v>45001</v>
      </c>
      <c r="I348">
        <v>2</v>
      </c>
      <c r="J348">
        <v>5999</v>
      </c>
      <c r="K348">
        <v>20</v>
      </c>
      <c r="L348">
        <v>2399.6</v>
      </c>
      <c r="M348">
        <v>9598.4</v>
      </c>
      <c r="N348">
        <v>1998.4</v>
      </c>
      <c r="O348" t="s">
        <v>2749</v>
      </c>
      <c r="P348" t="s">
        <v>2750</v>
      </c>
      <c r="Q348" t="s">
        <v>2762</v>
      </c>
      <c r="R348" t="s">
        <v>24</v>
      </c>
      <c r="S348">
        <v>5</v>
      </c>
      <c r="T348">
        <v>2023</v>
      </c>
      <c r="U348" t="s">
        <v>2752</v>
      </c>
      <c r="V348" t="s">
        <v>2753</v>
      </c>
      <c r="W348">
        <v>4</v>
      </c>
      <c r="X34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48" t="str">
        <f>IF(orders[[#This Row],[Revenue]]&gt;AVERAGE(orders[Revenue])+3*STDEV(orders[Revenue]),"High Outlier",
 IF(orders[[#This Row],[Revenue]]&lt;AVERAGE(orders[Revenue])-3*STDEV(orders[Revenue]),"Low Outlier",
 "Normal"))</f>
        <v>Normal</v>
      </c>
      <c r="Z348">
        <f ca="1" xml:space="preserve"> _xlfn.DAYS(TODAY(), orders[[#This Row],[OrderDate]])</f>
        <v>1145</v>
      </c>
      <c r="AA348"/>
    </row>
    <row r="349" spans="1:27">
      <c r="A349" t="s">
        <v>3132</v>
      </c>
      <c r="B349" t="s">
        <v>2410</v>
      </c>
      <c r="C349" t="s">
        <v>3370</v>
      </c>
      <c r="D349" t="str">
        <f>TEXT(orders[[#This Row],[OrderDate]], "YYYY-MM")</f>
        <v>2022-09</v>
      </c>
      <c r="E349" t="s">
        <v>2776</v>
      </c>
      <c r="F349" s="1">
        <v>44809</v>
      </c>
      <c r="G349" s="1">
        <v>44814</v>
      </c>
      <c r="H349" s="1">
        <v>44816</v>
      </c>
      <c r="I349">
        <v>1</v>
      </c>
      <c r="J349">
        <v>24999</v>
      </c>
      <c r="K349">
        <v>20</v>
      </c>
      <c r="L349">
        <v>4999.8</v>
      </c>
      <c r="M349">
        <v>19999.2</v>
      </c>
      <c r="N349">
        <v>2999.2</v>
      </c>
      <c r="O349" t="s">
        <v>2749</v>
      </c>
      <c r="P349" t="s">
        <v>2782</v>
      </c>
      <c r="Q349" t="s">
        <v>2762</v>
      </c>
      <c r="R349" t="s">
        <v>35</v>
      </c>
      <c r="S349">
        <v>3</v>
      </c>
      <c r="T349">
        <v>2022</v>
      </c>
      <c r="U349" t="s">
        <v>2790</v>
      </c>
      <c r="V349" t="s">
        <v>2774</v>
      </c>
      <c r="W349">
        <v>5</v>
      </c>
      <c r="X34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49" t="str">
        <f>IF(orders[[#This Row],[Revenue]]&gt;AVERAGE(orders[Revenue])+3*STDEV(orders[Revenue]),"High Outlier",
 IF(orders[[#This Row],[Revenue]]&lt;AVERAGE(orders[Revenue])-3*STDEV(orders[Revenue]),"Low Outlier",
 "Normal"))</f>
        <v>Normal</v>
      </c>
      <c r="Z349">
        <f ca="1" xml:space="preserve"> _xlfn.DAYS(TODAY(), orders[[#This Row],[OrderDate]])</f>
        <v>1333</v>
      </c>
      <c r="AA349"/>
    </row>
    <row r="350" spans="1:27">
      <c r="A350" t="s">
        <v>3133</v>
      </c>
      <c r="B350" t="s">
        <v>1005</v>
      </c>
      <c r="C350" t="s">
        <v>3362</v>
      </c>
      <c r="D350" t="str">
        <f>TEXT(orders[[#This Row],[OrderDate]], "YYYY-MM")</f>
        <v>2023-08</v>
      </c>
      <c r="E350" t="s">
        <v>2785</v>
      </c>
      <c r="F350" s="1">
        <v>45164</v>
      </c>
      <c r="G350" s="1">
        <v>45165</v>
      </c>
      <c r="H350" s="1">
        <v>45166</v>
      </c>
      <c r="I350">
        <v>2</v>
      </c>
      <c r="J350">
        <v>41900</v>
      </c>
      <c r="K350">
        <v>10</v>
      </c>
      <c r="L350">
        <v>8380</v>
      </c>
      <c r="M350">
        <v>75420</v>
      </c>
      <c r="N350">
        <v>19420</v>
      </c>
      <c r="O350" t="s">
        <v>2749</v>
      </c>
      <c r="P350" t="s">
        <v>2757</v>
      </c>
      <c r="Q350" t="s">
        <v>2794</v>
      </c>
      <c r="R350" t="s">
        <v>188</v>
      </c>
      <c r="S350">
        <v>3</v>
      </c>
      <c r="T350">
        <v>2023</v>
      </c>
      <c r="U350" t="s">
        <v>2773</v>
      </c>
      <c r="V350" t="s">
        <v>2774</v>
      </c>
      <c r="W350">
        <v>1</v>
      </c>
      <c r="X35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50" t="str">
        <f>IF(orders[[#This Row],[Revenue]]&gt;AVERAGE(orders[Revenue])+3*STDEV(orders[Revenue]),"High Outlier",
 IF(orders[[#This Row],[Revenue]]&lt;AVERAGE(orders[Revenue])-3*STDEV(orders[Revenue]),"Low Outlier",
 "Normal"))</f>
        <v>Normal</v>
      </c>
      <c r="Z350">
        <f ca="1" xml:space="preserve"> _xlfn.DAYS(TODAY(), orders[[#This Row],[OrderDate]])</f>
        <v>978</v>
      </c>
      <c r="AA350"/>
    </row>
    <row r="351" spans="1:27">
      <c r="A351" t="s">
        <v>3134</v>
      </c>
      <c r="B351" t="s">
        <v>750</v>
      </c>
      <c r="C351" t="s">
        <v>3331</v>
      </c>
      <c r="D351" t="str">
        <f>TEXT(orders[[#This Row],[OrderDate]], "YYYY-MM")</f>
        <v>2022-01</v>
      </c>
      <c r="E351" t="s">
        <v>2769</v>
      </c>
      <c r="F351" s="1">
        <v>44566</v>
      </c>
      <c r="G351" s="1">
        <v>44571</v>
      </c>
      <c r="H351" s="1">
        <v>44573</v>
      </c>
      <c r="I351">
        <v>1</v>
      </c>
      <c r="J351">
        <v>38999</v>
      </c>
      <c r="K351">
        <v>0</v>
      </c>
      <c r="L351">
        <v>0</v>
      </c>
      <c r="M351">
        <v>38999</v>
      </c>
      <c r="N351">
        <v>11999</v>
      </c>
      <c r="O351" t="s">
        <v>2749</v>
      </c>
      <c r="P351" t="s">
        <v>2770</v>
      </c>
      <c r="Q351" t="s">
        <v>2751</v>
      </c>
      <c r="R351" t="s">
        <v>46</v>
      </c>
      <c r="S351">
        <v>5</v>
      </c>
      <c r="T351">
        <v>2022</v>
      </c>
      <c r="U351" t="s">
        <v>2795</v>
      </c>
      <c r="V351" t="s">
        <v>2753</v>
      </c>
      <c r="W351">
        <v>5</v>
      </c>
      <c r="X35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51" t="str">
        <f>IF(orders[[#This Row],[Revenue]]&gt;AVERAGE(orders[Revenue])+3*STDEV(orders[Revenue]),"High Outlier",
 IF(orders[[#This Row],[Revenue]]&lt;AVERAGE(orders[Revenue])-3*STDEV(orders[Revenue]),"Low Outlier",
 "Normal"))</f>
        <v>Normal</v>
      </c>
      <c r="Z351">
        <f ca="1" xml:space="preserve"> _xlfn.DAYS(TODAY(), orders[[#This Row],[OrderDate]])</f>
        <v>1576</v>
      </c>
      <c r="AA351"/>
    </row>
    <row r="352" spans="1:27">
      <c r="A352" t="s">
        <v>3135</v>
      </c>
      <c r="B352" t="s">
        <v>1015</v>
      </c>
      <c r="C352" t="s">
        <v>3394</v>
      </c>
      <c r="D352" t="str">
        <f>TEXT(orders[[#This Row],[OrderDate]], "YYYY-MM")</f>
        <v>2023-11</v>
      </c>
      <c r="E352" t="s">
        <v>2755</v>
      </c>
      <c r="F352" s="1">
        <v>45253</v>
      </c>
      <c r="G352" s="1">
        <v>45257</v>
      </c>
      <c r="H352" s="1">
        <v>45258</v>
      </c>
      <c r="I352">
        <v>2</v>
      </c>
      <c r="J352">
        <v>2499</v>
      </c>
      <c r="K352">
        <v>20</v>
      </c>
      <c r="L352">
        <v>999.6</v>
      </c>
      <c r="M352">
        <v>3998.4</v>
      </c>
      <c r="N352">
        <v>1598.4</v>
      </c>
      <c r="O352" t="s">
        <v>2749</v>
      </c>
      <c r="P352" t="s">
        <v>2778</v>
      </c>
      <c r="Q352" t="s">
        <v>2751</v>
      </c>
      <c r="R352" t="s">
        <v>24</v>
      </c>
      <c r="S352">
        <v>4</v>
      </c>
      <c r="T352">
        <v>2023</v>
      </c>
      <c r="U352" t="s">
        <v>2786</v>
      </c>
      <c r="V352" t="s">
        <v>2764</v>
      </c>
      <c r="W352">
        <v>4</v>
      </c>
      <c r="X35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52" t="str">
        <f>IF(orders[[#This Row],[Revenue]]&gt;AVERAGE(orders[Revenue])+3*STDEV(orders[Revenue]),"High Outlier",
 IF(orders[[#This Row],[Revenue]]&lt;AVERAGE(orders[Revenue])-3*STDEV(orders[Revenue]),"Low Outlier",
 "Normal"))</f>
        <v>Normal</v>
      </c>
      <c r="Z352">
        <f ca="1" xml:space="preserve"> _xlfn.DAYS(TODAY(), orders[[#This Row],[OrderDate]])</f>
        <v>889</v>
      </c>
      <c r="AA352"/>
    </row>
    <row r="353" spans="1:27">
      <c r="A353" t="s">
        <v>3136</v>
      </c>
      <c r="B353" t="s">
        <v>1941</v>
      </c>
      <c r="C353" t="s">
        <v>3374</v>
      </c>
      <c r="D353" t="str">
        <f>TEXT(orders[[#This Row],[OrderDate]], "YYYY-MM")</f>
        <v>2023-10</v>
      </c>
      <c r="E353" t="s">
        <v>2776</v>
      </c>
      <c r="F353" s="1">
        <v>45228</v>
      </c>
      <c r="G353" s="1">
        <v>45235</v>
      </c>
      <c r="H353" s="1">
        <v>45238</v>
      </c>
      <c r="I353">
        <v>4</v>
      </c>
      <c r="J353">
        <v>64999</v>
      </c>
      <c r="K353">
        <v>5</v>
      </c>
      <c r="L353">
        <v>12999.8</v>
      </c>
      <c r="M353">
        <v>246996.2</v>
      </c>
      <c r="N353">
        <v>66996.2</v>
      </c>
      <c r="O353" t="s">
        <v>2749</v>
      </c>
      <c r="P353" t="s">
        <v>2770</v>
      </c>
      <c r="Q353" t="s">
        <v>2794</v>
      </c>
      <c r="R353" t="s">
        <v>35</v>
      </c>
      <c r="S353">
        <v>5</v>
      </c>
      <c r="T353">
        <v>2023</v>
      </c>
      <c r="U353" t="s">
        <v>2788</v>
      </c>
      <c r="V353" t="s">
        <v>2764</v>
      </c>
      <c r="W353">
        <v>7</v>
      </c>
      <c r="X35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53" t="str">
        <f>IF(orders[[#This Row],[Revenue]]&gt;AVERAGE(orders[Revenue])+3*STDEV(orders[Revenue]),"High Outlier",
 IF(orders[[#This Row],[Revenue]]&lt;AVERAGE(orders[Revenue])-3*STDEV(orders[Revenue]),"Low Outlier",
 "Normal"))</f>
        <v>Normal</v>
      </c>
      <c r="Z353">
        <f ca="1" xml:space="preserve"> _xlfn.DAYS(TODAY(), orders[[#This Row],[OrderDate]])</f>
        <v>914</v>
      </c>
      <c r="AA353"/>
    </row>
    <row r="354" spans="1:27">
      <c r="A354" t="s">
        <v>3137</v>
      </c>
      <c r="B354" t="s">
        <v>207</v>
      </c>
      <c r="C354" t="s">
        <v>3409</v>
      </c>
      <c r="D354" t="str">
        <f>TEXT(orders[[#This Row],[OrderDate]], "YYYY-MM")</f>
        <v>2023-07</v>
      </c>
      <c r="E354" t="s">
        <v>2769</v>
      </c>
      <c r="F354" s="1">
        <v>45130</v>
      </c>
      <c r="I354">
        <v>1</v>
      </c>
      <c r="J354">
        <v>7499</v>
      </c>
      <c r="K354">
        <v>0</v>
      </c>
      <c r="L354">
        <v>0</v>
      </c>
      <c r="M354">
        <v>7499</v>
      </c>
      <c r="N354">
        <v>2699</v>
      </c>
      <c r="O354" t="s">
        <v>2781</v>
      </c>
      <c r="P354" t="s">
        <v>2778</v>
      </c>
      <c r="Q354" t="s">
        <v>2762</v>
      </c>
      <c r="R354" t="s">
        <v>46</v>
      </c>
      <c r="T354">
        <v>2023</v>
      </c>
      <c r="U354" t="s">
        <v>2792</v>
      </c>
      <c r="V354" t="s">
        <v>2774</v>
      </c>
      <c r="X35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54" t="str">
        <f>IF(orders[[#This Row],[Revenue]]&gt;AVERAGE(orders[Revenue])+3*STDEV(orders[Revenue]),"High Outlier",
 IF(orders[[#This Row],[Revenue]]&lt;AVERAGE(orders[Revenue])-3*STDEV(orders[Revenue]),"Low Outlier",
 "Normal"))</f>
        <v>Normal</v>
      </c>
      <c r="Z354">
        <f ca="1" xml:space="preserve"> _xlfn.DAYS(TODAY(), orders[[#This Row],[OrderDate]])</f>
        <v>1012</v>
      </c>
      <c r="AA354"/>
    </row>
    <row r="355" spans="1:27">
      <c r="A355" t="s">
        <v>3138</v>
      </c>
      <c r="B355" t="s">
        <v>1692</v>
      </c>
      <c r="C355" t="s">
        <v>3405</v>
      </c>
      <c r="D355" t="str">
        <f>TEXT(orders[[#This Row],[OrderDate]], "YYYY-MM")</f>
        <v>2022-09</v>
      </c>
      <c r="E355" t="s">
        <v>2769</v>
      </c>
      <c r="F355" s="1">
        <v>44815</v>
      </c>
      <c r="I355">
        <v>5</v>
      </c>
      <c r="J355">
        <v>8495</v>
      </c>
      <c r="K355">
        <v>0</v>
      </c>
      <c r="L355">
        <v>0</v>
      </c>
      <c r="M355">
        <v>42475</v>
      </c>
      <c r="N355">
        <v>14975</v>
      </c>
      <c r="O355" t="s">
        <v>2781</v>
      </c>
      <c r="P355" t="s">
        <v>2782</v>
      </c>
      <c r="Q355" t="s">
        <v>2758</v>
      </c>
      <c r="R355" t="s">
        <v>46</v>
      </c>
      <c r="T355">
        <v>2022</v>
      </c>
      <c r="U355" t="s">
        <v>2790</v>
      </c>
      <c r="V355" t="s">
        <v>2774</v>
      </c>
      <c r="X35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55" t="str">
        <f>IF(orders[[#This Row],[Revenue]]&gt;AVERAGE(orders[Revenue])+3*STDEV(orders[Revenue]),"High Outlier",
 IF(orders[[#This Row],[Revenue]]&lt;AVERAGE(orders[Revenue])-3*STDEV(orders[Revenue]),"Low Outlier",
 "Normal"))</f>
        <v>Normal</v>
      </c>
      <c r="Z355">
        <f ca="1" xml:space="preserve"> _xlfn.DAYS(TODAY(), orders[[#This Row],[OrderDate]])</f>
        <v>1327</v>
      </c>
      <c r="AA355"/>
    </row>
    <row r="356" spans="1:27">
      <c r="A356" t="s">
        <v>3139</v>
      </c>
      <c r="B356" t="s">
        <v>1618</v>
      </c>
      <c r="C356" t="s">
        <v>3394</v>
      </c>
      <c r="D356" t="str">
        <f>TEXT(orders[[#This Row],[OrderDate]], "YYYY-MM")</f>
        <v>2024-12</v>
      </c>
      <c r="E356" t="s">
        <v>2804</v>
      </c>
      <c r="F356" s="1">
        <v>45630</v>
      </c>
      <c r="G356" s="1">
        <v>45637</v>
      </c>
      <c r="H356" s="1">
        <v>45640</v>
      </c>
      <c r="I356">
        <v>5</v>
      </c>
      <c r="J356">
        <v>2499</v>
      </c>
      <c r="K356">
        <v>0</v>
      </c>
      <c r="L356">
        <v>0</v>
      </c>
      <c r="M356">
        <v>12495</v>
      </c>
      <c r="N356">
        <v>6495</v>
      </c>
      <c r="O356" t="s">
        <v>2749</v>
      </c>
      <c r="P356" t="s">
        <v>2757</v>
      </c>
      <c r="Q356" t="s">
        <v>2758</v>
      </c>
      <c r="R356" t="s">
        <v>46</v>
      </c>
      <c r="S356">
        <v>2</v>
      </c>
      <c r="T356">
        <v>2024</v>
      </c>
      <c r="U356" t="s">
        <v>2763</v>
      </c>
      <c r="V356" t="s">
        <v>2764</v>
      </c>
      <c r="W356">
        <v>7</v>
      </c>
      <c r="X35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56" t="str">
        <f>IF(orders[[#This Row],[Revenue]]&gt;AVERAGE(orders[Revenue])+3*STDEV(orders[Revenue]),"High Outlier",
 IF(orders[[#This Row],[Revenue]]&lt;AVERAGE(orders[Revenue])-3*STDEV(orders[Revenue]),"Low Outlier",
 "Normal"))</f>
        <v>Normal</v>
      </c>
      <c r="Z356">
        <f ca="1" xml:space="preserve"> _xlfn.DAYS(TODAY(), orders[[#This Row],[OrderDate]])</f>
        <v>512</v>
      </c>
      <c r="AA356"/>
    </row>
    <row r="357" spans="1:27">
      <c r="A357" t="s">
        <v>3140</v>
      </c>
      <c r="B357" t="s">
        <v>2688</v>
      </c>
      <c r="C357" t="s">
        <v>3298</v>
      </c>
      <c r="D357" t="str">
        <f>TEXT(orders[[#This Row],[OrderDate]], "YYYY-MM")</f>
        <v>2023-02</v>
      </c>
      <c r="E357" t="s">
        <v>2776</v>
      </c>
      <c r="F357" s="1">
        <v>44983</v>
      </c>
      <c r="G357" s="1">
        <v>44990</v>
      </c>
      <c r="H357" s="1">
        <v>44993</v>
      </c>
      <c r="I357">
        <v>1</v>
      </c>
      <c r="J357">
        <v>79999</v>
      </c>
      <c r="K357">
        <v>20</v>
      </c>
      <c r="L357">
        <v>15999.8</v>
      </c>
      <c r="M357">
        <v>63999.199999999997</v>
      </c>
      <c r="N357">
        <v>8999.2000000000007</v>
      </c>
      <c r="O357" t="s">
        <v>2749</v>
      </c>
      <c r="P357" t="s">
        <v>2761</v>
      </c>
      <c r="Q357" t="s">
        <v>2794</v>
      </c>
      <c r="R357" t="s">
        <v>35</v>
      </c>
      <c r="S357">
        <v>4</v>
      </c>
      <c r="T357">
        <v>2023</v>
      </c>
      <c r="U357" t="s">
        <v>2759</v>
      </c>
      <c r="V357" t="s">
        <v>2753</v>
      </c>
      <c r="W357">
        <v>7</v>
      </c>
      <c r="X35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57" t="str">
        <f>IF(orders[[#This Row],[Revenue]]&gt;AVERAGE(orders[Revenue])+3*STDEV(orders[Revenue]),"High Outlier",
 IF(orders[[#This Row],[Revenue]]&lt;AVERAGE(orders[Revenue])-3*STDEV(orders[Revenue]),"Low Outlier",
 "Normal"))</f>
        <v>Normal</v>
      </c>
      <c r="Z357">
        <f ca="1" xml:space="preserve"> _xlfn.DAYS(TODAY(), orders[[#This Row],[OrderDate]])</f>
        <v>1159</v>
      </c>
      <c r="AA357"/>
    </row>
    <row r="358" spans="1:27">
      <c r="A358" t="s">
        <v>3141</v>
      </c>
      <c r="B358" t="s">
        <v>1740</v>
      </c>
      <c r="C358" t="s">
        <v>3307</v>
      </c>
      <c r="D358" t="str">
        <f>TEXT(orders[[#This Row],[OrderDate]], "YYYY-MM")</f>
        <v>2022-02</v>
      </c>
      <c r="E358" t="s">
        <v>2776</v>
      </c>
      <c r="F358" s="1">
        <v>44609</v>
      </c>
      <c r="G358" s="1">
        <v>44613</v>
      </c>
      <c r="H358" s="1">
        <v>44614</v>
      </c>
      <c r="I358">
        <v>4</v>
      </c>
      <c r="J358">
        <v>69999</v>
      </c>
      <c r="K358">
        <v>0</v>
      </c>
      <c r="L358">
        <v>0</v>
      </c>
      <c r="M358">
        <v>279996</v>
      </c>
      <c r="N358">
        <v>87996</v>
      </c>
      <c r="O358" t="s">
        <v>2749</v>
      </c>
      <c r="P358" t="s">
        <v>2761</v>
      </c>
      <c r="Q358" t="s">
        <v>2794</v>
      </c>
      <c r="R358" t="s">
        <v>35</v>
      </c>
      <c r="S358">
        <v>4</v>
      </c>
      <c r="T358">
        <v>2022</v>
      </c>
      <c r="U358" t="s">
        <v>2759</v>
      </c>
      <c r="V358" t="s">
        <v>2753</v>
      </c>
      <c r="W358">
        <v>4</v>
      </c>
      <c r="X35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58" t="str">
        <f>IF(orders[[#This Row],[Revenue]]&gt;AVERAGE(orders[Revenue])+3*STDEV(orders[Revenue]),"High Outlier",
 IF(orders[[#This Row],[Revenue]]&lt;AVERAGE(orders[Revenue])-3*STDEV(orders[Revenue]),"Low Outlier",
 "Normal"))</f>
        <v>Normal</v>
      </c>
      <c r="Z358">
        <f ca="1" xml:space="preserve"> _xlfn.DAYS(TODAY(), orders[[#This Row],[OrderDate]])</f>
        <v>1533</v>
      </c>
      <c r="AA358"/>
    </row>
    <row r="359" spans="1:27">
      <c r="A359" t="s">
        <v>3142</v>
      </c>
      <c r="B359" t="s">
        <v>866</v>
      </c>
      <c r="C359" t="s">
        <v>3314</v>
      </c>
      <c r="D359" t="str">
        <f>TEXT(orders[[#This Row],[OrderDate]], "YYYY-MM")</f>
        <v>2022-07</v>
      </c>
      <c r="E359" t="s">
        <v>2748</v>
      </c>
      <c r="F359" s="1">
        <v>44765</v>
      </c>
      <c r="I359">
        <v>2</v>
      </c>
      <c r="J359">
        <v>114900</v>
      </c>
      <c r="K359">
        <v>5</v>
      </c>
      <c r="L359">
        <v>11490</v>
      </c>
      <c r="M359">
        <v>218310</v>
      </c>
      <c r="N359">
        <v>48310</v>
      </c>
      <c r="O359" t="s">
        <v>2756</v>
      </c>
      <c r="P359" t="s">
        <v>2782</v>
      </c>
      <c r="Q359" t="s">
        <v>2779</v>
      </c>
      <c r="R359" t="s">
        <v>188</v>
      </c>
      <c r="T359">
        <v>2022</v>
      </c>
      <c r="U359" t="s">
        <v>2792</v>
      </c>
      <c r="V359" t="s">
        <v>2774</v>
      </c>
      <c r="X35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59" t="str">
        <f>IF(orders[[#This Row],[Revenue]]&gt;AVERAGE(orders[Revenue])+3*STDEV(orders[Revenue]),"High Outlier",
 IF(orders[[#This Row],[Revenue]]&lt;AVERAGE(orders[Revenue])-3*STDEV(orders[Revenue]),"Low Outlier",
 "Normal"))</f>
        <v>Normal</v>
      </c>
      <c r="Z359">
        <f ca="1" xml:space="preserve"> _xlfn.DAYS(TODAY(), orders[[#This Row],[OrderDate]])</f>
        <v>1377</v>
      </c>
      <c r="AA359"/>
    </row>
    <row r="360" spans="1:27">
      <c r="A360" t="s">
        <v>3143</v>
      </c>
      <c r="B360" t="s">
        <v>861</v>
      </c>
      <c r="C360" t="s">
        <v>3423</v>
      </c>
      <c r="D360" t="str">
        <f>TEXT(orders[[#This Row],[OrderDate]], "YYYY-MM")</f>
        <v>2022-11</v>
      </c>
      <c r="E360" t="s">
        <v>2809</v>
      </c>
      <c r="F360" s="1">
        <v>44877</v>
      </c>
      <c r="G360" s="1">
        <v>44881</v>
      </c>
      <c r="H360" s="1">
        <v>44882</v>
      </c>
      <c r="I360">
        <v>1</v>
      </c>
      <c r="J360">
        <v>1599</v>
      </c>
      <c r="K360">
        <v>10</v>
      </c>
      <c r="L360">
        <v>159.9</v>
      </c>
      <c r="M360">
        <v>1439.1</v>
      </c>
      <c r="N360">
        <v>639.1</v>
      </c>
      <c r="O360" t="s">
        <v>2749</v>
      </c>
      <c r="P360" t="s">
        <v>2782</v>
      </c>
      <c r="Q360" t="s">
        <v>2762</v>
      </c>
      <c r="R360" t="s">
        <v>24</v>
      </c>
      <c r="S360">
        <v>1</v>
      </c>
      <c r="T360">
        <v>2022</v>
      </c>
      <c r="U360" t="s">
        <v>2786</v>
      </c>
      <c r="V360" t="s">
        <v>2764</v>
      </c>
      <c r="W360">
        <v>4</v>
      </c>
      <c r="X36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60" t="str">
        <f>IF(orders[[#This Row],[Revenue]]&gt;AVERAGE(orders[Revenue])+3*STDEV(orders[Revenue]),"High Outlier",
 IF(orders[[#This Row],[Revenue]]&lt;AVERAGE(orders[Revenue])-3*STDEV(orders[Revenue]),"Low Outlier",
 "Normal"))</f>
        <v>Normal</v>
      </c>
      <c r="Z360">
        <f ca="1" xml:space="preserve"> _xlfn.DAYS(TODAY(), orders[[#This Row],[OrderDate]])</f>
        <v>1265</v>
      </c>
      <c r="AA360"/>
    </row>
    <row r="361" spans="1:27">
      <c r="A361" t="s">
        <v>3144</v>
      </c>
      <c r="B361" t="s">
        <v>984</v>
      </c>
      <c r="C361" t="s">
        <v>3366</v>
      </c>
      <c r="D361" t="str">
        <f>TEXT(orders[[#This Row],[OrderDate]], "YYYY-MM")</f>
        <v>2023-10</v>
      </c>
      <c r="E361" t="s">
        <v>2809</v>
      </c>
      <c r="F361" s="1">
        <v>45217</v>
      </c>
      <c r="G361" s="1">
        <v>45221</v>
      </c>
      <c r="H361" s="1">
        <v>45223</v>
      </c>
      <c r="I361">
        <v>3</v>
      </c>
      <c r="J361">
        <v>19999</v>
      </c>
      <c r="K361">
        <v>10</v>
      </c>
      <c r="L361">
        <v>5999.7</v>
      </c>
      <c r="M361">
        <v>53997.3</v>
      </c>
      <c r="N361">
        <v>14997.3</v>
      </c>
      <c r="O361" t="s">
        <v>2749</v>
      </c>
      <c r="P361" t="s">
        <v>2757</v>
      </c>
      <c r="Q361" t="s">
        <v>2762</v>
      </c>
      <c r="R361" t="s">
        <v>24</v>
      </c>
      <c r="S361">
        <v>2</v>
      </c>
      <c r="T361">
        <v>2023</v>
      </c>
      <c r="U361" t="s">
        <v>2788</v>
      </c>
      <c r="V361" t="s">
        <v>2764</v>
      </c>
      <c r="W361">
        <v>4</v>
      </c>
      <c r="X36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61" t="str">
        <f>IF(orders[[#This Row],[Revenue]]&gt;AVERAGE(orders[Revenue])+3*STDEV(orders[Revenue]),"High Outlier",
 IF(orders[[#This Row],[Revenue]]&lt;AVERAGE(orders[Revenue])-3*STDEV(orders[Revenue]),"Low Outlier",
 "Normal"))</f>
        <v>Normal</v>
      </c>
      <c r="Z361">
        <f ca="1" xml:space="preserve"> _xlfn.DAYS(TODAY(), orders[[#This Row],[OrderDate]])</f>
        <v>925</v>
      </c>
      <c r="AA361"/>
    </row>
    <row r="362" spans="1:27">
      <c r="A362" t="s">
        <v>3145</v>
      </c>
      <c r="B362" t="s">
        <v>814</v>
      </c>
      <c r="C362" t="s">
        <v>3423</v>
      </c>
      <c r="D362" t="str">
        <f>TEXT(orders[[#This Row],[OrderDate]], "YYYY-MM")</f>
        <v>2024-10</v>
      </c>
      <c r="E362" t="s">
        <v>2804</v>
      </c>
      <c r="F362" s="1">
        <v>45571</v>
      </c>
      <c r="I362">
        <v>5</v>
      </c>
      <c r="J362">
        <v>1599</v>
      </c>
      <c r="K362">
        <v>10</v>
      </c>
      <c r="L362">
        <v>799.5</v>
      </c>
      <c r="M362">
        <v>7195.5</v>
      </c>
      <c r="N362">
        <v>3195.5</v>
      </c>
      <c r="O362" t="s">
        <v>2756</v>
      </c>
      <c r="P362" t="s">
        <v>2757</v>
      </c>
      <c r="Q362" t="s">
        <v>2794</v>
      </c>
      <c r="R362" t="s">
        <v>46</v>
      </c>
      <c r="T362">
        <v>2024</v>
      </c>
      <c r="U362" t="s">
        <v>2788</v>
      </c>
      <c r="V362" t="s">
        <v>2764</v>
      </c>
      <c r="X36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62" t="str">
        <f>IF(orders[[#This Row],[Revenue]]&gt;AVERAGE(orders[Revenue])+3*STDEV(orders[Revenue]),"High Outlier",
 IF(orders[[#This Row],[Revenue]]&lt;AVERAGE(orders[Revenue])-3*STDEV(orders[Revenue]),"Low Outlier",
 "Normal"))</f>
        <v>Normal</v>
      </c>
      <c r="Z362">
        <f ca="1" xml:space="preserve"> _xlfn.DAYS(TODAY(), orders[[#This Row],[OrderDate]])</f>
        <v>571</v>
      </c>
      <c r="AA362"/>
    </row>
    <row r="363" spans="1:27">
      <c r="A363" t="s">
        <v>3146</v>
      </c>
      <c r="B363" t="s">
        <v>265</v>
      </c>
      <c r="C363" t="s">
        <v>3356</v>
      </c>
      <c r="D363" t="str">
        <f>TEXT(orders[[#This Row],[OrderDate]], "YYYY-MM")</f>
        <v>2024-04</v>
      </c>
      <c r="E363" t="s">
        <v>2785</v>
      </c>
      <c r="F363" s="1">
        <v>45395</v>
      </c>
      <c r="G363" s="1">
        <v>45399</v>
      </c>
      <c r="H363" s="1">
        <v>45399</v>
      </c>
      <c r="I363">
        <v>4</v>
      </c>
      <c r="J363">
        <v>9999</v>
      </c>
      <c r="K363">
        <v>5</v>
      </c>
      <c r="L363">
        <v>1999.8</v>
      </c>
      <c r="M363">
        <v>37996.199999999997</v>
      </c>
      <c r="N363">
        <v>11996.2</v>
      </c>
      <c r="O363" t="s">
        <v>2749</v>
      </c>
      <c r="P363" t="s">
        <v>2757</v>
      </c>
      <c r="Q363" t="s">
        <v>2794</v>
      </c>
      <c r="R363" t="s">
        <v>188</v>
      </c>
      <c r="S363">
        <v>5</v>
      </c>
      <c r="T363">
        <v>2024</v>
      </c>
      <c r="U363" t="s">
        <v>2783</v>
      </c>
      <c r="V363" t="s">
        <v>2767</v>
      </c>
      <c r="W363">
        <v>4</v>
      </c>
      <c r="X36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63" t="str">
        <f>IF(orders[[#This Row],[Revenue]]&gt;AVERAGE(orders[Revenue])+3*STDEV(orders[Revenue]),"High Outlier",
 IF(orders[[#This Row],[Revenue]]&lt;AVERAGE(orders[Revenue])-3*STDEV(orders[Revenue]),"Low Outlier",
 "Normal"))</f>
        <v>Normal</v>
      </c>
      <c r="Z363">
        <f ca="1" xml:space="preserve"> _xlfn.DAYS(TODAY(), orders[[#This Row],[OrderDate]])</f>
        <v>747</v>
      </c>
      <c r="AA363"/>
    </row>
    <row r="364" spans="1:27">
      <c r="A364" t="s">
        <v>3147</v>
      </c>
      <c r="B364" t="s">
        <v>2693</v>
      </c>
      <c r="C364" t="s">
        <v>3394</v>
      </c>
      <c r="D364" t="str">
        <f>TEXT(orders[[#This Row],[OrderDate]], "YYYY-MM")</f>
        <v>2023-05</v>
      </c>
      <c r="E364" t="s">
        <v>2776</v>
      </c>
      <c r="F364" s="1">
        <v>45066</v>
      </c>
      <c r="I364">
        <v>2</v>
      </c>
      <c r="J364">
        <v>2499</v>
      </c>
      <c r="K364">
        <v>5</v>
      </c>
      <c r="L364">
        <v>249.9</v>
      </c>
      <c r="M364">
        <v>4748.1000000000004</v>
      </c>
      <c r="N364">
        <v>2348.1</v>
      </c>
      <c r="O364" t="s">
        <v>2756</v>
      </c>
      <c r="P364" t="s">
        <v>2761</v>
      </c>
      <c r="Q364" t="s">
        <v>2751</v>
      </c>
      <c r="R364" t="s">
        <v>35</v>
      </c>
      <c r="T364">
        <v>2023</v>
      </c>
      <c r="U364" t="s">
        <v>2766</v>
      </c>
      <c r="V364" t="s">
        <v>2767</v>
      </c>
      <c r="X36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64" t="str">
        <f>IF(orders[[#This Row],[Revenue]]&gt;AVERAGE(orders[Revenue])+3*STDEV(orders[Revenue]),"High Outlier",
 IF(orders[[#This Row],[Revenue]]&lt;AVERAGE(orders[Revenue])-3*STDEV(orders[Revenue]),"Low Outlier",
 "Normal"))</f>
        <v>Normal</v>
      </c>
      <c r="Z364">
        <f ca="1" xml:space="preserve"> _xlfn.DAYS(TODAY(), orders[[#This Row],[OrderDate]])</f>
        <v>1076</v>
      </c>
      <c r="AA364"/>
    </row>
    <row r="365" spans="1:27">
      <c r="A365" t="s">
        <v>3148</v>
      </c>
      <c r="B365" t="s">
        <v>1372</v>
      </c>
      <c r="C365" t="s">
        <v>3314</v>
      </c>
      <c r="D365" t="str">
        <f>TEXT(orders[[#This Row],[OrderDate]], "YYYY-MM")</f>
        <v>2022-10</v>
      </c>
      <c r="E365" t="s">
        <v>2804</v>
      </c>
      <c r="F365" s="1">
        <v>44853</v>
      </c>
      <c r="G365" s="1">
        <v>44858</v>
      </c>
      <c r="H365" s="1">
        <v>44859</v>
      </c>
      <c r="I365">
        <v>2</v>
      </c>
      <c r="J365">
        <v>114900</v>
      </c>
      <c r="K365">
        <v>20</v>
      </c>
      <c r="L365">
        <v>45960</v>
      </c>
      <c r="M365">
        <v>183840</v>
      </c>
      <c r="N365">
        <v>13840</v>
      </c>
      <c r="O365" t="s">
        <v>2749</v>
      </c>
      <c r="P365" t="s">
        <v>2770</v>
      </c>
      <c r="Q365" t="s">
        <v>2758</v>
      </c>
      <c r="R365" t="s">
        <v>46</v>
      </c>
      <c r="S365">
        <v>4</v>
      </c>
      <c r="T365">
        <v>2022</v>
      </c>
      <c r="U365" t="s">
        <v>2788</v>
      </c>
      <c r="V365" t="s">
        <v>2764</v>
      </c>
      <c r="W365">
        <v>5</v>
      </c>
      <c r="X36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65" t="str">
        <f>IF(orders[[#This Row],[Revenue]]&gt;AVERAGE(orders[Revenue])+3*STDEV(orders[Revenue]),"High Outlier",
 IF(orders[[#This Row],[Revenue]]&lt;AVERAGE(orders[Revenue])-3*STDEV(orders[Revenue]),"Low Outlier",
 "Normal"))</f>
        <v>Normal</v>
      </c>
      <c r="Z365">
        <f ca="1" xml:space="preserve"> _xlfn.DAYS(TODAY(), orders[[#This Row],[OrderDate]])</f>
        <v>1289</v>
      </c>
      <c r="AA365"/>
    </row>
    <row r="366" spans="1:27">
      <c r="A366" t="s">
        <v>3149</v>
      </c>
      <c r="B366" t="s">
        <v>190</v>
      </c>
      <c r="C366" t="s">
        <v>3298</v>
      </c>
      <c r="D366" t="str">
        <f>TEXT(orders[[#This Row],[OrderDate]], "YYYY-MM")</f>
        <v>2023-08</v>
      </c>
      <c r="E366" t="s">
        <v>2755</v>
      </c>
      <c r="F366" s="1">
        <v>45154</v>
      </c>
      <c r="I366">
        <v>2</v>
      </c>
      <c r="J366">
        <v>79999</v>
      </c>
      <c r="K366">
        <v>0</v>
      </c>
      <c r="L366">
        <v>0</v>
      </c>
      <c r="M366">
        <v>159998</v>
      </c>
      <c r="N366">
        <v>49998</v>
      </c>
      <c r="O366" t="s">
        <v>2781</v>
      </c>
      <c r="P366" t="s">
        <v>2757</v>
      </c>
      <c r="Q366" t="s">
        <v>2751</v>
      </c>
      <c r="R366" t="s">
        <v>24</v>
      </c>
      <c r="T366">
        <v>2023</v>
      </c>
      <c r="U366" t="s">
        <v>2773</v>
      </c>
      <c r="V366" t="s">
        <v>2774</v>
      </c>
      <c r="X36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66" t="str">
        <f>IF(orders[[#This Row],[Revenue]]&gt;AVERAGE(orders[Revenue])+3*STDEV(orders[Revenue]),"High Outlier",
 IF(orders[[#This Row],[Revenue]]&lt;AVERAGE(orders[Revenue])-3*STDEV(orders[Revenue]),"Low Outlier",
 "Normal"))</f>
        <v>Normal</v>
      </c>
      <c r="Z366">
        <f ca="1" xml:space="preserve"> _xlfn.DAYS(TODAY(), orders[[#This Row],[OrderDate]])</f>
        <v>988</v>
      </c>
      <c r="AA366"/>
    </row>
    <row r="367" spans="1:27">
      <c r="A367" t="s">
        <v>3150</v>
      </c>
      <c r="B367" t="s">
        <v>912</v>
      </c>
      <c r="C367" t="s">
        <v>3399</v>
      </c>
      <c r="D367" t="str">
        <f>TEXT(orders[[#This Row],[OrderDate]], "YYYY-MM")</f>
        <v>2024-02</v>
      </c>
      <c r="E367" t="s">
        <v>2769</v>
      </c>
      <c r="F367" s="1">
        <v>45340</v>
      </c>
      <c r="G367" s="1">
        <v>45347</v>
      </c>
      <c r="H367" s="1">
        <v>45348</v>
      </c>
      <c r="I367">
        <v>5</v>
      </c>
      <c r="J367">
        <v>3499</v>
      </c>
      <c r="K367">
        <v>20</v>
      </c>
      <c r="L367">
        <v>3499</v>
      </c>
      <c r="M367">
        <v>13996</v>
      </c>
      <c r="N367">
        <v>4996</v>
      </c>
      <c r="O367" t="s">
        <v>2749</v>
      </c>
      <c r="P367" t="s">
        <v>2750</v>
      </c>
      <c r="Q367" t="s">
        <v>2762</v>
      </c>
      <c r="R367" t="s">
        <v>46</v>
      </c>
      <c r="S367">
        <v>2</v>
      </c>
      <c r="T367">
        <v>2024</v>
      </c>
      <c r="U367" t="s">
        <v>2759</v>
      </c>
      <c r="V367" t="s">
        <v>2753</v>
      </c>
      <c r="W367">
        <v>7</v>
      </c>
      <c r="X36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67" t="str">
        <f>IF(orders[[#This Row],[Revenue]]&gt;AVERAGE(orders[Revenue])+3*STDEV(orders[Revenue]),"High Outlier",
 IF(orders[[#This Row],[Revenue]]&lt;AVERAGE(orders[Revenue])-3*STDEV(orders[Revenue]),"Low Outlier",
 "Normal"))</f>
        <v>Normal</v>
      </c>
      <c r="Z367">
        <f ca="1" xml:space="preserve"> _xlfn.DAYS(TODAY(), orders[[#This Row],[OrderDate]])</f>
        <v>802</v>
      </c>
      <c r="AA367"/>
    </row>
    <row r="368" spans="1:27">
      <c r="A368" t="s">
        <v>3151</v>
      </c>
      <c r="B368" t="s">
        <v>2124</v>
      </c>
      <c r="C368" t="s">
        <v>3390</v>
      </c>
      <c r="D368" t="str">
        <f>TEXT(orders[[#This Row],[OrderDate]], "YYYY-MM")</f>
        <v>2023-09</v>
      </c>
      <c r="E368" t="s">
        <v>2809</v>
      </c>
      <c r="F368" s="1">
        <v>45177</v>
      </c>
      <c r="G368" s="1">
        <v>45181</v>
      </c>
      <c r="H368" s="1">
        <v>45181</v>
      </c>
      <c r="I368">
        <v>2</v>
      </c>
      <c r="J368">
        <v>54999</v>
      </c>
      <c r="K368">
        <v>20</v>
      </c>
      <c r="L368">
        <v>21999.599999999999</v>
      </c>
      <c r="M368">
        <v>87998.399999999994</v>
      </c>
      <c r="N368">
        <v>11998.4</v>
      </c>
      <c r="O368" t="s">
        <v>2749</v>
      </c>
      <c r="P368" t="s">
        <v>2750</v>
      </c>
      <c r="Q368" t="s">
        <v>2751</v>
      </c>
      <c r="R368" t="s">
        <v>24</v>
      </c>
      <c r="S368">
        <v>2</v>
      </c>
      <c r="T368">
        <v>2023</v>
      </c>
      <c r="U368" t="s">
        <v>2790</v>
      </c>
      <c r="V368" t="s">
        <v>2774</v>
      </c>
      <c r="W368">
        <v>4</v>
      </c>
      <c r="X36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68" t="str">
        <f>IF(orders[[#This Row],[Revenue]]&gt;AVERAGE(orders[Revenue])+3*STDEV(orders[Revenue]),"High Outlier",
 IF(orders[[#This Row],[Revenue]]&lt;AVERAGE(orders[Revenue])-3*STDEV(orders[Revenue]),"Low Outlier",
 "Normal"))</f>
        <v>Normal</v>
      </c>
      <c r="Z368">
        <f ca="1" xml:space="preserve"> _xlfn.DAYS(TODAY(), orders[[#This Row],[OrderDate]])</f>
        <v>965</v>
      </c>
      <c r="AA368"/>
    </row>
    <row r="369" spans="1:27">
      <c r="A369" t="s">
        <v>3152</v>
      </c>
      <c r="B369" t="s">
        <v>1796</v>
      </c>
      <c r="C369" t="s">
        <v>3384</v>
      </c>
      <c r="D369" t="str">
        <f>TEXT(orders[[#This Row],[OrderDate]], "YYYY-MM")</f>
        <v>2023-12</v>
      </c>
      <c r="E369" t="s">
        <v>2785</v>
      </c>
      <c r="F369" s="1">
        <v>45263</v>
      </c>
      <c r="I369">
        <v>3</v>
      </c>
      <c r="J369">
        <v>59900</v>
      </c>
      <c r="K369">
        <v>15</v>
      </c>
      <c r="L369">
        <v>26955</v>
      </c>
      <c r="M369">
        <v>152745</v>
      </c>
      <c r="N369">
        <v>26745</v>
      </c>
      <c r="O369" t="s">
        <v>2781</v>
      </c>
      <c r="P369" t="s">
        <v>2750</v>
      </c>
      <c r="Q369" t="s">
        <v>2779</v>
      </c>
      <c r="R369" t="s">
        <v>188</v>
      </c>
      <c r="T369">
        <v>2023</v>
      </c>
      <c r="U369" t="s">
        <v>2763</v>
      </c>
      <c r="V369" t="s">
        <v>2764</v>
      </c>
      <c r="X36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69" t="str">
        <f>IF(orders[[#This Row],[Revenue]]&gt;AVERAGE(orders[Revenue])+3*STDEV(orders[Revenue]),"High Outlier",
 IF(orders[[#This Row],[Revenue]]&lt;AVERAGE(orders[Revenue])-3*STDEV(orders[Revenue]),"Low Outlier",
 "Normal"))</f>
        <v>Normal</v>
      </c>
      <c r="Z369">
        <f ca="1" xml:space="preserve"> _xlfn.DAYS(TODAY(), orders[[#This Row],[OrderDate]])</f>
        <v>879</v>
      </c>
      <c r="AA369"/>
    </row>
    <row r="370" spans="1:27">
      <c r="A370" t="s">
        <v>3153</v>
      </c>
      <c r="B370" t="s">
        <v>1931</v>
      </c>
      <c r="C370" t="s">
        <v>3356</v>
      </c>
      <c r="D370" t="str">
        <f>TEXT(orders[[#This Row],[OrderDate]], "YYYY-MM")</f>
        <v>2023-03</v>
      </c>
      <c r="E370" t="s">
        <v>2755</v>
      </c>
      <c r="F370" s="1">
        <v>44993</v>
      </c>
      <c r="G370" s="1">
        <v>44998</v>
      </c>
      <c r="H370" s="1">
        <v>45000</v>
      </c>
      <c r="I370">
        <v>1</v>
      </c>
      <c r="J370">
        <v>9999</v>
      </c>
      <c r="K370">
        <v>0</v>
      </c>
      <c r="L370">
        <v>0</v>
      </c>
      <c r="M370">
        <v>9999</v>
      </c>
      <c r="N370">
        <v>3499</v>
      </c>
      <c r="O370" t="s">
        <v>2749</v>
      </c>
      <c r="P370" t="s">
        <v>2778</v>
      </c>
      <c r="Q370" t="s">
        <v>2762</v>
      </c>
      <c r="R370" t="s">
        <v>24</v>
      </c>
      <c r="S370">
        <v>5</v>
      </c>
      <c r="T370">
        <v>2023</v>
      </c>
      <c r="U370" t="s">
        <v>2752</v>
      </c>
      <c r="V370" t="s">
        <v>2753</v>
      </c>
      <c r="W370">
        <v>5</v>
      </c>
      <c r="X37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70" t="str">
        <f>IF(orders[[#This Row],[Revenue]]&gt;AVERAGE(orders[Revenue])+3*STDEV(orders[Revenue]),"High Outlier",
 IF(orders[[#This Row],[Revenue]]&lt;AVERAGE(orders[Revenue])-3*STDEV(orders[Revenue]),"Low Outlier",
 "Normal"))</f>
        <v>Normal</v>
      </c>
      <c r="Z370">
        <f ca="1" xml:space="preserve"> _xlfn.DAYS(TODAY(), orders[[#This Row],[OrderDate]])</f>
        <v>1149</v>
      </c>
      <c r="AA370"/>
    </row>
    <row r="371" spans="1:27">
      <c r="A371" t="s">
        <v>3154</v>
      </c>
      <c r="B371" t="s">
        <v>1448</v>
      </c>
      <c r="C371" t="s">
        <v>3298</v>
      </c>
      <c r="D371" t="str">
        <f>TEXT(orders[[#This Row],[OrderDate]], "YYYY-MM")</f>
        <v>2022-12</v>
      </c>
      <c r="E371" t="s">
        <v>2809</v>
      </c>
      <c r="F371" s="1">
        <v>44917</v>
      </c>
      <c r="G371" s="1">
        <v>44922</v>
      </c>
      <c r="H371" s="1">
        <v>44925</v>
      </c>
      <c r="I371">
        <v>4</v>
      </c>
      <c r="J371">
        <v>79999</v>
      </c>
      <c r="K371">
        <v>20</v>
      </c>
      <c r="L371">
        <v>63999.199999999997</v>
      </c>
      <c r="M371">
        <v>255996.79999999999</v>
      </c>
      <c r="N371">
        <v>35996.800000000003</v>
      </c>
      <c r="O371" t="s">
        <v>2749</v>
      </c>
      <c r="P371" t="s">
        <v>2757</v>
      </c>
      <c r="Q371" t="s">
        <v>2762</v>
      </c>
      <c r="R371" t="s">
        <v>24</v>
      </c>
      <c r="S371">
        <v>5</v>
      </c>
      <c r="T371">
        <v>2022</v>
      </c>
      <c r="U371" t="s">
        <v>2763</v>
      </c>
      <c r="V371" t="s">
        <v>2764</v>
      </c>
      <c r="W371">
        <v>5</v>
      </c>
      <c r="X37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71" t="str">
        <f>IF(orders[[#This Row],[Revenue]]&gt;AVERAGE(orders[Revenue])+3*STDEV(orders[Revenue]),"High Outlier",
 IF(orders[[#This Row],[Revenue]]&lt;AVERAGE(orders[Revenue])-3*STDEV(orders[Revenue]),"Low Outlier",
 "Normal"))</f>
        <v>Normal</v>
      </c>
      <c r="Z371">
        <f ca="1" xml:space="preserve"> _xlfn.DAYS(TODAY(), orders[[#This Row],[OrderDate]])</f>
        <v>1225</v>
      </c>
      <c r="AA371"/>
    </row>
    <row r="372" spans="1:27">
      <c r="A372" t="s">
        <v>3155</v>
      </c>
      <c r="B372" t="s">
        <v>146</v>
      </c>
      <c r="C372" t="s">
        <v>3409</v>
      </c>
      <c r="D372" t="str">
        <f>TEXT(orders[[#This Row],[OrderDate]], "YYYY-MM")</f>
        <v>2022-09</v>
      </c>
      <c r="E372" t="s">
        <v>2813</v>
      </c>
      <c r="F372" s="1">
        <v>44814</v>
      </c>
      <c r="G372" s="1">
        <v>44821</v>
      </c>
      <c r="H372" s="1">
        <v>44824</v>
      </c>
      <c r="I372">
        <v>5</v>
      </c>
      <c r="J372">
        <v>7499</v>
      </c>
      <c r="K372">
        <v>10</v>
      </c>
      <c r="L372">
        <v>3749.5</v>
      </c>
      <c r="M372">
        <v>33745.5</v>
      </c>
      <c r="N372">
        <v>9745.5</v>
      </c>
      <c r="O372" t="s">
        <v>2749</v>
      </c>
      <c r="P372" t="s">
        <v>2770</v>
      </c>
      <c r="Q372" t="s">
        <v>2779</v>
      </c>
      <c r="R372" t="s">
        <v>76</v>
      </c>
      <c r="S372">
        <v>1</v>
      </c>
      <c r="T372">
        <v>2022</v>
      </c>
      <c r="U372" t="s">
        <v>2790</v>
      </c>
      <c r="V372" t="s">
        <v>2774</v>
      </c>
      <c r="W372">
        <v>7</v>
      </c>
      <c r="X37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72" t="str">
        <f>IF(orders[[#This Row],[Revenue]]&gt;AVERAGE(orders[Revenue])+3*STDEV(orders[Revenue]),"High Outlier",
 IF(orders[[#This Row],[Revenue]]&lt;AVERAGE(orders[Revenue])-3*STDEV(orders[Revenue]),"Low Outlier",
 "Normal"))</f>
        <v>Normal</v>
      </c>
      <c r="Z372">
        <f ca="1" xml:space="preserve"> _xlfn.DAYS(TODAY(), orders[[#This Row],[OrderDate]])</f>
        <v>1328</v>
      </c>
      <c r="AA372"/>
    </row>
    <row r="373" spans="1:27">
      <c r="A373" t="s">
        <v>3156</v>
      </c>
      <c r="B373" t="s">
        <v>477</v>
      </c>
      <c r="C373" t="s">
        <v>3374</v>
      </c>
      <c r="D373" t="str">
        <f>TEXT(orders[[#This Row],[OrderDate]], "YYYY-MM")</f>
        <v>2023-01</v>
      </c>
      <c r="E373" t="s">
        <v>2776</v>
      </c>
      <c r="F373" s="1">
        <v>44957</v>
      </c>
      <c r="G373" s="1">
        <v>44958</v>
      </c>
      <c r="H373" s="1">
        <v>44959</v>
      </c>
      <c r="I373">
        <v>1</v>
      </c>
      <c r="J373">
        <v>64999</v>
      </c>
      <c r="K373">
        <v>5</v>
      </c>
      <c r="L373">
        <v>3249.95</v>
      </c>
      <c r="M373">
        <v>61749.05</v>
      </c>
      <c r="N373">
        <v>16749.05</v>
      </c>
      <c r="O373" t="s">
        <v>2749</v>
      </c>
      <c r="P373" t="s">
        <v>2778</v>
      </c>
      <c r="Q373" t="s">
        <v>2794</v>
      </c>
      <c r="R373" t="s">
        <v>35</v>
      </c>
      <c r="S373">
        <v>2</v>
      </c>
      <c r="T373">
        <v>2023</v>
      </c>
      <c r="U373" t="s">
        <v>2795</v>
      </c>
      <c r="V373" t="s">
        <v>2753</v>
      </c>
      <c r="W373">
        <v>1</v>
      </c>
      <c r="X37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73" t="str">
        <f>IF(orders[[#This Row],[Revenue]]&gt;AVERAGE(orders[Revenue])+3*STDEV(orders[Revenue]),"High Outlier",
 IF(orders[[#This Row],[Revenue]]&lt;AVERAGE(orders[Revenue])-3*STDEV(orders[Revenue]),"Low Outlier",
 "Normal"))</f>
        <v>Normal</v>
      </c>
      <c r="Z373">
        <f ca="1" xml:space="preserve"> _xlfn.DAYS(TODAY(), orders[[#This Row],[OrderDate]])</f>
        <v>1185</v>
      </c>
      <c r="AA373"/>
    </row>
    <row r="374" spans="1:27">
      <c r="A374" t="s">
        <v>3157</v>
      </c>
      <c r="B374" t="s">
        <v>370</v>
      </c>
      <c r="C374" t="s">
        <v>3399</v>
      </c>
      <c r="D374" t="str">
        <f>TEXT(orders[[#This Row],[OrderDate]], "YYYY-MM")</f>
        <v>2023-03</v>
      </c>
      <c r="E374" t="s">
        <v>2755</v>
      </c>
      <c r="F374" s="1">
        <v>45014</v>
      </c>
      <c r="G374" s="1">
        <v>45018</v>
      </c>
      <c r="H374" s="1">
        <v>45020</v>
      </c>
      <c r="I374">
        <v>1</v>
      </c>
      <c r="J374">
        <v>3499</v>
      </c>
      <c r="K374">
        <v>5</v>
      </c>
      <c r="L374">
        <v>174.95</v>
      </c>
      <c r="M374">
        <v>3324.05</v>
      </c>
      <c r="N374">
        <v>1524.05</v>
      </c>
      <c r="O374" t="s">
        <v>2749</v>
      </c>
      <c r="P374" t="s">
        <v>2770</v>
      </c>
      <c r="Q374" t="s">
        <v>2758</v>
      </c>
      <c r="R374" t="s">
        <v>24</v>
      </c>
      <c r="S374">
        <v>2</v>
      </c>
      <c r="T374">
        <v>2023</v>
      </c>
      <c r="U374" t="s">
        <v>2752</v>
      </c>
      <c r="V374" t="s">
        <v>2753</v>
      </c>
      <c r="W374">
        <v>4</v>
      </c>
      <c r="X37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74" t="str">
        <f>IF(orders[[#This Row],[Revenue]]&gt;AVERAGE(orders[Revenue])+3*STDEV(orders[Revenue]),"High Outlier",
 IF(orders[[#This Row],[Revenue]]&lt;AVERAGE(orders[Revenue])-3*STDEV(orders[Revenue]),"Low Outlier",
 "Normal"))</f>
        <v>Normal</v>
      </c>
      <c r="Z374">
        <f ca="1" xml:space="preserve"> _xlfn.DAYS(TODAY(), orders[[#This Row],[OrderDate]])</f>
        <v>1128</v>
      </c>
      <c r="AA374"/>
    </row>
    <row r="375" spans="1:27">
      <c r="A375" t="s">
        <v>3158</v>
      </c>
      <c r="B375" t="s">
        <v>49</v>
      </c>
      <c r="C375" t="s">
        <v>3336</v>
      </c>
      <c r="D375" t="str">
        <f>TEXT(orders[[#This Row],[OrderDate]], "YYYY-MM")</f>
        <v>2022-08</v>
      </c>
      <c r="E375" t="s">
        <v>2769</v>
      </c>
      <c r="F375" s="1">
        <v>44789</v>
      </c>
      <c r="G375" s="1">
        <v>44794</v>
      </c>
      <c r="H375" s="1">
        <v>44797</v>
      </c>
      <c r="I375">
        <v>2</v>
      </c>
      <c r="J375">
        <v>26990</v>
      </c>
      <c r="K375">
        <v>20</v>
      </c>
      <c r="L375">
        <v>10796</v>
      </c>
      <c r="M375">
        <v>43184</v>
      </c>
      <c r="N375">
        <v>7184</v>
      </c>
      <c r="O375" t="s">
        <v>2749</v>
      </c>
      <c r="P375" t="s">
        <v>2782</v>
      </c>
      <c r="Q375" t="s">
        <v>2758</v>
      </c>
      <c r="R375" t="s">
        <v>46</v>
      </c>
      <c r="S375">
        <v>5</v>
      </c>
      <c r="T375">
        <v>2022</v>
      </c>
      <c r="U375" t="s">
        <v>2773</v>
      </c>
      <c r="V375" t="s">
        <v>2774</v>
      </c>
      <c r="W375">
        <v>5</v>
      </c>
      <c r="X37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75" t="str">
        <f>IF(orders[[#This Row],[Revenue]]&gt;AVERAGE(orders[Revenue])+3*STDEV(orders[Revenue]),"High Outlier",
 IF(orders[[#This Row],[Revenue]]&lt;AVERAGE(orders[Revenue])-3*STDEV(orders[Revenue]),"Low Outlier",
 "Normal"))</f>
        <v>Normal</v>
      </c>
      <c r="Z375">
        <f ca="1" xml:space="preserve"> _xlfn.DAYS(TODAY(), orders[[#This Row],[OrderDate]])</f>
        <v>1353</v>
      </c>
      <c r="AA375"/>
    </row>
    <row r="376" spans="1:27">
      <c r="A376" t="s">
        <v>3159</v>
      </c>
      <c r="B376" t="s">
        <v>1677</v>
      </c>
      <c r="C376" t="s">
        <v>3331</v>
      </c>
      <c r="D376" t="str">
        <f>TEXT(orders[[#This Row],[OrderDate]], "YYYY-MM")</f>
        <v>2022-09</v>
      </c>
      <c r="E376" t="s">
        <v>2809</v>
      </c>
      <c r="F376" s="1">
        <v>44824</v>
      </c>
      <c r="I376">
        <v>1</v>
      </c>
      <c r="J376">
        <v>38999</v>
      </c>
      <c r="K376">
        <v>0</v>
      </c>
      <c r="L376">
        <v>0</v>
      </c>
      <c r="M376">
        <v>38999</v>
      </c>
      <c r="N376">
        <v>11999</v>
      </c>
      <c r="O376" t="s">
        <v>2781</v>
      </c>
      <c r="P376" t="s">
        <v>2750</v>
      </c>
      <c r="Q376" t="s">
        <v>2758</v>
      </c>
      <c r="R376" t="s">
        <v>24</v>
      </c>
      <c r="T376">
        <v>2022</v>
      </c>
      <c r="U376" t="s">
        <v>2790</v>
      </c>
      <c r="V376" t="s">
        <v>2774</v>
      </c>
      <c r="X37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76" t="str">
        <f>IF(orders[[#This Row],[Revenue]]&gt;AVERAGE(orders[Revenue])+3*STDEV(orders[Revenue]),"High Outlier",
 IF(orders[[#This Row],[Revenue]]&lt;AVERAGE(orders[Revenue])-3*STDEV(orders[Revenue]),"Low Outlier",
 "Normal"))</f>
        <v>Normal</v>
      </c>
      <c r="Z376">
        <f ca="1" xml:space="preserve"> _xlfn.DAYS(TODAY(), orders[[#This Row],[OrderDate]])</f>
        <v>1318</v>
      </c>
      <c r="AA376"/>
    </row>
    <row r="377" spans="1:27">
      <c r="A377" t="s">
        <v>3160</v>
      </c>
      <c r="B377" t="s">
        <v>2420</v>
      </c>
      <c r="C377" t="s">
        <v>3340</v>
      </c>
      <c r="D377" t="str">
        <f>TEXT(orders[[#This Row],[OrderDate]], "YYYY-MM")</f>
        <v>2023-01</v>
      </c>
      <c r="E377" t="s">
        <v>2785</v>
      </c>
      <c r="F377" s="1">
        <v>44954</v>
      </c>
      <c r="I377">
        <v>1</v>
      </c>
      <c r="J377">
        <v>6999</v>
      </c>
      <c r="K377">
        <v>20</v>
      </c>
      <c r="L377">
        <v>1399.8</v>
      </c>
      <c r="M377">
        <v>5599.2</v>
      </c>
      <c r="N377">
        <v>1399.2</v>
      </c>
      <c r="O377" t="s">
        <v>2781</v>
      </c>
      <c r="P377" t="s">
        <v>2761</v>
      </c>
      <c r="Q377" t="s">
        <v>2794</v>
      </c>
      <c r="R377" t="s">
        <v>188</v>
      </c>
      <c r="T377">
        <v>2023</v>
      </c>
      <c r="U377" t="s">
        <v>2795</v>
      </c>
      <c r="V377" t="s">
        <v>2753</v>
      </c>
      <c r="X37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77" t="str">
        <f>IF(orders[[#This Row],[Revenue]]&gt;AVERAGE(orders[Revenue])+3*STDEV(orders[Revenue]),"High Outlier",
 IF(orders[[#This Row],[Revenue]]&lt;AVERAGE(orders[Revenue])-3*STDEV(orders[Revenue]),"Low Outlier",
 "Normal"))</f>
        <v>Normal</v>
      </c>
      <c r="Z377">
        <f ca="1" xml:space="preserve"> _xlfn.DAYS(TODAY(), orders[[#This Row],[OrderDate]])</f>
        <v>1188</v>
      </c>
      <c r="AA377"/>
    </row>
    <row r="378" spans="1:27">
      <c r="A378" t="s">
        <v>3161</v>
      </c>
      <c r="B378" t="s">
        <v>1976</v>
      </c>
      <c r="C378" t="s">
        <v>3390</v>
      </c>
      <c r="D378" t="str">
        <f>TEXT(orders[[#This Row],[OrderDate]], "YYYY-MM")</f>
        <v>2022-01</v>
      </c>
      <c r="E378" t="s">
        <v>2785</v>
      </c>
      <c r="F378" s="1">
        <v>44566</v>
      </c>
      <c r="G378" s="1">
        <v>44572</v>
      </c>
      <c r="H378" s="1">
        <v>44572</v>
      </c>
      <c r="I378">
        <v>3</v>
      </c>
      <c r="J378">
        <v>54999</v>
      </c>
      <c r="K378">
        <v>10</v>
      </c>
      <c r="L378">
        <v>16499.7</v>
      </c>
      <c r="M378">
        <v>148497.29999999999</v>
      </c>
      <c r="N378">
        <v>34497.300000000003</v>
      </c>
      <c r="O378" t="s">
        <v>2749</v>
      </c>
      <c r="P378" t="s">
        <v>2770</v>
      </c>
      <c r="Q378" t="s">
        <v>2794</v>
      </c>
      <c r="R378" t="s">
        <v>188</v>
      </c>
      <c r="S378">
        <v>1</v>
      </c>
      <c r="T378">
        <v>2022</v>
      </c>
      <c r="U378" t="s">
        <v>2795</v>
      </c>
      <c r="V378" t="s">
        <v>2753</v>
      </c>
      <c r="W378">
        <v>6</v>
      </c>
      <c r="X37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78" t="str">
        <f>IF(orders[[#This Row],[Revenue]]&gt;AVERAGE(orders[Revenue])+3*STDEV(orders[Revenue]),"High Outlier",
 IF(orders[[#This Row],[Revenue]]&lt;AVERAGE(orders[Revenue])-3*STDEV(orders[Revenue]),"Low Outlier",
 "Normal"))</f>
        <v>Normal</v>
      </c>
      <c r="Z378">
        <f ca="1" xml:space="preserve"> _xlfn.DAYS(TODAY(), orders[[#This Row],[OrderDate]])</f>
        <v>1576</v>
      </c>
      <c r="AA378"/>
    </row>
    <row r="379" spans="1:27">
      <c r="A379" t="s">
        <v>3162</v>
      </c>
      <c r="B379" t="s">
        <v>1976</v>
      </c>
      <c r="C379" t="s">
        <v>3384</v>
      </c>
      <c r="D379" t="str">
        <f>TEXT(orders[[#This Row],[OrderDate]], "YYYY-MM")</f>
        <v>2024-10</v>
      </c>
      <c r="E379" t="s">
        <v>2785</v>
      </c>
      <c r="F379" s="1">
        <v>45576</v>
      </c>
      <c r="G379" s="1">
        <v>45581</v>
      </c>
      <c r="H379" s="1">
        <v>45581</v>
      </c>
      <c r="I379">
        <v>2</v>
      </c>
      <c r="J379">
        <v>59900</v>
      </c>
      <c r="K379">
        <v>0</v>
      </c>
      <c r="L379">
        <v>0</v>
      </c>
      <c r="M379">
        <v>119800</v>
      </c>
      <c r="N379">
        <v>35800</v>
      </c>
      <c r="O379" t="s">
        <v>2749</v>
      </c>
      <c r="P379" t="s">
        <v>2750</v>
      </c>
      <c r="Q379" t="s">
        <v>2751</v>
      </c>
      <c r="R379" t="s">
        <v>188</v>
      </c>
      <c r="S379">
        <v>5</v>
      </c>
      <c r="T379">
        <v>2024</v>
      </c>
      <c r="U379" t="s">
        <v>2788</v>
      </c>
      <c r="V379" t="s">
        <v>2764</v>
      </c>
      <c r="W379">
        <v>5</v>
      </c>
      <c r="X37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79" t="str">
        <f>IF(orders[[#This Row],[Revenue]]&gt;AVERAGE(orders[Revenue])+3*STDEV(orders[Revenue]),"High Outlier",
 IF(orders[[#This Row],[Revenue]]&lt;AVERAGE(orders[Revenue])-3*STDEV(orders[Revenue]),"Low Outlier",
 "Normal"))</f>
        <v>Normal</v>
      </c>
      <c r="Z379">
        <f ca="1" xml:space="preserve"> _xlfn.DAYS(TODAY(), orders[[#This Row],[OrderDate]])</f>
        <v>566</v>
      </c>
      <c r="AA379"/>
    </row>
    <row r="380" spans="1:27">
      <c r="A380" t="s">
        <v>3163</v>
      </c>
      <c r="B380" t="s">
        <v>1377</v>
      </c>
      <c r="C380" t="s">
        <v>3356</v>
      </c>
      <c r="D380" t="str">
        <f>TEXT(orders[[#This Row],[OrderDate]], "YYYY-MM")</f>
        <v>2024-03</v>
      </c>
      <c r="E380" t="s">
        <v>2804</v>
      </c>
      <c r="F380" s="1">
        <v>45364</v>
      </c>
      <c r="G380" s="1">
        <v>45367</v>
      </c>
      <c r="H380" s="1">
        <v>45367</v>
      </c>
      <c r="I380">
        <v>5</v>
      </c>
      <c r="J380">
        <v>9999</v>
      </c>
      <c r="K380">
        <v>0</v>
      </c>
      <c r="L380">
        <v>0</v>
      </c>
      <c r="M380">
        <v>49995</v>
      </c>
      <c r="N380">
        <v>17495</v>
      </c>
      <c r="O380" t="s">
        <v>2749</v>
      </c>
      <c r="P380" t="s">
        <v>2778</v>
      </c>
      <c r="Q380" t="s">
        <v>2779</v>
      </c>
      <c r="R380" t="s">
        <v>46</v>
      </c>
      <c r="S380">
        <v>4</v>
      </c>
      <c r="T380">
        <v>2024</v>
      </c>
      <c r="U380" t="s">
        <v>2752</v>
      </c>
      <c r="V380" t="s">
        <v>2753</v>
      </c>
      <c r="W380">
        <v>3</v>
      </c>
      <c r="X38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80" t="str">
        <f>IF(orders[[#This Row],[Revenue]]&gt;AVERAGE(orders[Revenue])+3*STDEV(orders[Revenue]),"High Outlier",
 IF(orders[[#This Row],[Revenue]]&lt;AVERAGE(orders[Revenue])-3*STDEV(orders[Revenue]),"Low Outlier",
 "Normal"))</f>
        <v>Normal</v>
      </c>
      <c r="Z380">
        <f ca="1" xml:space="preserve"> _xlfn.DAYS(TODAY(), orders[[#This Row],[OrderDate]])</f>
        <v>778</v>
      </c>
      <c r="AA380"/>
    </row>
    <row r="381" spans="1:27">
      <c r="A381" t="s">
        <v>3164</v>
      </c>
      <c r="B381" t="s">
        <v>2679</v>
      </c>
      <c r="C381" t="s">
        <v>3314</v>
      </c>
      <c r="D381" t="str">
        <f>TEXT(orders[[#This Row],[OrderDate]], "YYYY-MM")</f>
        <v>2023-02</v>
      </c>
      <c r="E381" t="s">
        <v>2748</v>
      </c>
      <c r="F381" s="1">
        <v>44965</v>
      </c>
      <c r="G381" s="1">
        <v>44968</v>
      </c>
      <c r="H381" s="1">
        <v>44970</v>
      </c>
      <c r="I381">
        <v>1</v>
      </c>
      <c r="J381">
        <v>114900</v>
      </c>
      <c r="K381">
        <v>0</v>
      </c>
      <c r="L381">
        <v>0</v>
      </c>
      <c r="M381">
        <v>114900</v>
      </c>
      <c r="N381">
        <v>29900</v>
      </c>
      <c r="O381" t="s">
        <v>2749</v>
      </c>
      <c r="P381" t="s">
        <v>2757</v>
      </c>
      <c r="Q381" t="s">
        <v>2751</v>
      </c>
      <c r="R381" t="s">
        <v>188</v>
      </c>
      <c r="S381">
        <v>4</v>
      </c>
      <c r="T381">
        <v>2023</v>
      </c>
      <c r="U381" t="s">
        <v>2759</v>
      </c>
      <c r="V381" t="s">
        <v>2753</v>
      </c>
      <c r="W381">
        <v>3</v>
      </c>
      <c r="X38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81" t="str">
        <f>IF(orders[[#This Row],[Revenue]]&gt;AVERAGE(orders[Revenue])+3*STDEV(orders[Revenue]),"High Outlier",
 IF(orders[[#This Row],[Revenue]]&lt;AVERAGE(orders[Revenue])-3*STDEV(orders[Revenue]),"Low Outlier",
 "Normal"))</f>
        <v>Normal</v>
      </c>
      <c r="Z381">
        <f ca="1" xml:space="preserve"> _xlfn.DAYS(TODAY(), orders[[#This Row],[OrderDate]])</f>
        <v>1177</v>
      </c>
      <c r="AA381"/>
    </row>
    <row r="382" spans="1:27">
      <c r="A382" t="s">
        <v>3165</v>
      </c>
      <c r="B382" t="s">
        <v>2297</v>
      </c>
      <c r="C382" t="s">
        <v>3298</v>
      </c>
      <c r="D382" t="str">
        <f>TEXT(orders[[#This Row],[OrderDate]], "YYYY-MM")</f>
        <v>2023-05</v>
      </c>
      <c r="E382" t="s">
        <v>2776</v>
      </c>
      <c r="F382" s="1">
        <v>45074</v>
      </c>
      <c r="G382" s="1">
        <v>45075</v>
      </c>
      <c r="H382" s="1">
        <v>45078</v>
      </c>
      <c r="I382">
        <v>2</v>
      </c>
      <c r="J382">
        <v>79999</v>
      </c>
      <c r="K382">
        <v>10</v>
      </c>
      <c r="L382">
        <v>15999.8</v>
      </c>
      <c r="M382">
        <v>143998.20000000001</v>
      </c>
      <c r="N382">
        <v>33998.199999999997</v>
      </c>
      <c r="O382" t="s">
        <v>2749</v>
      </c>
      <c r="P382" t="s">
        <v>2757</v>
      </c>
      <c r="Q382" t="s">
        <v>2794</v>
      </c>
      <c r="R382" t="s">
        <v>35</v>
      </c>
      <c r="S382">
        <v>5</v>
      </c>
      <c r="T382">
        <v>2023</v>
      </c>
      <c r="U382" t="s">
        <v>2766</v>
      </c>
      <c r="V382" t="s">
        <v>2767</v>
      </c>
      <c r="W382">
        <v>1</v>
      </c>
      <c r="X38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82" t="str">
        <f>IF(orders[[#This Row],[Revenue]]&gt;AVERAGE(orders[Revenue])+3*STDEV(orders[Revenue]),"High Outlier",
 IF(orders[[#This Row],[Revenue]]&lt;AVERAGE(orders[Revenue])-3*STDEV(orders[Revenue]),"Low Outlier",
 "Normal"))</f>
        <v>Normal</v>
      </c>
      <c r="Z382">
        <f ca="1" xml:space="preserve"> _xlfn.DAYS(TODAY(), orders[[#This Row],[OrderDate]])</f>
        <v>1068</v>
      </c>
      <c r="AA382"/>
    </row>
    <row r="383" spans="1:27">
      <c r="A383" t="s">
        <v>3166</v>
      </c>
      <c r="B383" t="s">
        <v>2262</v>
      </c>
      <c r="C383" t="s">
        <v>3340</v>
      </c>
      <c r="D383" t="str">
        <f>TEXT(orders[[#This Row],[OrderDate]], "YYYY-MM")</f>
        <v>2024-06</v>
      </c>
      <c r="E383" t="s">
        <v>2748</v>
      </c>
      <c r="F383" s="1">
        <v>45460</v>
      </c>
      <c r="G383" s="1">
        <v>45466</v>
      </c>
      <c r="H383" s="1">
        <v>45469</v>
      </c>
      <c r="I383">
        <v>5</v>
      </c>
      <c r="J383">
        <v>6999</v>
      </c>
      <c r="K383">
        <v>0</v>
      </c>
      <c r="L383">
        <v>0</v>
      </c>
      <c r="M383">
        <v>34995</v>
      </c>
      <c r="N383">
        <v>13995</v>
      </c>
      <c r="O383" t="s">
        <v>2749</v>
      </c>
      <c r="P383" t="s">
        <v>2757</v>
      </c>
      <c r="Q383" t="s">
        <v>2762</v>
      </c>
      <c r="R383" t="s">
        <v>188</v>
      </c>
      <c r="S383">
        <v>1</v>
      </c>
      <c r="T383">
        <v>2024</v>
      </c>
      <c r="U383" t="s">
        <v>2771</v>
      </c>
      <c r="V383" t="s">
        <v>2767</v>
      </c>
      <c r="W383">
        <v>6</v>
      </c>
      <c r="X38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83" t="str">
        <f>IF(orders[[#This Row],[Revenue]]&gt;AVERAGE(orders[Revenue])+3*STDEV(orders[Revenue]),"High Outlier",
 IF(orders[[#This Row],[Revenue]]&lt;AVERAGE(orders[Revenue])-3*STDEV(orders[Revenue]),"Low Outlier",
 "Normal"))</f>
        <v>Normal</v>
      </c>
      <c r="Z383">
        <f ca="1" xml:space="preserve"> _xlfn.DAYS(TODAY(), orders[[#This Row],[OrderDate]])</f>
        <v>682</v>
      </c>
      <c r="AA383"/>
    </row>
    <row r="384" spans="1:27">
      <c r="A384" t="s">
        <v>3167</v>
      </c>
      <c r="B384" t="s">
        <v>1195</v>
      </c>
      <c r="C384" t="s">
        <v>3356</v>
      </c>
      <c r="D384" t="str">
        <f>TEXT(orders[[#This Row],[OrderDate]], "YYYY-MM")</f>
        <v>2022-09</v>
      </c>
      <c r="E384" t="s">
        <v>2809</v>
      </c>
      <c r="F384" s="1">
        <v>44823</v>
      </c>
      <c r="G384" s="1">
        <v>44830</v>
      </c>
      <c r="H384" s="1">
        <v>44833</v>
      </c>
      <c r="I384">
        <v>1</v>
      </c>
      <c r="J384">
        <v>9999</v>
      </c>
      <c r="K384">
        <v>5</v>
      </c>
      <c r="L384">
        <v>499.95</v>
      </c>
      <c r="M384">
        <v>9499.0499999999993</v>
      </c>
      <c r="N384">
        <v>2999.05</v>
      </c>
      <c r="O384" t="s">
        <v>2749</v>
      </c>
      <c r="P384" t="s">
        <v>2761</v>
      </c>
      <c r="Q384" t="s">
        <v>2751</v>
      </c>
      <c r="R384" t="s">
        <v>24</v>
      </c>
      <c r="S384">
        <v>1</v>
      </c>
      <c r="T384">
        <v>2022</v>
      </c>
      <c r="U384" t="s">
        <v>2790</v>
      </c>
      <c r="V384" t="s">
        <v>2774</v>
      </c>
      <c r="W384">
        <v>7</v>
      </c>
      <c r="X38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84" t="str">
        <f>IF(orders[[#This Row],[Revenue]]&gt;AVERAGE(orders[Revenue])+3*STDEV(orders[Revenue]),"High Outlier",
 IF(orders[[#This Row],[Revenue]]&lt;AVERAGE(orders[Revenue])-3*STDEV(orders[Revenue]),"Low Outlier",
 "Normal"))</f>
        <v>Normal</v>
      </c>
      <c r="Z384">
        <f ca="1" xml:space="preserve"> _xlfn.DAYS(TODAY(), orders[[#This Row],[OrderDate]])</f>
        <v>1319</v>
      </c>
      <c r="AA384"/>
    </row>
    <row r="385" spans="1:27">
      <c r="A385" t="s">
        <v>3168</v>
      </c>
      <c r="B385" t="s">
        <v>407</v>
      </c>
      <c r="C385" t="s">
        <v>3409</v>
      </c>
      <c r="D385" t="str">
        <f>TEXT(orders[[#This Row],[OrderDate]], "YYYY-MM")</f>
        <v>2022-04</v>
      </c>
      <c r="E385" t="s">
        <v>2776</v>
      </c>
      <c r="F385" s="1">
        <v>44668</v>
      </c>
      <c r="G385" s="1">
        <v>44675</v>
      </c>
      <c r="H385" s="1">
        <v>44678</v>
      </c>
      <c r="I385">
        <v>4</v>
      </c>
      <c r="J385">
        <v>7499</v>
      </c>
      <c r="K385">
        <v>0</v>
      </c>
      <c r="L385">
        <v>0</v>
      </c>
      <c r="M385">
        <v>29996</v>
      </c>
      <c r="N385">
        <v>10796</v>
      </c>
      <c r="O385" t="s">
        <v>2749</v>
      </c>
      <c r="P385" t="s">
        <v>2761</v>
      </c>
      <c r="Q385" t="s">
        <v>2751</v>
      </c>
      <c r="R385" t="s">
        <v>35</v>
      </c>
      <c r="S385">
        <v>2</v>
      </c>
      <c r="T385">
        <v>2022</v>
      </c>
      <c r="U385" t="s">
        <v>2783</v>
      </c>
      <c r="V385" t="s">
        <v>2767</v>
      </c>
      <c r="W385">
        <v>7</v>
      </c>
      <c r="X38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85" t="str">
        <f>IF(orders[[#This Row],[Revenue]]&gt;AVERAGE(orders[Revenue])+3*STDEV(orders[Revenue]),"High Outlier",
 IF(orders[[#This Row],[Revenue]]&lt;AVERAGE(orders[Revenue])-3*STDEV(orders[Revenue]),"Low Outlier",
 "Normal"))</f>
        <v>Normal</v>
      </c>
      <c r="Z385">
        <f ca="1" xml:space="preserve"> _xlfn.DAYS(TODAY(), orders[[#This Row],[OrderDate]])</f>
        <v>1474</v>
      </c>
      <c r="AA385"/>
    </row>
    <row r="386" spans="1:27">
      <c r="A386" t="s">
        <v>3169</v>
      </c>
      <c r="B386" t="s">
        <v>2439</v>
      </c>
      <c r="C386" t="s">
        <v>3399</v>
      </c>
      <c r="D386" t="str">
        <f>TEXT(orders[[#This Row],[OrderDate]], "YYYY-MM")</f>
        <v>2024-07</v>
      </c>
      <c r="E386" t="s">
        <v>2813</v>
      </c>
      <c r="F386" s="1">
        <v>45490</v>
      </c>
      <c r="G386" s="1">
        <v>45494</v>
      </c>
      <c r="H386" s="1">
        <v>45497</v>
      </c>
      <c r="I386">
        <v>5</v>
      </c>
      <c r="J386">
        <v>3499</v>
      </c>
      <c r="K386">
        <v>0</v>
      </c>
      <c r="L386">
        <v>0</v>
      </c>
      <c r="M386">
        <v>17495</v>
      </c>
      <c r="N386">
        <v>8495</v>
      </c>
      <c r="O386" t="s">
        <v>2749</v>
      </c>
      <c r="P386" t="s">
        <v>2750</v>
      </c>
      <c r="Q386" t="s">
        <v>2762</v>
      </c>
      <c r="R386" t="s">
        <v>76</v>
      </c>
      <c r="S386">
        <v>4</v>
      </c>
      <c r="T386">
        <v>2024</v>
      </c>
      <c r="U386" t="s">
        <v>2792</v>
      </c>
      <c r="V386" t="s">
        <v>2774</v>
      </c>
      <c r="W386">
        <v>4</v>
      </c>
      <c r="X38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86" t="str">
        <f>IF(orders[[#This Row],[Revenue]]&gt;AVERAGE(orders[Revenue])+3*STDEV(orders[Revenue]),"High Outlier",
 IF(orders[[#This Row],[Revenue]]&lt;AVERAGE(orders[Revenue])-3*STDEV(orders[Revenue]),"Low Outlier",
 "Normal"))</f>
        <v>Normal</v>
      </c>
      <c r="Z386">
        <f ca="1" xml:space="preserve"> _xlfn.DAYS(TODAY(), orders[[#This Row],[OrderDate]])</f>
        <v>652</v>
      </c>
      <c r="AA386"/>
    </row>
    <row r="387" spans="1:27">
      <c r="A387" t="s">
        <v>3170</v>
      </c>
      <c r="B387" t="s">
        <v>1553</v>
      </c>
      <c r="C387" t="s">
        <v>3356</v>
      </c>
      <c r="D387" t="str">
        <f>TEXT(orders[[#This Row],[OrderDate]], "YYYY-MM")</f>
        <v>2022-08</v>
      </c>
      <c r="E387" t="s">
        <v>2776</v>
      </c>
      <c r="F387" s="1">
        <v>44783</v>
      </c>
      <c r="G387" s="1">
        <v>44784</v>
      </c>
      <c r="H387" s="1">
        <v>44784</v>
      </c>
      <c r="I387">
        <v>5</v>
      </c>
      <c r="J387">
        <v>9999</v>
      </c>
      <c r="K387">
        <v>5</v>
      </c>
      <c r="L387">
        <v>2499.75</v>
      </c>
      <c r="M387">
        <v>47495.25</v>
      </c>
      <c r="N387">
        <v>14995.25</v>
      </c>
      <c r="O387" t="s">
        <v>2749</v>
      </c>
      <c r="P387" t="s">
        <v>2761</v>
      </c>
      <c r="Q387" t="s">
        <v>2779</v>
      </c>
      <c r="R387" t="s">
        <v>35</v>
      </c>
      <c r="S387">
        <v>5</v>
      </c>
      <c r="T387">
        <v>2022</v>
      </c>
      <c r="U387" t="s">
        <v>2773</v>
      </c>
      <c r="V387" t="s">
        <v>2774</v>
      </c>
      <c r="W387">
        <v>1</v>
      </c>
      <c r="X38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87" t="str">
        <f>IF(orders[[#This Row],[Revenue]]&gt;AVERAGE(orders[Revenue])+3*STDEV(orders[Revenue]),"High Outlier",
 IF(orders[[#This Row],[Revenue]]&lt;AVERAGE(orders[Revenue])-3*STDEV(orders[Revenue]),"Low Outlier",
 "Normal"))</f>
        <v>Normal</v>
      </c>
      <c r="Z387">
        <f ca="1" xml:space="preserve"> _xlfn.DAYS(TODAY(), orders[[#This Row],[OrderDate]])</f>
        <v>1359</v>
      </c>
      <c r="AA387"/>
    </row>
    <row r="388" spans="1:27">
      <c r="A388" t="s">
        <v>3171</v>
      </c>
      <c r="B388" t="s">
        <v>866</v>
      </c>
      <c r="C388" t="s">
        <v>3362</v>
      </c>
      <c r="D388" t="str">
        <f>TEXT(orders[[#This Row],[OrderDate]], "YYYY-MM")</f>
        <v>2024-09</v>
      </c>
      <c r="E388" t="s">
        <v>2785</v>
      </c>
      <c r="F388" s="1">
        <v>45547</v>
      </c>
      <c r="I388">
        <v>5</v>
      </c>
      <c r="J388">
        <v>41900</v>
      </c>
      <c r="K388">
        <v>15</v>
      </c>
      <c r="L388">
        <v>31425</v>
      </c>
      <c r="M388">
        <v>178075</v>
      </c>
      <c r="N388">
        <v>38075</v>
      </c>
      <c r="O388" t="s">
        <v>2781</v>
      </c>
      <c r="P388" t="s">
        <v>2782</v>
      </c>
      <c r="Q388" t="s">
        <v>2779</v>
      </c>
      <c r="R388" t="s">
        <v>188</v>
      </c>
      <c r="T388">
        <v>2024</v>
      </c>
      <c r="U388" t="s">
        <v>2790</v>
      </c>
      <c r="V388" t="s">
        <v>2774</v>
      </c>
      <c r="X38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88" t="str">
        <f>IF(orders[[#This Row],[Revenue]]&gt;AVERAGE(orders[Revenue])+3*STDEV(orders[Revenue]),"High Outlier",
 IF(orders[[#This Row],[Revenue]]&lt;AVERAGE(orders[Revenue])-3*STDEV(orders[Revenue]),"Low Outlier",
 "Normal"))</f>
        <v>Normal</v>
      </c>
      <c r="Z388">
        <f ca="1" xml:space="preserve"> _xlfn.DAYS(TODAY(), orders[[#This Row],[OrderDate]])</f>
        <v>595</v>
      </c>
      <c r="AA388"/>
    </row>
    <row r="389" spans="1:27">
      <c r="A389" t="s">
        <v>3172</v>
      </c>
      <c r="B389" t="s">
        <v>518</v>
      </c>
      <c r="C389" t="s">
        <v>3307</v>
      </c>
      <c r="D389" t="str">
        <f>TEXT(orders[[#This Row],[OrderDate]], "YYYY-MM")</f>
        <v>2022-09</v>
      </c>
      <c r="E389" t="s">
        <v>2804</v>
      </c>
      <c r="F389" s="1">
        <v>44823</v>
      </c>
      <c r="G389" s="1">
        <v>44828</v>
      </c>
      <c r="H389" s="1">
        <v>44831</v>
      </c>
      <c r="I389">
        <v>5</v>
      </c>
      <c r="J389">
        <v>69999</v>
      </c>
      <c r="K389">
        <v>10</v>
      </c>
      <c r="L389">
        <v>34999.5</v>
      </c>
      <c r="M389">
        <v>314995.5</v>
      </c>
      <c r="N389">
        <v>74995.5</v>
      </c>
      <c r="O389" t="s">
        <v>2749</v>
      </c>
      <c r="P389" t="s">
        <v>2750</v>
      </c>
      <c r="Q389" t="s">
        <v>2758</v>
      </c>
      <c r="R389" t="s">
        <v>46</v>
      </c>
      <c r="S389">
        <v>5</v>
      </c>
      <c r="T389">
        <v>2022</v>
      </c>
      <c r="U389" t="s">
        <v>2790</v>
      </c>
      <c r="V389" t="s">
        <v>2774</v>
      </c>
      <c r="W389">
        <v>5</v>
      </c>
      <c r="X38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89" t="str">
        <f>IF(orders[[#This Row],[Revenue]]&gt;AVERAGE(orders[Revenue])+3*STDEV(orders[Revenue]),"High Outlier",
 IF(orders[[#This Row],[Revenue]]&lt;AVERAGE(orders[Revenue])-3*STDEV(orders[Revenue]),"Low Outlier",
 "Normal"))</f>
        <v>Normal</v>
      </c>
      <c r="Z389">
        <f ca="1" xml:space="preserve"> _xlfn.DAYS(TODAY(), orders[[#This Row],[OrderDate]])</f>
        <v>1319</v>
      </c>
      <c r="AA389"/>
    </row>
    <row r="390" spans="1:27">
      <c r="A390" t="s">
        <v>3173</v>
      </c>
      <c r="B390" t="s">
        <v>2219</v>
      </c>
      <c r="C390" t="s">
        <v>3325</v>
      </c>
      <c r="D390" t="str">
        <f>TEXT(orders[[#This Row],[OrderDate]], "YYYY-MM")</f>
        <v>2024-08</v>
      </c>
      <c r="E390" t="s">
        <v>2809</v>
      </c>
      <c r="F390" s="1">
        <v>45523</v>
      </c>
      <c r="G390" s="1">
        <v>45528</v>
      </c>
      <c r="H390" s="1">
        <v>45530</v>
      </c>
      <c r="I390">
        <v>3</v>
      </c>
      <c r="J390">
        <v>49990</v>
      </c>
      <c r="K390">
        <v>10</v>
      </c>
      <c r="L390">
        <v>14997</v>
      </c>
      <c r="M390">
        <v>134973</v>
      </c>
      <c r="N390">
        <v>29973</v>
      </c>
      <c r="O390" t="s">
        <v>2749</v>
      </c>
      <c r="P390" t="s">
        <v>2757</v>
      </c>
      <c r="Q390" t="s">
        <v>2758</v>
      </c>
      <c r="R390" t="s">
        <v>24</v>
      </c>
      <c r="S390">
        <v>5</v>
      </c>
      <c r="T390">
        <v>2024</v>
      </c>
      <c r="U390" t="s">
        <v>2773</v>
      </c>
      <c r="V390" t="s">
        <v>2774</v>
      </c>
      <c r="W390">
        <v>5</v>
      </c>
      <c r="X39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90" t="str">
        <f>IF(orders[[#This Row],[Revenue]]&gt;AVERAGE(orders[Revenue])+3*STDEV(orders[Revenue]),"High Outlier",
 IF(orders[[#This Row],[Revenue]]&lt;AVERAGE(orders[Revenue])-3*STDEV(orders[Revenue]),"Low Outlier",
 "Normal"))</f>
        <v>Normal</v>
      </c>
      <c r="Z390">
        <f ca="1" xml:space="preserve"> _xlfn.DAYS(TODAY(), orders[[#This Row],[OrderDate]])</f>
        <v>619</v>
      </c>
      <c r="AA390"/>
    </row>
    <row r="391" spans="1:27">
      <c r="A391" t="s">
        <v>3174</v>
      </c>
      <c r="B391" t="s">
        <v>1916</v>
      </c>
      <c r="C391" t="s">
        <v>3409</v>
      </c>
      <c r="D391" t="str">
        <f>TEXT(orders[[#This Row],[OrderDate]], "YYYY-MM")</f>
        <v>2022-04</v>
      </c>
      <c r="E391" t="s">
        <v>2748</v>
      </c>
      <c r="F391" s="1">
        <v>44679</v>
      </c>
      <c r="G391" s="1">
        <v>44684</v>
      </c>
      <c r="H391" s="1">
        <v>44684</v>
      </c>
      <c r="I391">
        <v>4</v>
      </c>
      <c r="J391">
        <v>7499</v>
      </c>
      <c r="K391">
        <v>10</v>
      </c>
      <c r="L391">
        <v>2999.6</v>
      </c>
      <c r="M391">
        <v>26996.400000000001</v>
      </c>
      <c r="N391">
        <v>7796.4</v>
      </c>
      <c r="O391" t="s">
        <v>2749</v>
      </c>
      <c r="P391" t="s">
        <v>2782</v>
      </c>
      <c r="Q391" t="s">
        <v>2779</v>
      </c>
      <c r="R391" t="s">
        <v>188</v>
      </c>
      <c r="S391">
        <v>2</v>
      </c>
      <c r="T391">
        <v>2022</v>
      </c>
      <c r="U391" t="s">
        <v>2783</v>
      </c>
      <c r="V391" t="s">
        <v>2767</v>
      </c>
      <c r="W391">
        <v>5</v>
      </c>
      <c r="X39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91" t="str">
        <f>IF(orders[[#This Row],[Revenue]]&gt;AVERAGE(orders[Revenue])+3*STDEV(orders[Revenue]),"High Outlier",
 IF(orders[[#This Row],[Revenue]]&lt;AVERAGE(orders[Revenue])-3*STDEV(orders[Revenue]),"Low Outlier",
 "Normal"))</f>
        <v>Normal</v>
      </c>
      <c r="Z391">
        <f ca="1" xml:space="preserve"> _xlfn.DAYS(TODAY(), orders[[#This Row],[OrderDate]])</f>
        <v>1463</v>
      </c>
      <c r="AA391"/>
    </row>
    <row r="392" spans="1:27">
      <c r="A392" t="s">
        <v>3175</v>
      </c>
      <c r="B392" t="s">
        <v>2243</v>
      </c>
      <c r="C392" t="s">
        <v>3314</v>
      </c>
      <c r="D392" t="str">
        <f>TEXT(orders[[#This Row],[OrderDate]], "YYYY-MM")</f>
        <v>2023-01</v>
      </c>
      <c r="E392" t="s">
        <v>2785</v>
      </c>
      <c r="F392" s="1">
        <v>44949</v>
      </c>
      <c r="I392">
        <v>4</v>
      </c>
      <c r="J392">
        <v>114900</v>
      </c>
      <c r="K392">
        <v>15</v>
      </c>
      <c r="L392">
        <v>68940</v>
      </c>
      <c r="M392">
        <v>390660</v>
      </c>
      <c r="N392">
        <v>50660</v>
      </c>
      <c r="O392" t="s">
        <v>2781</v>
      </c>
      <c r="P392" t="s">
        <v>2761</v>
      </c>
      <c r="Q392" t="s">
        <v>2794</v>
      </c>
      <c r="R392" t="s">
        <v>188</v>
      </c>
      <c r="T392">
        <v>2023</v>
      </c>
      <c r="U392" t="s">
        <v>2795</v>
      </c>
      <c r="V392" t="s">
        <v>2753</v>
      </c>
      <c r="X39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92" t="str">
        <f>IF(orders[[#This Row],[Revenue]]&gt;AVERAGE(orders[Revenue])+3*STDEV(orders[Revenue]),"High Outlier",
 IF(orders[[#This Row],[Revenue]]&lt;AVERAGE(orders[Revenue])-3*STDEV(orders[Revenue]),"Low Outlier",
 "Normal"))</f>
        <v>High Outlier</v>
      </c>
      <c r="Z392">
        <f ca="1" xml:space="preserve"> _xlfn.DAYS(TODAY(), orders[[#This Row],[OrderDate]])</f>
        <v>1193</v>
      </c>
      <c r="AA392"/>
    </row>
    <row r="393" spans="1:27">
      <c r="A393" t="s">
        <v>3176</v>
      </c>
      <c r="B393" t="s">
        <v>2410</v>
      </c>
      <c r="C393" t="s">
        <v>3394</v>
      </c>
      <c r="D393" t="str">
        <f>TEXT(orders[[#This Row],[OrderDate]], "YYYY-MM")</f>
        <v>2023-09</v>
      </c>
      <c r="E393" t="s">
        <v>2776</v>
      </c>
      <c r="F393" s="1">
        <v>45175</v>
      </c>
      <c r="G393" s="1">
        <v>45178</v>
      </c>
      <c r="H393" s="1">
        <v>45179</v>
      </c>
      <c r="I393">
        <v>1</v>
      </c>
      <c r="J393">
        <v>2499</v>
      </c>
      <c r="K393">
        <v>15</v>
      </c>
      <c r="L393">
        <v>374.85</v>
      </c>
      <c r="M393">
        <v>2124.15</v>
      </c>
      <c r="N393">
        <v>924.15</v>
      </c>
      <c r="O393" t="s">
        <v>2749</v>
      </c>
      <c r="P393" t="s">
        <v>2757</v>
      </c>
      <c r="Q393" t="s">
        <v>2751</v>
      </c>
      <c r="R393" t="s">
        <v>35</v>
      </c>
      <c r="S393">
        <v>2</v>
      </c>
      <c r="T393">
        <v>2023</v>
      </c>
      <c r="U393" t="s">
        <v>2790</v>
      </c>
      <c r="V393" t="s">
        <v>2774</v>
      </c>
      <c r="W393">
        <v>3</v>
      </c>
      <c r="X39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93" t="str">
        <f>IF(orders[[#This Row],[Revenue]]&gt;AVERAGE(orders[Revenue])+3*STDEV(orders[Revenue]),"High Outlier",
 IF(orders[[#This Row],[Revenue]]&lt;AVERAGE(orders[Revenue])-3*STDEV(orders[Revenue]),"Low Outlier",
 "Normal"))</f>
        <v>Normal</v>
      </c>
      <c r="Z393">
        <f ca="1" xml:space="preserve"> _xlfn.DAYS(TODAY(), orders[[#This Row],[OrderDate]])</f>
        <v>967</v>
      </c>
      <c r="AA393"/>
    </row>
    <row r="394" spans="1:27">
      <c r="A394" t="s">
        <v>3177</v>
      </c>
      <c r="B394" t="s">
        <v>2584</v>
      </c>
      <c r="C394" t="s">
        <v>3298</v>
      </c>
      <c r="D394" t="str">
        <f>TEXT(orders[[#This Row],[OrderDate]], "YYYY-MM")</f>
        <v>2023-04</v>
      </c>
      <c r="E394" t="s">
        <v>2804</v>
      </c>
      <c r="F394" s="1">
        <v>45033</v>
      </c>
      <c r="G394" s="1">
        <v>45038</v>
      </c>
      <c r="H394" s="1">
        <v>45039</v>
      </c>
      <c r="I394">
        <v>2</v>
      </c>
      <c r="J394">
        <v>79999</v>
      </c>
      <c r="K394">
        <v>15</v>
      </c>
      <c r="L394">
        <v>23999.7</v>
      </c>
      <c r="M394">
        <v>135998.29999999999</v>
      </c>
      <c r="N394">
        <v>25998.3</v>
      </c>
      <c r="O394" t="s">
        <v>2749</v>
      </c>
      <c r="P394" t="s">
        <v>2778</v>
      </c>
      <c r="Q394" t="s">
        <v>2794</v>
      </c>
      <c r="R394" t="s">
        <v>46</v>
      </c>
      <c r="S394">
        <v>4</v>
      </c>
      <c r="T394">
        <v>2023</v>
      </c>
      <c r="U394" t="s">
        <v>2783</v>
      </c>
      <c r="V394" t="s">
        <v>2767</v>
      </c>
      <c r="W394">
        <v>5</v>
      </c>
      <c r="X39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94" t="str">
        <f>IF(orders[[#This Row],[Revenue]]&gt;AVERAGE(orders[Revenue])+3*STDEV(orders[Revenue]),"High Outlier",
 IF(orders[[#This Row],[Revenue]]&lt;AVERAGE(orders[Revenue])-3*STDEV(orders[Revenue]),"Low Outlier",
 "Normal"))</f>
        <v>Normal</v>
      </c>
      <c r="Z394">
        <f ca="1" xml:space="preserve"> _xlfn.DAYS(TODAY(), orders[[#This Row],[OrderDate]])</f>
        <v>1109</v>
      </c>
      <c r="AA394"/>
    </row>
    <row r="395" spans="1:27">
      <c r="A395" t="s">
        <v>3178</v>
      </c>
      <c r="B395" t="s">
        <v>722</v>
      </c>
      <c r="C395" t="s">
        <v>3366</v>
      </c>
      <c r="D395" t="str">
        <f>TEXT(orders[[#This Row],[OrderDate]], "YYYY-MM")</f>
        <v>2022-01</v>
      </c>
      <c r="E395" t="s">
        <v>2804</v>
      </c>
      <c r="F395" s="1">
        <v>44575</v>
      </c>
      <c r="G395" s="1">
        <v>44576</v>
      </c>
      <c r="H395" s="1">
        <v>44576</v>
      </c>
      <c r="I395">
        <v>3</v>
      </c>
      <c r="J395">
        <v>19999</v>
      </c>
      <c r="K395">
        <v>0</v>
      </c>
      <c r="L395">
        <v>0</v>
      </c>
      <c r="M395">
        <v>59997</v>
      </c>
      <c r="N395">
        <v>20997</v>
      </c>
      <c r="O395" t="s">
        <v>2749</v>
      </c>
      <c r="P395" t="s">
        <v>2761</v>
      </c>
      <c r="Q395" t="s">
        <v>2762</v>
      </c>
      <c r="R395" t="s">
        <v>46</v>
      </c>
      <c r="S395">
        <v>2</v>
      </c>
      <c r="T395">
        <v>2022</v>
      </c>
      <c r="U395" t="s">
        <v>2795</v>
      </c>
      <c r="V395" t="s">
        <v>2753</v>
      </c>
      <c r="W395">
        <v>1</v>
      </c>
      <c r="X39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95" t="str">
        <f>IF(orders[[#This Row],[Revenue]]&gt;AVERAGE(orders[Revenue])+3*STDEV(orders[Revenue]),"High Outlier",
 IF(orders[[#This Row],[Revenue]]&lt;AVERAGE(orders[Revenue])-3*STDEV(orders[Revenue]),"Low Outlier",
 "Normal"))</f>
        <v>Normal</v>
      </c>
      <c r="Z395">
        <f ca="1" xml:space="preserve"> _xlfn.DAYS(TODAY(), orders[[#This Row],[OrderDate]])</f>
        <v>1567</v>
      </c>
      <c r="AA395"/>
    </row>
    <row r="396" spans="1:27">
      <c r="A396" t="s">
        <v>3179</v>
      </c>
      <c r="B396" t="s">
        <v>961</v>
      </c>
      <c r="C396" t="s">
        <v>3374</v>
      </c>
      <c r="D396" t="str">
        <f>TEXT(orders[[#This Row],[OrderDate]], "YYYY-MM")</f>
        <v>2024-01</v>
      </c>
      <c r="E396" t="s">
        <v>2804</v>
      </c>
      <c r="F396" s="1">
        <v>45299</v>
      </c>
      <c r="G396" s="1">
        <v>45300</v>
      </c>
      <c r="H396" s="1">
        <v>45301</v>
      </c>
      <c r="I396">
        <v>2</v>
      </c>
      <c r="J396">
        <v>64999</v>
      </c>
      <c r="K396">
        <v>5</v>
      </c>
      <c r="L396">
        <v>6499.9</v>
      </c>
      <c r="M396">
        <v>123498.1</v>
      </c>
      <c r="N396">
        <v>33498.1</v>
      </c>
      <c r="O396" t="s">
        <v>2749</v>
      </c>
      <c r="P396" t="s">
        <v>2782</v>
      </c>
      <c r="Q396" t="s">
        <v>2779</v>
      </c>
      <c r="R396" t="s">
        <v>46</v>
      </c>
      <c r="S396">
        <v>3</v>
      </c>
      <c r="T396">
        <v>2024</v>
      </c>
      <c r="U396" t="s">
        <v>2795</v>
      </c>
      <c r="V396" t="s">
        <v>2753</v>
      </c>
      <c r="W396">
        <v>1</v>
      </c>
      <c r="X39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96" t="str">
        <f>IF(orders[[#This Row],[Revenue]]&gt;AVERAGE(orders[Revenue])+3*STDEV(orders[Revenue]),"High Outlier",
 IF(orders[[#This Row],[Revenue]]&lt;AVERAGE(orders[Revenue])-3*STDEV(orders[Revenue]),"Low Outlier",
 "Normal"))</f>
        <v>Normal</v>
      </c>
      <c r="Z396">
        <f ca="1" xml:space="preserve"> _xlfn.DAYS(TODAY(), orders[[#This Row],[OrderDate]])</f>
        <v>843</v>
      </c>
      <c r="AA396"/>
    </row>
    <row r="397" spans="1:27">
      <c r="A397" t="s">
        <v>3180</v>
      </c>
      <c r="B397" t="s">
        <v>2074</v>
      </c>
      <c r="C397" t="s">
        <v>3331</v>
      </c>
      <c r="D397" t="str">
        <f>TEXT(orders[[#This Row],[OrderDate]], "YYYY-MM")</f>
        <v>2023-05</v>
      </c>
      <c r="E397" t="s">
        <v>2755</v>
      </c>
      <c r="F397" s="1">
        <v>45065</v>
      </c>
      <c r="G397" s="1">
        <v>45067</v>
      </c>
      <c r="H397" s="1">
        <v>45067</v>
      </c>
      <c r="I397">
        <v>2</v>
      </c>
      <c r="J397">
        <v>38999</v>
      </c>
      <c r="K397">
        <v>5</v>
      </c>
      <c r="L397">
        <v>3899.9</v>
      </c>
      <c r="M397">
        <v>74098.100000000006</v>
      </c>
      <c r="N397">
        <v>20098.099999999999</v>
      </c>
      <c r="O397" t="s">
        <v>2749</v>
      </c>
      <c r="P397" t="s">
        <v>2757</v>
      </c>
      <c r="Q397" t="s">
        <v>2762</v>
      </c>
      <c r="R397" t="s">
        <v>24</v>
      </c>
      <c r="S397">
        <v>2</v>
      </c>
      <c r="T397">
        <v>2023</v>
      </c>
      <c r="U397" t="s">
        <v>2766</v>
      </c>
      <c r="V397" t="s">
        <v>2767</v>
      </c>
      <c r="W397">
        <v>2</v>
      </c>
      <c r="X39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97" t="str">
        <f>IF(orders[[#This Row],[Revenue]]&gt;AVERAGE(orders[Revenue])+3*STDEV(orders[Revenue]),"High Outlier",
 IF(orders[[#This Row],[Revenue]]&lt;AVERAGE(orders[Revenue])-3*STDEV(orders[Revenue]),"Low Outlier",
 "Normal"))</f>
        <v>Normal</v>
      </c>
      <c r="Z397">
        <f ca="1" xml:space="preserve"> _xlfn.DAYS(TODAY(), orders[[#This Row],[OrderDate]])</f>
        <v>1077</v>
      </c>
      <c r="AA397"/>
    </row>
    <row r="398" spans="1:27">
      <c r="A398" t="s">
        <v>3181</v>
      </c>
      <c r="B398" t="s">
        <v>1199</v>
      </c>
      <c r="C398" t="s">
        <v>3405</v>
      </c>
      <c r="D398" t="str">
        <f>TEXT(orders[[#This Row],[OrderDate]], "YYYY-MM")</f>
        <v>2023-11</v>
      </c>
      <c r="E398" t="s">
        <v>2809</v>
      </c>
      <c r="F398" s="1">
        <v>45255</v>
      </c>
      <c r="G398" s="1">
        <v>45258</v>
      </c>
      <c r="H398" s="1">
        <v>45261</v>
      </c>
      <c r="I398">
        <v>2</v>
      </c>
      <c r="J398">
        <v>8495</v>
      </c>
      <c r="K398">
        <v>10</v>
      </c>
      <c r="L398">
        <v>1699</v>
      </c>
      <c r="M398">
        <v>15291</v>
      </c>
      <c r="N398">
        <v>4291</v>
      </c>
      <c r="O398" t="s">
        <v>2749</v>
      </c>
      <c r="P398" t="s">
        <v>2750</v>
      </c>
      <c r="Q398" t="s">
        <v>2779</v>
      </c>
      <c r="R398" t="s">
        <v>24</v>
      </c>
      <c r="S398">
        <v>5</v>
      </c>
      <c r="T398">
        <v>2023</v>
      </c>
      <c r="U398" t="s">
        <v>2786</v>
      </c>
      <c r="V398" t="s">
        <v>2764</v>
      </c>
      <c r="W398">
        <v>3</v>
      </c>
      <c r="X39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98" t="str">
        <f>IF(orders[[#This Row],[Revenue]]&gt;AVERAGE(orders[Revenue])+3*STDEV(orders[Revenue]),"High Outlier",
 IF(orders[[#This Row],[Revenue]]&lt;AVERAGE(orders[Revenue])-3*STDEV(orders[Revenue]),"Low Outlier",
 "Normal"))</f>
        <v>Normal</v>
      </c>
      <c r="Z398">
        <f ca="1" xml:space="preserve"> _xlfn.DAYS(TODAY(), orders[[#This Row],[OrderDate]])</f>
        <v>887</v>
      </c>
      <c r="AA398"/>
    </row>
    <row r="399" spans="1:27">
      <c r="A399" t="s">
        <v>3182</v>
      </c>
      <c r="B399" t="s">
        <v>2277</v>
      </c>
      <c r="C399" t="s">
        <v>3399</v>
      </c>
      <c r="D399" t="str">
        <f>TEXT(orders[[#This Row],[OrderDate]], "YYYY-MM")</f>
        <v>2022-05</v>
      </c>
      <c r="E399" t="s">
        <v>2755</v>
      </c>
      <c r="F399" s="1">
        <v>44695</v>
      </c>
      <c r="G399" s="1">
        <v>44697</v>
      </c>
      <c r="H399" s="1">
        <v>44698</v>
      </c>
      <c r="I399">
        <v>2</v>
      </c>
      <c r="J399">
        <v>3499</v>
      </c>
      <c r="K399">
        <v>5</v>
      </c>
      <c r="L399">
        <v>349.9</v>
      </c>
      <c r="M399">
        <v>6648.1</v>
      </c>
      <c r="N399">
        <v>3048.1</v>
      </c>
      <c r="O399" t="s">
        <v>2749</v>
      </c>
      <c r="P399" t="s">
        <v>2761</v>
      </c>
      <c r="Q399" t="s">
        <v>2751</v>
      </c>
      <c r="R399" t="s">
        <v>24</v>
      </c>
      <c r="S399">
        <v>3</v>
      </c>
      <c r="T399">
        <v>2022</v>
      </c>
      <c r="U399" t="s">
        <v>2766</v>
      </c>
      <c r="V399" t="s">
        <v>2767</v>
      </c>
      <c r="W399">
        <v>2</v>
      </c>
      <c r="X39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399" t="str">
        <f>IF(orders[[#This Row],[Revenue]]&gt;AVERAGE(orders[Revenue])+3*STDEV(orders[Revenue]),"High Outlier",
 IF(orders[[#This Row],[Revenue]]&lt;AVERAGE(orders[Revenue])-3*STDEV(orders[Revenue]),"Low Outlier",
 "Normal"))</f>
        <v>Normal</v>
      </c>
      <c r="Z399">
        <f ca="1" xml:space="preserve"> _xlfn.DAYS(TODAY(), orders[[#This Row],[OrderDate]])</f>
        <v>1447</v>
      </c>
      <c r="AA399"/>
    </row>
    <row r="400" spans="1:27">
      <c r="A400" t="s">
        <v>3183</v>
      </c>
      <c r="B400" t="s">
        <v>1036</v>
      </c>
      <c r="C400" t="s">
        <v>3399</v>
      </c>
      <c r="D400" t="str">
        <f>TEXT(orders[[#This Row],[OrderDate]], "YYYY-MM")</f>
        <v>2023-05</v>
      </c>
      <c r="E400" t="s">
        <v>2813</v>
      </c>
      <c r="F400" s="1">
        <v>45062</v>
      </c>
      <c r="G400" s="1">
        <v>45069</v>
      </c>
      <c r="H400" s="1">
        <v>45070</v>
      </c>
      <c r="I400">
        <v>5</v>
      </c>
      <c r="J400">
        <v>3499</v>
      </c>
      <c r="K400">
        <v>5</v>
      </c>
      <c r="L400">
        <v>874.75</v>
      </c>
      <c r="M400">
        <v>16620.25</v>
      </c>
      <c r="N400">
        <v>7620.25</v>
      </c>
      <c r="O400" t="s">
        <v>2749</v>
      </c>
      <c r="P400" t="s">
        <v>2782</v>
      </c>
      <c r="Q400" t="s">
        <v>2794</v>
      </c>
      <c r="R400" t="s">
        <v>76</v>
      </c>
      <c r="S400">
        <v>2</v>
      </c>
      <c r="T400">
        <v>2023</v>
      </c>
      <c r="U400" t="s">
        <v>2766</v>
      </c>
      <c r="V400" t="s">
        <v>2767</v>
      </c>
      <c r="W400">
        <v>7</v>
      </c>
      <c r="X40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00" t="str">
        <f>IF(orders[[#This Row],[Revenue]]&gt;AVERAGE(orders[Revenue])+3*STDEV(orders[Revenue]),"High Outlier",
 IF(orders[[#This Row],[Revenue]]&lt;AVERAGE(orders[Revenue])-3*STDEV(orders[Revenue]),"Low Outlier",
 "Normal"))</f>
        <v>Normal</v>
      </c>
      <c r="Z400">
        <f ca="1" xml:space="preserve"> _xlfn.DAYS(TODAY(), orders[[#This Row],[OrderDate]])</f>
        <v>1080</v>
      </c>
      <c r="AA400"/>
    </row>
    <row r="401" spans="1:27">
      <c r="A401" t="s">
        <v>3184</v>
      </c>
      <c r="B401" t="s">
        <v>236</v>
      </c>
      <c r="C401" t="s">
        <v>3405</v>
      </c>
      <c r="D401" t="str">
        <f>TEXT(orders[[#This Row],[OrderDate]], "YYYY-MM")</f>
        <v>2022-09</v>
      </c>
      <c r="E401" t="s">
        <v>2785</v>
      </c>
      <c r="F401" s="1">
        <v>44820</v>
      </c>
      <c r="I401">
        <v>5</v>
      </c>
      <c r="J401">
        <v>8495</v>
      </c>
      <c r="K401">
        <v>15</v>
      </c>
      <c r="L401">
        <v>6371.25</v>
      </c>
      <c r="M401">
        <v>36103.75</v>
      </c>
      <c r="N401">
        <v>8603.75</v>
      </c>
      <c r="O401" t="s">
        <v>2756</v>
      </c>
      <c r="P401" t="s">
        <v>2782</v>
      </c>
      <c r="Q401" t="s">
        <v>2762</v>
      </c>
      <c r="R401" t="s">
        <v>188</v>
      </c>
      <c r="T401">
        <v>2022</v>
      </c>
      <c r="U401" t="s">
        <v>2790</v>
      </c>
      <c r="V401" t="s">
        <v>2774</v>
      </c>
      <c r="X40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01" t="str">
        <f>IF(orders[[#This Row],[Revenue]]&gt;AVERAGE(orders[Revenue])+3*STDEV(orders[Revenue]),"High Outlier",
 IF(orders[[#This Row],[Revenue]]&lt;AVERAGE(orders[Revenue])-3*STDEV(orders[Revenue]),"Low Outlier",
 "Normal"))</f>
        <v>Normal</v>
      </c>
      <c r="Z401">
        <f ca="1" xml:space="preserve"> _xlfn.DAYS(TODAY(), orders[[#This Row],[OrderDate]])</f>
        <v>1322</v>
      </c>
      <c r="AA401"/>
    </row>
    <row r="402" spans="1:27">
      <c r="A402" t="s">
        <v>3185</v>
      </c>
      <c r="B402" t="s">
        <v>2238</v>
      </c>
      <c r="C402" t="s">
        <v>3379</v>
      </c>
      <c r="D402" t="str">
        <f>TEXT(orders[[#This Row],[OrderDate]], "YYYY-MM")</f>
        <v>2022-12</v>
      </c>
      <c r="E402" t="s">
        <v>2809</v>
      </c>
      <c r="F402" s="1">
        <v>44904</v>
      </c>
      <c r="I402">
        <v>4</v>
      </c>
      <c r="J402">
        <v>29999</v>
      </c>
      <c r="K402">
        <v>20</v>
      </c>
      <c r="L402">
        <v>23999.200000000001</v>
      </c>
      <c r="M402">
        <v>95996.800000000003</v>
      </c>
      <c r="N402">
        <v>15996.8</v>
      </c>
      <c r="O402" t="s">
        <v>2756</v>
      </c>
      <c r="P402" t="s">
        <v>2750</v>
      </c>
      <c r="Q402" t="s">
        <v>2751</v>
      </c>
      <c r="R402" t="s">
        <v>24</v>
      </c>
      <c r="T402">
        <v>2022</v>
      </c>
      <c r="U402" t="s">
        <v>2763</v>
      </c>
      <c r="V402" t="s">
        <v>2764</v>
      </c>
      <c r="X40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02" t="str">
        <f>IF(orders[[#This Row],[Revenue]]&gt;AVERAGE(orders[Revenue])+3*STDEV(orders[Revenue]),"High Outlier",
 IF(orders[[#This Row],[Revenue]]&lt;AVERAGE(orders[Revenue])-3*STDEV(orders[Revenue]),"Low Outlier",
 "Normal"))</f>
        <v>Normal</v>
      </c>
      <c r="Z402">
        <f ca="1" xml:space="preserve"> _xlfn.DAYS(TODAY(), orders[[#This Row],[OrderDate]])</f>
        <v>1238</v>
      </c>
      <c r="AA402"/>
    </row>
    <row r="403" spans="1:27">
      <c r="A403" t="s">
        <v>3186</v>
      </c>
      <c r="B403" t="s">
        <v>1558</v>
      </c>
      <c r="C403" t="s">
        <v>3374</v>
      </c>
      <c r="D403" t="str">
        <f>TEXT(orders[[#This Row],[OrderDate]], "YYYY-MM")</f>
        <v>2023-10</v>
      </c>
      <c r="E403" t="s">
        <v>2813</v>
      </c>
      <c r="F403" s="1">
        <v>45221</v>
      </c>
      <c r="I403">
        <v>3</v>
      </c>
      <c r="J403">
        <v>64999</v>
      </c>
      <c r="K403">
        <v>20</v>
      </c>
      <c r="L403">
        <v>38999.4</v>
      </c>
      <c r="M403">
        <v>155997.6</v>
      </c>
      <c r="N403">
        <v>20997.599999999999</v>
      </c>
      <c r="O403" t="s">
        <v>2781</v>
      </c>
      <c r="P403" t="s">
        <v>2778</v>
      </c>
      <c r="Q403" t="s">
        <v>2751</v>
      </c>
      <c r="R403" t="s">
        <v>76</v>
      </c>
      <c r="T403">
        <v>2023</v>
      </c>
      <c r="U403" t="s">
        <v>2788</v>
      </c>
      <c r="V403" t="s">
        <v>2764</v>
      </c>
      <c r="X40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03" t="str">
        <f>IF(orders[[#This Row],[Revenue]]&gt;AVERAGE(orders[Revenue])+3*STDEV(orders[Revenue]),"High Outlier",
 IF(orders[[#This Row],[Revenue]]&lt;AVERAGE(orders[Revenue])-3*STDEV(orders[Revenue]),"Low Outlier",
 "Normal"))</f>
        <v>Normal</v>
      </c>
      <c r="Z403">
        <f ca="1" xml:space="preserve"> _xlfn.DAYS(TODAY(), orders[[#This Row],[OrderDate]])</f>
        <v>921</v>
      </c>
      <c r="AA403"/>
    </row>
    <row r="404" spans="1:27">
      <c r="A404" t="s">
        <v>3187</v>
      </c>
      <c r="B404" t="s">
        <v>2064</v>
      </c>
      <c r="C404" t="s">
        <v>3379</v>
      </c>
      <c r="D404" t="str">
        <f>TEXT(orders[[#This Row],[OrderDate]], "YYYY-MM")</f>
        <v>2023-07</v>
      </c>
      <c r="E404" t="s">
        <v>2776</v>
      </c>
      <c r="F404" s="1">
        <v>45111</v>
      </c>
      <c r="I404">
        <v>4</v>
      </c>
      <c r="J404">
        <v>29999</v>
      </c>
      <c r="K404">
        <v>0</v>
      </c>
      <c r="L404">
        <v>0</v>
      </c>
      <c r="M404">
        <v>119996</v>
      </c>
      <c r="N404">
        <v>39996</v>
      </c>
      <c r="O404" t="s">
        <v>2756</v>
      </c>
      <c r="P404" t="s">
        <v>2782</v>
      </c>
      <c r="Q404" t="s">
        <v>2779</v>
      </c>
      <c r="R404" t="s">
        <v>35</v>
      </c>
      <c r="T404">
        <v>2023</v>
      </c>
      <c r="U404" t="s">
        <v>2792</v>
      </c>
      <c r="V404" t="s">
        <v>2774</v>
      </c>
      <c r="X40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04" t="str">
        <f>IF(orders[[#This Row],[Revenue]]&gt;AVERAGE(orders[Revenue])+3*STDEV(orders[Revenue]),"High Outlier",
 IF(orders[[#This Row],[Revenue]]&lt;AVERAGE(orders[Revenue])-3*STDEV(orders[Revenue]),"Low Outlier",
 "Normal"))</f>
        <v>Normal</v>
      </c>
      <c r="Z404">
        <f ca="1" xml:space="preserve"> _xlfn.DAYS(TODAY(), orders[[#This Row],[OrderDate]])</f>
        <v>1031</v>
      </c>
      <c r="AA404"/>
    </row>
    <row r="405" spans="1:27">
      <c r="A405" t="s">
        <v>3188</v>
      </c>
      <c r="B405" t="s">
        <v>2519</v>
      </c>
      <c r="C405" t="s">
        <v>3336</v>
      </c>
      <c r="D405" t="str">
        <f>TEXT(orders[[#This Row],[OrderDate]], "YYYY-MM")</f>
        <v>2023-04</v>
      </c>
      <c r="E405" t="s">
        <v>2769</v>
      </c>
      <c r="F405" s="1">
        <v>45042</v>
      </c>
      <c r="G405" s="1">
        <v>45044</v>
      </c>
      <c r="H405" s="1">
        <v>45046</v>
      </c>
      <c r="I405">
        <v>4</v>
      </c>
      <c r="J405">
        <v>26990</v>
      </c>
      <c r="K405">
        <v>10</v>
      </c>
      <c r="L405">
        <v>10796</v>
      </c>
      <c r="M405">
        <v>97164</v>
      </c>
      <c r="N405">
        <v>25164</v>
      </c>
      <c r="O405" t="s">
        <v>2749</v>
      </c>
      <c r="P405" t="s">
        <v>2761</v>
      </c>
      <c r="Q405" t="s">
        <v>2779</v>
      </c>
      <c r="R405" t="s">
        <v>46</v>
      </c>
      <c r="S405">
        <v>3</v>
      </c>
      <c r="T405">
        <v>2023</v>
      </c>
      <c r="U405" t="s">
        <v>2783</v>
      </c>
      <c r="V405" t="s">
        <v>2767</v>
      </c>
      <c r="W405">
        <v>2</v>
      </c>
      <c r="X40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05" t="str">
        <f>IF(orders[[#This Row],[Revenue]]&gt;AVERAGE(orders[Revenue])+3*STDEV(orders[Revenue]),"High Outlier",
 IF(orders[[#This Row],[Revenue]]&lt;AVERAGE(orders[Revenue])-3*STDEV(orders[Revenue]),"Low Outlier",
 "Normal"))</f>
        <v>Normal</v>
      </c>
      <c r="Z405">
        <f ca="1" xml:space="preserve"> _xlfn.DAYS(TODAY(), orders[[#This Row],[OrderDate]])</f>
        <v>1100</v>
      </c>
      <c r="AA405"/>
    </row>
    <row r="406" spans="1:27">
      <c r="A406" t="s">
        <v>3189</v>
      </c>
      <c r="B406" t="s">
        <v>861</v>
      </c>
      <c r="C406" t="s">
        <v>3390</v>
      </c>
      <c r="D406" t="str">
        <f>TEXT(orders[[#This Row],[OrderDate]], "YYYY-MM")</f>
        <v>2022-10</v>
      </c>
      <c r="E406" t="s">
        <v>2809</v>
      </c>
      <c r="F406" s="1">
        <v>44837</v>
      </c>
      <c r="G406" s="1">
        <v>44840</v>
      </c>
      <c r="H406" s="1">
        <v>44843</v>
      </c>
      <c r="I406">
        <v>5</v>
      </c>
      <c r="J406">
        <v>54999</v>
      </c>
      <c r="K406">
        <v>10</v>
      </c>
      <c r="L406">
        <v>27499.5</v>
      </c>
      <c r="M406">
        <v>247495.5</v>
      </c>
      <c r="N406">
        <v>57495.5</v>
      </c>
      <c r="O406" t="s">
        <v>2749</v>
      </c>
      <c r="P406" t="s">
        <v>2782</v>
      </c>
      <c r="Q406" t="s">
        <v>2758</v>
      </c>
      <c r="R406" t="s">
        <v>24</v>
      </c>
      <c r="S406">
        <v>1</v>
      </c>
      <c r="T406">
        <v>2022</v>
      </c>
      <c r="U406" t="s">
        <v>2788</v>
      </c>
      <c r="V406" t="s">
        <v>2764</v>
      </c>
      <c r="W406">
        <v>3</v>
      </c>
      <c r="X40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06" t="str">
        <f>IF(orders[[#This Row],[Revenue]]&gt;AVERAGE(orders[Revenue])+3*STDEV(orders[Revenue]),"High Outlier",
 IF(orders[[#This Row],[Revenue]]&lt;AVERAGE(orders[Revenue])-3*STDEV(orders[Revenue]),"Low Outlier",
 "Normal"))</f>
        <v>Normal</v>
      </c>
      <c r="Z406">
        <f ca="1" xml:space="preserve"> _xlfn.DAYS(TODAY(), orders[[#This Row],[OrderDate]])</f>
        <v>1305</v>
      </c>
      <c r="AA406"/>
    </row>
    <row r="407" spans="1:27">
      <c r="A407" t="s">
        <v>3190</v>
      </c>
      <c r="B407" t="s">
        <v>1423</v>
      </c>
      <c r="C407" t="s">
        <v>3384</v>
      </c>
      <c r="D407" t="str">
        <f>TEXT(orders[[#This Row],[OrderDate]], "YYYY-MM")</f>
        <v>2024-05</v>
      </c>
      <c r="E407" t="s">
        <v>2755</v>
      </c>
      <c r="F407" s="1">
        <v>45434</v>
      </c>
      <c r="G407" s="1">
        <v>45438</v>
      </c>
      <c r="H407" s="1">
        <v>45441</v>
      </c>
      <c r="I407">
        <v>4</v>
      </c>
      <c r="J407">
        <v>59900</v>
      </c>
      <c r="K407">
        <v>10</v>
      </c>
      <c r="L407">
        <v>23960</v>
      </c>
      <c r="M407">
        <v>215640</v>
      </c>
      <c r="N407">
        <v>47640</v>
      </c>
      <c r="O407" t="s">
        <v>2749</v>
      </c>
      <c r="P407" t="s">
        <v>2770</v>
      </c>
      <c r="Q407" t="s">
        <v>2794</v>
      </c>
      <c r="R407" t="s">
        <v>24</v>
      </c>
      <c r="S407">
        <v>3</v>
      </c>
      <c r="T407">
        <v>2024</v>
      </c>
      <c r="U407" t="s">
        <v>2766</v>
      </c>
      <c r="V407" t="s">
        <v>2767</v>
      </c>
      <c r="W407">
        <v>4</v>
      </c>
      <c r="X40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07" t="str">
        <f>IF(orders[[#This Row],[Revenue]]&gt;AVERAGE(orders[Revenue])+3*STDEV(orders[Revenue]),"High Outlier",
 IF(orders[[#This Row],[Revenue]]&lt;AVERAGE(orders[Revenue])-3*STDEV(orders[Revenue]),"Low Outlier",
 "Normal"))</f>
        <v>Normal</v>
      </c>
      <c r="Z407">
        <f ca="1" xml:space="preserve"> _xlfn.DAYS(TODAY(), orders[[#This Row],[OrderDate]])</f>
        <v>708</v>
      </c>
      <c r="AA407"/>
    </row>
    <row r="408" spans="1:27">
      <c r="A408" t="s">
        <v>3191</v>
      </c>
      <c r="B408" t="s">
        <v>1204</v>
      </c>
      <c r="C408" t="s">
        <v>3298</v>
      </c>
      <c r="D408" t="str">
        <f>TEXT(orders[[#This Row],[OrderDate]], "YYYY-MM")</f>
        <v>2024-06</v>
      </c>
      <c r="E408" t="s">
        <v>2776</v>
      </c>
      <c r="F408" s="1">
        <v>45466</v>
      </c>
      <c r="G408" s="1">
        <v>45469</v>
      </c>
      <c r="H408" s="1">
        <v>45469</v>
      </c>
      <c r="I408">
        <v>3</v>
      </c>
      <c r="J408">
        <v>79999</v>
      </c>
      <c r="K408">
        <v>0</v>
      </c>
      <c r="L408">
        <v>0</v>
      </c>
      <c r="M408">
        <v>239997</v>
      </c>
      <c r="N408">
        <v>74997</v>
      </c>
      <c r="O408" t="s">
        <v>2749</v>
      </c>
      <c r="P408" t="s">
        <v>2750</v>
      </c>
      <c r="Q408" t="s">
        <v>2758</v>
      </c>
      <c r="R408" t="s">
        <v>35</v>
      </c>
      <c r="S408">
        <v>5</v>
      </c>
      <c r="T408">
        <v>2024</v>
      </c>
      <c r="U408" t="s">
        <v>2771</v>
      </c>
      <c r="V408" t="s">
        <v>2767</v>
      </c>
      <c r="W408">
        <v>3</v>
      </c>
      <c r="X40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08" t="str">
        <f>IF(orders[[#This Row],[Revenue]]&gt;AVERAGE(orders[Revenue])+3*STDEV(orders[Revenue]),"High Outlier",
 IF(orders[[#This Row],[Revenue]]&lt;AVERAGE(orders[Revenue])-3*STDEV(orders[Revenue]),"Low Outlier",
 "Normal"))</f>
        <v>Normal</v>
      </c>
      <c r="Z408">
        <f ca="1" xml:space="preserve"> _xlfn.DAYS(TODAY(), orders[[#This Row],[OrderDate]])</f>
        <v>676</v>
      </c>
      <c r="AA408"/>
    </row>
    <row r="409" spans="1:27">
      <c r="A409" t="s">
        <v>3192</v>
      </c>
      <c r="B409" t="s">
        <v>1628</v>
      </c>
      <c r="C409" t="s">
        <v>3405</v>
      </c>
      <c r="D409" t="str">
        <f>TEXT(orders[[#This Row],[OrderDate]], "YYYY-MM")</f>
        <v>2023-07</v>
      </c>
      <c r="E409" t="s">
        <v>2809</v>
      </c>
      <c r="F409" s="1">
        <v>45128</v>
      </c>
      <c r="G409" s="1">
        <v>45129</v>
      </c>
      <c r="H409" s="1">
        <v>45129</v>
      </c>
      <c r="I409">
        <v>1</v>
      </c>
      <c r="J409">
        <v>8495</v>
      </c>
      <c r="K409">
        <v>10</v>
      </c>
      <c r="L409">
        <v>849.5</v>
      </c>
      <c r="M409">
        <v>7645.5</v>
      </c>
      <c r="N409">
        <v>2145.5</v>
      </c>
      <c r="O409" t="s">
        <v>2749</v>
      </c>
      <c r="P409" t="s">
        <v>2757</v>
      </c>
      <c r="Q409" t="s">
        <v>2758</v>
      </c>
      <c r="R409" t="s">
        <v>24</v>
      </c>
      <c r="S409">
        <v>2</v>
      </c>
      <c r="T409">
        <v>2023</v>
      </c>
      <c r="U409" t="s">
        <v>2792</v>
      </c>
      <c r="V409" t="s">
        <v>2774</v>
      </c>
      <c r="W409">
        <v>1</v>
      </c>
      <c r="X40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09" t="str">
        <f>IF(orders[[#This Row],[Revenue]]&gt;AVERAGE(orders[Revenue])+3*STDEV(orders[Revenue]),"High Outlier",
 IF(orders[[#This Row],[Revenue]]&lt;AVERAGE(orders[Revenue])-3*STDEV(orders[Revenue]),"Low Outlier",
 "Normal"))</f>
        <v>Normal</v>
      </c>
      <c r="Z409">
        <f ca="1" xml:space="preserve"> _xlfn.DAYS(TODAY(), orders[[#This Row],[OrderDate]])</f>
        <v>1014</v>
      </c>
      <c r="AA409"/>
    </row>
    <row r="410" spans="1:27">
      <c r="A410" t="s">
        <v>3193</v>
      </c>
      <c r="B410" t="s">
        <v>1077</v>
      </c>
      <c r="C410" t="s">
        <v>3336</v>
      </c>
      <c r="D410" t="str">
        <f>TEXT(orders[[#This Row],[OrderDate]], "YYYY-MM")</f>
        <v>2023-05</v>
      </c>
      <c r="E410" t="s">
        <v>2769</v>
      </c>
      <c r="F410" s="1">
        <v>45074</v>
      </c>
      <c r="G410" s="1">
        <v>45080</v>
      </c>
      <c r="H410" s="1">
        <v>45082</v>
      </c>
      <c r="I410">
        <v>2</v>
      </c>
      <c r="J410">
        <v>26990</v>
      </c>
      <c r="K410">
        <v>0</v>
      </c>
      <c r="L410">
        <v>0</v>
      </c>
      <c r="M410">
        <v>53980</v>
      </c>
      <c r="N410">
        <v>17980</v>
      </c>
      <c r="O410" t="s">
        <v>2749</v>
      </c>
      <c r="P410" t="s">
        <v>2778</v>
      </c>
      <c r="Q410" t="s">
        <v>2758</v>
      </c>
      <c r="R410" t="s">
        <v>46</v>
      </c>
      <c r="S410">
        <v>3</v>
      </c>
      <c r="T410">
        <v>2023</v>
      </c>
      <c r="U410" t="s">
        <v>2766</v>
      </c>
      <c r="V410" t="s">
        <v>2767</v>
      </c>
      <c r="W410">
        <v>6</v>
      </c>
      <c r="X41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10" t="str">
        <f>IF(orders[[#This Row],[Revenue]]&gt;AVERAGE(orders[Revenue])+3*STDEV(orders[Revenue]),"High Outlier",
 IF(orders[[#This Row],[Revenue]]&lt;AVERAGE(orders[Revenue])-3*STDEV(orders[Revenue]),"Low Outlier",
 "Normal"))</f>
        <v>Normal</v>
      </c>
      <c r="Z410">
        <f ca="1" xml:space="preserve"> _xlfn.DAYS(TODAY(), orders[[#This Row],[OrderDate]])</f>
        <v>1068</v>
      </c>
      <c r="AA410"/>
    </row>
    <row r="411" spans="1:27">
      <c r="A411" t="s">
        <v>3194</v>
      </c>
      <c r="B411" t="s">
        <v>59</v>
      </c>
      <c r="C411" t="s">
        <v>3423</v>
      </c>
      <c r="D411" t="str">
        <f>TEXT(orders[[#This Row],[OrderDate]], "YYYY-MM")</f>
        <v>2023-08</v>
      </c>
      <c r="E411" t="s">
        <v>2776</v>
      </c>
      <c r="F411" s="1">
        <v>45139</v>
      </c>
      <c r="G411" s="1">
        <v>45146</v>
      </c>
      <c r="H411" s="1">
        <v>45149</v>
      </c>
      <c r="I411">
        <v>4</v>
      </c>
      <c r="J411">
        <v>1599</v>
      </c>
      <c r="K411">
        <v>0</v>
      </c>
      <c r="L411">
        <v>0</v>
      </c>
      <c r="M411">
        <v>6396</v>
      </c>
      <c r="N411">
        <v>3196</v>
      </c>
      <c r="O411" t="s">
        <v>2749</v>
      </c>
      <c r="P411" t="s">
        <v>2770</v>
      </c>
      <c r="Q411" t="s">
        <v>2758</v>
      </c>
      <c r="R411" t="s">
        <v>35</v>
      </c>
      <c r="S411">
        <v>2</v>
      </c>
      <c r="T411">
        <v>2023</v>
      </c>
      <c r="U411" t="s">
        <v>2773</v>
      </c>
      <c r="V411" t="s">
        <v>2774</v>
      </c>
      <c r="W411">
        <v>7</v>
      </c>
      <c r="X41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11" t="str">
        <f>IF(orders[[#This Row],[Revenue]]&gt;AVERAGE(orders[Revenue])+3*STDEV(orders[Revenue]),"High Outlier",
 IF(orders[[#This Row],[Revenue]]&lt;AVERAGE(orders[Revenue])-3*STDEV(orders[Revenue]),"Low Outlier",
 "Normal"))</f>
        <v>Normal</v>
      </c>
      <c r="Z411">
        <f ca="1" xml:space="preserve"> _xlfn.DAYS(TODAY(), orders[[#This Row],[OrderDate]])</f>
        <v>1003</v>
      </c>
      <c r="AA411"/>
    </row>
    <row r="412" spans="1:27">
      <c r="A412" t="s">
        <v>3195</v>
      </c>
      <c r="B412" t="s">
        <v>2444</v>
      </c>
      <c r="C412" t="s">
        <v>3366</v>
      </c>
      <c r="D412" t="str">
        <f>TEXT(orders[[#This Row],[OrderDate]], "YYYY-MM")</f>
        <v>2023-04</v>
      </c>
      <c r="E412" t="s">
        <v>2804</v>
      </c>
      <c r="F412" s="1">
        <v>45026</v>
      </c>
      <c r="I412">
        <v>2</v>
      </c>
      <c r="J412">
        <v>19999</v>
      </c>
      <c r="K412">
        <v>15</v>
      </c>
      <c r="L412">
        <v>5999.7</v>
      </c>
      <c r="M412">
        <v>33998.300000000003</v>
      </c>
      <c r="N412">
        <v>7998.3</v>
      </c>
      <c r="O412" t="s">
        <v>2781</v>
      </c>
      <c r="P412" t="s">
        <v>2782</v>
      </c>
      <c r="Q412" t="s">
        <v>2758</v>
      </c>
      <c r="R412" t="s">
        <v>46</v>
      </c>
      <c r="T412">
        <v>2023</v>
      </c>
      <c r="U412" t="s">
        <v>2783</v>
      </c>
      <c r="V412" t="s">
        <v>2767</v>
      </c>
      <c r="X41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12" t="str">
        <f>IF(orders[[#This Row],[Revenue]]&gt;AVERAGE(orders[Revenue])+3*STDEV(orders[Revenue]),"High Outlier",
 IF(orders[[#This Row],[Revenue]]&lt;AVERAGE(orders[Revenue])-3*STDEV(orders[Revenue]),"Low Outlier",
 "Normal"))</f>
        <v>Normal</v>
      </c>
      <c r="Z412">
        <f ca="1" xml:space="preserve"> _xlfn.DAYS(TODAY(), orders[[#This Row],[OrderDate]])</f>
        <v>1116</v>
      </c>
      <c r="AA412"/>
    </row>
    <row r="413" spans="1:27">
      <c r="A413" t="s">
        <v>3196</v>
      </c>
      <c r="B413" t="s">
        <v>1734</v>
      </c>
      <c r="C413" t="s">
        <v>3390</v>
      </c>
      <c r="D413" t="str">
        <f>TEXT(orders[[#This Row],[OrderDate]], "YYYY-MM")</f>
        <v>2024-08</v>
      </c>
      <c r="E413" t="s">
        <v>2755</v>
      </c>
      <c r="F413" s="1">
        <v>45506</v>
      </c>
      <c r="G413" s="1">
        <v>45513</v>
      </c>
      <c r="H413" s="1">
        <v>45513</v>
      </c>
      <c r="I413">
        <v>3</v>
      </c>
      <c r="J413">
        <v>54999</v>
      </c>
      <c r="K413">
        <v>5</v>
      </c>
      <c r="L413">
        <v>8249.85</v>
      </c>
      <c r="M413">
        <v>156747.15</v>
      </c>
      <c r="N413">
        <v>42747.15</v>
      </c>
      <c r="O413" t="s">
        <v>2749</v>
      </c>
      <c r="P413" t="s">
        <v>2770</v>
      </c>
      <c r="Q413" t="s">
        <v>2751</v>
      </c>
      <c r="R413" t="s">
        <v>24</v>
      </c>
      <c r="S413">
        <v>2</v>
      </c>
      <c r="T413">
        <v>2024</v>
      </c>
      <c r="U413" t="s">
        <v>2773</v>
      </c>
      <c r="V413" t="s">
        <v>2774</v>
      </c>
      <c r="W413">
        <v>7</v>
      </c>
      <c r="X41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13" t="str">
        <f>IF(orders[[#This Row],[Revenue]]&gt;AVERAGE(orders[Revenue])+3*STDEV(orders[Revenue]),"High Outlier",
 IF(orders[[#This Row],[Revenue]]&lt;AVERAGE(orders[Revenue])-3*STDEV(orders[Revenue]),"Low Outlier",
 "Normal"))</f>
        <v>Normal</v>
      </c>
      <c r="Z413">
        <f ca="1" xml:space="preserve"> _xlfn.DAYS(TODAY(), orders[[#This Row],[OrderDate]])</f>
        <v>636</v>
      </c>
      <c r="AA413"/>
    </row>
    <row r="414" spans="1:27">
      <c r="A414" t="s">
        <v>3197</v>
      </c>
      <c r="B414" t="s">
        <v>1351</v>
      </c>
      <c r="C414" t="s">
        <v>3374</v>
      </c>
      <c r="D414" t="str">
        <f>TEXT(orders[[#This Row],[OrderDate]], "YYYY-MM")</f>
        <v>2024-02</v>
      </c>
      <c r="E414" t="s">
        <v>2748</v>
      </c>
      <c r="F414" s="1">
        <v>45329</v>
      </c>
      <c r="G414" s="1">
        <v>45334</v>
      </c>
      <c r="H414" s="1">
        <v>45335</v>
      </c>
      <c r="I414">
        <v>3</v>
      </c>
      <c r="J414">
        <v>64999</v>
      </c>
      <c r="K414">
        <v>0</v>
      </c>
      <c r="L414">
        <v>0</v>
      </c>
      <c r="M414">
        <v>194997</v>
      </c>
      <c r="N414">
        <v>59997</v>
      </c>
      <c r="O414" t="s">
        <v>2749</v>
      </c>
      <c r="P414" t="s">
        <v>2770</v>
      </c>
      <c r="Q414" t="s">
        <v>2794</v>
      </c>
      <c r="R414" t="s">
        <v>188</v>
      </c>
      <c r="S414">
        <v>3</v>
      </c>
      <c r="T414">
        <v>2024</v>
      </c>
      <c r="U414" t="s">
        <v>2759</v>
      </c>
      <c r="V414" t="s">
        <v>2753</v>
      </c>
      <c r="W414">
        <v>5</v>
      </c>
      <c r="X41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14" t="str">
        <f>IF(orders[[#This Row],[Revenue]]&gt;AVERAGE(orders[Revenue])+3*STDEV(orders[Revenue]),"High Outlier",
 IF(orders[[#This Row],[Revenue]]&lt;AVERAGE(orders[Revenue])-3*STDEV(orders[Revenue]),"Low Outlier",
 "Normal"))</f>
        <v>Normal</v>
      </c>
      <c r="Z414">
        <f ca="1" xml:space="preserve"> _xlfn.DAYS(TODAY(), orders[[#This Row],[OrderDate]])</f>
        <v>813</v>
      </c>
      <c r="AA414"/>
    </row>
    <row r="415" spans="1:27">
      <c r="A415" t="s">
        <v>3198</v>
      </c>
      <c r="B415" t="s">
        <v>776</v>
      </c>
      <c r="C415" t="s">
        <v>3370</v>
      </c>
      <c r="D415" t="str">
        <f>TEXT(orders[[#This Row],[OrderDate]], "YYYY-MM")</f>
        <v>2024-04</v>
      </c>
      <c r="E415" t="s">
        <v>2755</v>
      </c>
      <c r="F415" s="1">
        <v>45388</v>
      </c>
      <c r="I415">
        <v>5</v>
      </c>
      <c r="J415">
        <v>24999</v>
      </c>
      <c r="K415">
        <v>5</v>
      </c>
      <c r="L415">
        <v>6249.75</v>
      </c>
      <c r="M415">
        <v>118745.25</v>
      </c>
      <c r="N415">
        <v>33745.25</v>
      </c>
      <c r="O415" t="s">
        <v>2781</v>
      </c>
      <c r="P415" t="s">
        <v>2750</v>
      </c>
      <c r="Q415" t="s">
        <v>2758</v>
      </c>
      <c r="R415" t="s">
        <v>24</v>
      </c>
      <c r="T415">
        <v>2024</v>
      </c>
      <c r="U415" t="s">
        <v>2783</v>
      </c>
      <c r="V415" t="s">
        <v>2767</v>
      </c>
      <c r="X41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15" t="str">
        <f>IF(orders[[#This Row],[Revenue]]&gt;AVERAGE(orders[Revenue])+3*STDEV(orders[Revenue]),"High Outlier",
 IF(orders[[#This Row],[Revenue]]&lt;AVERAGE(orders[Revenue])-3*STDEV(orders[Revenue]),"Low Outlier",
 "Normal"))</f>
        <v>Normal</v>
      </c>
      <c r="Z415">
        <f ca="1" xml:space="preserve"> _xlfn.DAYS(TODAY(), orders[[#This Row],[OrderDate]])</f>
        <v>754</v>
      </c>
      <c r="AA415"/>
    </row>
    <row r="416" spans="1:27">
      <c r="A416" t="s">
        <v>3199</v>
      </c>
      <c r="B416" t="s">
        <v>119</v>
      </c>
      <c r="C416" t="s">
        <v>3394</v>
      </c>
      <c r="D416" t="str">
        <f>TEXT(orders[[#This Row],[OrderDate]], "YYYY-MM")</f>
        <v>2022-10</v>
      </c>
      <c r="E416" t="s">
        <v>2804</v>
      </c>
      <c r="F416" s="1">
        <v>44846</v>
      </c>
      <c r="G416" s="1">
        <v>44849</v>
      </c>
      <c r="H416" s="1">
        <v>44852</v>
      </c>
      <c r="I416">
        <v>4</v>
      </c>
      <c r="J416">
        <v>2499</v>
      </c>
      <c r="K416">
        <v>5</v>
      </c>
      <c r="L416">
        <v>499.8</v>
      </c>
      <c r="M416">
        <v>9496.2000000000007</v>
      </c>
      <c r="N416">
        <v>4696.2</v>
      </c>
      <c r="O416" t="s">
        <v>2749</v>
      </c>
      <c r="P416" t="s">
        <v>2770</v>
      </c>
      <c r="Q416" t="s">
        <v>2762</v>
      </c>
      <c r="R416" t="s">
        <v>46</v>
      </c>
      <c r="S416">
        <v>5</v>
      </c>
      <c r="T416">
        <v>2022</v>
      </c>
      <c r="U416" t="s">
        <v>2788</v>
      </c>
      <c r="V416" t="s">
        <v>2764</v>
      </c>
      <c r="W416">
        <v>3</v>
      </c>
      <c r="X41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16" t="str">
        <f>IF(orders[[#This Row],[Revenue]]&gt;AVERAGE(orders[Revenue])+3*STDEV(orders[Revenue]),"High Outlier",
 IF(orders[[#This Row],[Revenue]]&lt;AVERAGE(orders[Revenue])-3*STDEV(orders[Revenue]),"Low Outlier",
 "Normal"))</f>
        <v>Normal</v>
      </c>
      <c r="Z416">
        <f ca="1" xml:space="preserve"> _xlfn.DAYS(TODAY(), orders[[#This Row],[OrderDate]])</f>
        <v>1296</v>
      </c>
      <c r="AA416"/>
    </row>
    <row r="417" spans="1:27">
      <c r="A417" t="s">
        <v>3200</v>
      </c>
      <c r="B417" t="s">
        <v>1213</v>
      </c>
      <c r="C417" t="s">
        <v>3336</v>
      </c>
      <c r="D417" t="str">
        <f>TEXT(orders[[#This Row],[OrderDate]], "YYYY-MM")</f>
        <v>2022-08</v>
      </c>
      <c r="E417" t="s">
        <v>2776</v>
      </c>
      <c r="F417" s="1">
        <v>44784</v>
      </c>
      <c r="G417" s="1">
        <v>44789</v>
      </c>
      <c r="H417" s="1">
        <v>44792</v>
      </c>
      <c r="I417">
        <v>3</v>
      </c>
      <c r="J417">
        <v>26990</v>
      </c>
      <c r="K417">
        <v>0</v>
      </c>
      <c r="L417">
        <v>0</v>
      </c>
      <c r="M417">
        <v>80970</v>
      </c>
      <c r="N417">
        <v>26970</v>
      </c>
      <c r="O417" t="s">
        <v>2749</v>
      </c>
      <c r="P417" t="s">
        <v>2782</v>
      </c>
      <c r="Q417" t="s">
        <v>2762</v>
      </c>
      <c r="R417" t="s">
        <v>35</v>
      </c>
      <c r="S417">
        <v>5</v>
      </c>
      <c r="T417">
        <v>2022</v>
      </c>
      <c r="U417" t="s">
        <v>2773</v>
      </c>
      <c r="V417" t="s">
        <v>2774</v>
      </c>
      <c r="W417">
        <v>5</v>
      </c>
      <c r="X41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17" t="str">
        <f>IF(orders[[#This Row],[Revenue]]&gt;AVERAGE(orders[Revenue])+3*STDEV(orders[Revenue]),"High Outlier",
 IF(orders[[#This Row],[Revenue]]&lt;AVERAGE(orders[Revenue])-3*STDEV(orders[Revenue]),"Low Outlier",
 "Normal"))</f>
        <v>Normal</v>
      </c>
      <c r="Z417">
        <f ca="1" xml:space="preserve"> _xlfn.DAYS(TODAY(), orders[[#This Row],[OrderDate]])</f>
        <v>1358</v>
      </c>
      <c r="AA417"/>
    </row>
    <row r="418" spans="1:27">
      <c r="A418" t="s">
        <v>3201</v>
      </c>
      <c r="B418" t="s">
        <v>637</v>
      </c>
      <c r="C418" t="s">
        <v>3307</v>
      </c>
      <c r="D418" t="str">
        <f>TEXT(orders[[#This Row],[OrderDate]], "YYYY-MM")</f>
        <v>2022-02</v>
      </c>
      <c r="E418" t="s">
        <v>2755</v>
      </c>
      <c r="F418" s="1">
        <v>44616</v>
      </c>
      <c r="G418" s="1">
        <v>44618</v>
      </c>
      <c r="H418" s="1">
        <v>44618</v>
      </c>
      <c r="I418">
        <v>4</v>
      </c>
      <c r="J418">
        <v>69999</v>
      </c>
      <c r="K418">
        <v>5</v>
      </c>
      <c r="L418">
        <v>13999.8</v>
      </c>
      <c r="M418">
        <v>265996.2</v>
      </c>
      <c r="N418">
        <v>73996.2</v>
      </c>
      <c r="O418" t="s">
        <v>2749</v>
      </c>
      <c r="P418" t="s">
        <v>2782</v>
      </c>
      <c r="Q418" t="s">
        <v>2779</v>
      </c>
      <c r="R418" t="s">
        <v>24</v>
      </c>
      <c r="S418">
        <v>3</v>
      </c>
      <c r="T418">
        <v>2022</v>
      </c>
      <c r="U418" t="s">
        <v>2759</v>
      </c>
      <c r="V418" t="s">
        <v>2753</v>
      </c>
      <c r="W418">
        <v>2</v>
      </c>
      <c r="X41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18" t="str">
        <f>IF(orders[[#This Row],[Revenue]]&gt;AVERAGE(orders[Revenue])+3*STDEV(orders[Revenue]),"High Outlier",
 IF(orders[[#This Row],[Revenue]]&lt;AVERAGE(orders[Revenue])-3*STDEV(orders[Revenue]),"Low Outlier",
 "Normal"))</f>
        <v>Normal</v>
      </c>
      <c r="Z418">
        <f ca="1" xml:space="preserve"> _xlfn.DAYS(TODAY(), orders[[#This Row],[OrderDate]])</f>
        <v>1526</v>
      </c>
      <c r="AA418"/>
    </row>
    <row r="419" spans="1:27">
      <c r="A419" t="s">
        <v>3202</v>
      </c>
      <c r="B419" t="s">
        <v>1921</v>
      </c>
      <c r="C419" t="s">
        <v>3384</v>
      </c>
      <c r="D419" t="str">
        <f>TEXT(orders[[#This Row],[OrderDate]], "YYYY-MM")</f>
        <v>2024-07</v>
      </c>
      <c r="E419" t="s">
        <v>2776</v>
      </c>
      <c r="F419" s="1">
        <v>45493</v>
      </c>
      <c r="G419" s="1">
        <v>45496</v>
      </c>
      <c r="H419" s="1">
        <v>45496</v>
      </c>
      <c r="I419">
        <v>2</v>
      </c>
      <c r="J419">
        <v>59900</v>
      </c>
      <c r="K419">
        <v>10</v>
      </c>
      <c r="L419">
        <v>11980</v>
      </c>
      <c r="M419">
        <v>107820</v>
      </c>
      <c r="N419">
        <v>23820</v>
      </c>
      <c r="O419" t="s">
        <v>2749</v>
      </c>
      <c r="P419" t="s">
        <v>2770</v>
      </c>
      <c r="Q419" t="s">
        <v>2751</v>
      </c>
      <c r="R419" t="s">
        <v>35</v>
      </c>
      <c r="S419">
        <v>2</v>
      </c>
      <c r="T419">
        <v>2024</v>
      </c>
      <c r="U419" t="s">
        <v>2792</v>
      </c>
      <c r="V419" t="s">
        <v>2774</v>
      </c>
      <c r="W419">
        <v>3</v>
      </c>
      <c r="X41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19" t="str">
        <f>IF(orders[[#This Row],[Revenue]]&gt;AVERAGE(orders[Revenue])+3*STDEV(orders[Revenue]),"High Outlier",
 IF(orders[[#This Row],[Revenue]]&lt;AVERAGE(orders[Revenue])-3*STDEV(orders[Revenue]),"Low Outlier",
 "Normal"))</f>
        <v>Normal</v>
      </c>
      <c r="Z419">
        <f ca="1" xml:space="preserve"> _xlfn.DAYS(TODAY(), orders[[#This Row],[OrderDate]])</f>
        <v>649</v>
      </c>
      <c r="AA419"/>
    </row>
    <row r="420" spans="1:27">
      <c r="A420" t="s">
        <v>3203</v>
      </c>
      <c r="B420" t="s">
        <v>432</v>
      </c>
      <c r="C420" t="s">
        <v>3325</v>
      </c>
      <c r="D420" t="str">
        <f>TEXT(orders[[#This Row],[OrderDate]], "YYYY-MM")</f>
        <v>2024-09</v>
      </c>
      <c r="E420" t="s">
        <v>2785</v>
      </c>
      <c r="F420" s="1">
        <v>45541</v>
      </c>
      <c r="I420">
        <v>1</v>
      </c>
      <c r="J420">
        <v>49990</v>
      </c>
      <c r="K420">
        <v>10</v>
      </c>
      <c r="L420">
        <v>4999</v>
      </c>
      <c r="M420">
        <v>44991</v>
      </c>
      <c r="N420">
        <v>9991</v>
      </c>
      <c r="O420" t="s">
        <v>2781</v>
      </c>
      <c r="P420" t="s">
        <v>2782</v>
      </c>
      <c r="Q420" t="s">
        <v>2779</v>
      </c>
      <c r="R420" t="s">
        <v>188</v>
      </c>
      <c r="T420">
        <v>2024</v>
      </c>
      <c r="U420" t="s">
        <v>2790</v>
      </c>
      <c r="V420" t="s">
        <v>2774</v>
      </c>
      <c r="X42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20" t="str">
        <f>IF(orders[[#This Row],[Revenue]]&gt;AVERAGE(orders[Revenue])+3*STDEV(orders[Revenue]),"High Outlier",
 IF(orders[[#This Row],[Revenue]]&lt;AVERAGE(orders[Revenue])-3*STDEV(orders[Revenue]),"Low Outlier",
 "Normal"))</f>
        <v>Normal</v>
      </c>
      <c r="Z420">
        <f ca="1" xml:space="preserve"> _xlfn.DAYS(TODAY(), orders[[#This Row],[OrderDate]])</f>
        <v>601</v>
      </c>
      <c r="AA420"/>
    </row>
    <row r="421" spans="1:27">
      <c r="A421" t="s">
        <v>3204</v>
      </c>
      <c r="B421" t="s">
        <v>2454</v>
      </c>
      <c r="C421" t="s">
        <v>3336</v>
      </c>
      <c r="D421" t="str">
        <f>TEXT(orders[[#This Row],[OrderDate]], "YYYY-MM")</f>
        <v>2024-06</v>
      </c>
      <c r="E421" t="s">
        <v>2769</v>
      </c>
      <c r="F421" s="1">
        <v>45447</v>
      </c>
      <c r="I421">
        <v>4</v>
      </c>
      <c r="J421">
        <v>26990</v>
      </c>
      <c r="K421">
        <v>0</v>
      </c>
      <c r="L421">
        <v>0</v>
      </c>
      <c r="M421">
        <v>107960</v>
      </c>
      <c r="N421">
        <v>35960</v>
      </c>
      <c r="O421" t="s">
        <v>2781</v>
      </c>
      <c r="P421" t="s">
        <v>2761</v>
      </c>
      <c r="Q421" t="s">
        <v>2758</v>
      </c>
      <c r="R421" t="s">
        <v>46</v>
      </c>
      <c r="T421">
        <v>2024</v>
      </c>
      <c r="U421" t="s">
        <v>2771</v>
      </c>
      <c r="V421" t="s">
        <v>2767</v>
      </c>
      <c r="X42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21" t="str">
        <f>IF(orders[[#This Row],[Revenue]]&gt;AVERAGE(orders[Revenue])+3*STDEV(orders[Revenue]),"High Outlier",
 IF(orders[[#This Row],[Revenue]]&lt;AVERAGE(orders[Revenue])-3*STDEV(orders[Revenue]),"Low Outlier",
 "Normal"))</f>
        <v>Normal</v>
      </c>
      <c r="Z421">
        <f ca="1" xml:space="preserve"> _xlfn.DAYS(TODAY(), orders[[#This Row],[OrderDate]])</f>
        <v>695</v>
      </c>
      <c r="AA421"/>
    </row>
    <row r="422" spans="1:27">
      <c r="A422" t="s">
        <v>3205</v>
      </c>
      <c r="B422" t="s">
        <v>2630</v>
      </c>
      <c r="C422" t="s">
        <v>3350</v>
      </c>
      <c r="D422" t="str">
        <f>TEXT(orders[[#This Row],[OrderDate]], "YYYY-MM")</f>
        <v>2024-10</v>
      </c>
      <c r="E422" t="s">
        <v>2813</v>
      </c>
      <c r="F422" s="1">
        <v>45591</v>
      </c>
      <c r="I422">
        <v>4</v>
      </c>
      <c r="J422">
        <v>12999</v>
      </c>
      <c r="K422">
        <v>5</v>
      </c>
      <c r="L422">
        <v>2599.8000000000002</v>
      </c>
      <c r="M422">
        <v>49396.2</v>
      </c>
      <c r="N422">
        <v>17396.2</v>
      </c>
      <c r="O422" t="s">
        <v>2781</v>
      </c>
      <c r="P422" t="s">
        <v>2782</v>
      </c>
      <c r="Q422" t="s">
        <v>2762</v>
      </c>
      <c r="R422" t="s">
        <v>76</v>
      </c>
      <c r="T422">
        <v>2024</v>
      </c>
      <c r="U422" t="s">
        <v>2788</v>
      </c>
      <c r="V422" t="s">
        <v>2764</v>
      </c>
      <c r="X42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22" t="str">
        <f>IF(orders[[#This Row],[Revenue]]&gt;AVERAGE(orders[Revenue])+3*STDEV(orders[Revenue]),"High Outlier",
 IF(orders[[#This Row],[Revenue]]&lt;AVERAGE(orders[Revenue])-3*STDEV(orders[Revenue]),"Low Outlier",
 "Normal"))</f>
        <v>Normal</v>
      </c>
      <c r="Z422">
        <f ca="1" xml:space="preserve"> _xlfn.DAYS(TODAY(), orders[[#This Row],[OrderDate]])</f>
        <v>551</v>
      </c>
      <c r="AA422"/>
    </row>
    <row r="423" spans="1:27">
      <c r="A423" t="s">
        <v>3206</v>
      </c>
      <c r="B423" t="s">
        <v>537</v>
      </c>
      <c r="C423" t="s">
        <v>3374</v>
      </c>
      <c r="D423" t="str">
        <f>TEXT(orders[[#This Row],[OrderDate]], "YYYY-MM")</f>
        <v>2024-03</v>
      </c>
      <c r="E423" t="s">
        <v>2748</v>
      </c>
      <c r="F423" s="1">
        <v>45379</v>
      </c>
      <c r="I423">
        <v>2</v>
      </c>
      <c r="J423">
        <v>64999</v>
      </c>
      <c r="K423">
        <v>20</v>
      </c>
      <c r="L423">
        <v>25999.599999999999</v>
      </c>
      <c r="M423">
        <v>103998.39999999999</v>
      </c>
      <c r="N423">
        <v>13998.4</v>
      </c>
      <c r="O423" t="s">
        <v>2756</v>
      </c>
      <c r="P423" t="s">
        <v>2750</v>
      </c>
      <c r="Q423" t="s">
        <v>2758</v>
      </c>
      <c r="R423" t="s">
        <v>188</v>
      </c>
      <c r="T423">
        <v>2024</v>
      </c>
      <c r="U423" t="s">
        <v>2752</v>
      </c>
      <c r="V423" t="s">
        <v>2753</v>
      </c>
      <c r="X42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23" t="str">
        <f>IF(orders[[#This Row],[Revenue]]&gt;AVERAGE(orders[Revenue])+3*STDEV(orders[Revenue]),"High Outlier",
 IF(orders[[#This Row],[Revenue]]&lt;AVERAGE(orders[Revenue])-3*STDEV(orders[Revenue]),"Low Outlier",
 "Normal"))</f>
        <v>Normal</v>
      </c>
      <c r="Z423">
        <f ca="1" xml:space="preserve"> _xlfn.DAYS(TODAY(), orders[[#This Row],[OrderDate]])</f>
        <v>763</v>
      </c>
      <c r="AA423"/>
    </row>
    <row r="424" spans="1:27">
      <c r="A424" t="s">
        <v>3207</v>
      </c>
      <c r="B424" t="s">
        <v>2479</v>
      </c>
      <c r="C424" t="s">
        <v>3379</v>
      </c>
      <c r="D424" t="str">
        <f>TEXT(orders[[#This Row],[OrderDate]], "YYYY-MM")</f>
        <v>2024-08</v>
      </c>
      <c r="E424" t="s">
        <v>2776</v>
      </c>
      <c r="F424" s="1">
        <v>45509</v>
      </c>
      <c r="I424">
        <v>1</v>
      </c>
      <c r="J424">
        <v>29999</v>
      </c>
      <c r="K424">
        <v>0</v>
      </c>
      <c r="L424">
        <v>0</v>
      </c>
      <c r="M424">
        <v>29999</v>
      </c>
      <c r="N424">
        <v>9999</v>
      </c>
      <c r="O424" t="s">
        <v>2756</v>
      </c>
      <c r="P424" t="s">
        <v>2750</v>
      </c>
      <c r="Q424" t="s">
        <v>2751</v>
      </c>
      <c r="R424" t="s">
        <v>35</v>
      </c>
      <c r="T424">
        <v>2024</v>
      </c>
      <c r="U424" t="s">
        <v>2773</v>
      </c>
      <c r="V424" t="s">
        <v>2774</v>
      </c>
      <c r="X42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24" t="str">
        <f>IF(orders[[#This Row],[Revenue]]&gt;AVERAGE(orders[Revenue])+3*STDEV(orders[Revenue]),"High Outlier",
 IF(orders[[#This Row],[Revenue]]&lt;AVERAGE(orders[Revenue])-3*STDEV(orders[Revenue]),"Low Outlier",
 "Normal"))</f>
        <v>Normal</v>
      </c>
      <c r="Z424">
        <f ca="1" xml:space="preserve"> _xlfn.DAYS(TODAY(), orders[[#This Row],[OrderDate]])</f>
        <v>633</v>
      </c>
      <c r="AA424"/>
    </row>
    <row r="425" spans="1:27">
      <c r="A425" t="s">
        <v>3208</v>
      </c>
      <c r="B425" t="s">
        <v>1114</v>
      </c>
      <c r="C425" t="s">
        <v>3413</v>
      </c>
      <c r="D425" t="str">
        <f>TEXT(orders[[#This Row],[OrderDate]], "YYYY-MM")</f>
        <v>2024-03</v>
      </c>
      <c r="E425" t="s">
        <v>2755</v>
      </c>
      <c r="F425" s="1">
        <v>45362</v>
      </c>
      <c r="I425">
        <v>2</v>
      </c>
      <c r="J425">
        <v>5999</v>
      </c>
      <c r="K425">
        <v>10</v>
      </c>
      <c r="L425">
        <v>1199.8</v>
      </c>
      <c r="M425">
        <v>10798.2</v>
      </c>
      <c r="N425">
        <v>3198.2</v>
      </c>
      <c r="O425" t="s">
        <v>2756</v>
      </c>
      <c r="P425" t="s">
        <v>2782</v>
      </c>
      <c r="Q425" t="s">
        <v>2779</v>
      </c>
      <c r="R425" t="s">
        <v>24</v>
      </c>
      <c r="T425">
        <v>2024</v>
      </c>
      <c r="U425" t="s">
        <v>2752</v>
      </c>
      <c r="V425" t="s">
        <v>2753</v>
      </c>
      <c r="X42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25" t="str">
        <f>IF(orders[[#This Row],[Revenue]]&gt;AVERAGE(orders[Revenue])+3*STDEV(orders[Revenue]),"High Outlier",
 IF(orders[[#This Row],[Revenue]]&lt;AVERAGE(orders[Revenue])-3*STDEV(orders[Revenue]),"Low Outlier",
 "Normal"))</f>
        <v>Normal</v>
      </c>
      <c r="Z425">
        <f ca="1" xml:space="preserve"> _xlfn.DAYS(TODAY(), orders[[#This Row],[OrderDate]])</f>
        <v>780</v>
      </c>
      <c r="AA425"/>
    </row>
    <row r="426" spans="1:27">
      <c r="A426" t="s">
        <v>3209</v>
      </c>
      <c r="B426" t="s">
        <v>2529</v>
      </c>
      <c r="C426" t="s">
        <v>3399</v>
      </c>
      <c r="D426" t="str">
        <f>TEXT(orders[[#This Row],[OrderDate]], "YYYY-MM")</f>
        <v>2024-07</v>
      </c>
      <c r="E426" t="s">
        <v>2776</v>
      </c>
      <c r="F426" s="1">
        <v>45499</v>
      </c>
      <c r="G426" s="1">
        <v>45505</v>
      </c>
      <c r="H426" s="1">
        <v>45506</v>
      </c>
      <c r="I426">
        <v>5</v>
      </c>
      <c r="J426">
        <v>3499</v>
      </c>
      <c r="K426">
        <v>0</v>
      </c>
      <c r="L426">
        <v>0</v>
      </c>
      <c r="M426">
        <v>17495</v>
      </c>
      <c r="N426">
        <v>8495</v>
      </c>
      <c r="O426" t="s">
        <v>2749</v>
      </c>
      <c r="P426" t="s">
        <v>2770</v>
      </c>
      <c r="Q426" t="s">
        <v>2762</v>
      </c>
      <c r="R426" t="s">
        <v>35</v>
      </c>
      <c r="S426">
        <v>2</v>
      </c>
      <c r="T426">
        <v>2024</v>
      </c>
      <c r="U426" t="s">
        <v>2792</v>
      </c>
      <c r="V426" t="s">
        <v>2774</v>
      </c>
      <c r="W426">
        <v>6</v>
      </c>
      <c r="X42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26" t="str">
        <f>IF(orders[[#This Row],[Revenue]]&gt;AVERAGE(orders[Revenue])+3*STDEV(orders[Revenue]),"High Outlier",
 IF(orders[[#This Row],[Revenue]]&lt;AVERAGE(orders[Revenue])-3*STDEV(orders[Revenue]),"Low Outlier",
 "Normal"))</f>
        <v>Normal</v>
      </c>
      <c r="Z426">
        <f ca="1" xml:space="preserve"> _xlfn.DAYS(TODAY(), orders[[#This Row],[OrderDate]])</f>
        <v>643</v>
      </c>
      <c r="AA426"/>
    </row>
    <row r="427" spans="1:27">
      <c r="A427" t="s">
        <v>3210</v>
      </c>
      <c r="B427" t="s">
        <v>2494</v>
      </c>
      <c r="C427" t="s">
        <v>3331</v>
      </c>
      <c r="D427" t="str">
        <f>TEXT(orders[[#This Row],[OrderDate]], "YYYY-MM")</f>
        <v>2023-08</v>
      </c>
      <c r="E427" t="s">
        <v>2785</v>
      </c>
      <c r="F427" s="1">
        <v>45159</v>
      </c>
      <c r="I427">
        <v>1</v>
      </c>
      <c r="J427">
        <v>38999</v>
      </c>
      <c r="K427">
        <v>5</v>
      </c>
      <c r="L427">
        <v>1949.95</v>
      </c>
      <c r="M427">
        <v>37049.050000000003</v>
      </c>
      <c r="N427">
        <v>10049.049999999999</v>
      </c>
      <c r="O427" t="s">
        <v>2781</v>
      </c>
      <c r="P427" t="s">
        <v>2770</v>
      </c>
      <c r="Q427" t="s">
        <v>2751</v>
      </c>
      <c r="R427" t="s">
        <v>188</v>
      </c>
      <c r="T427">
        <v>2023</v>
      </c>
      <c r="U427" t="s">
        <v>2773</v>
      </c>
      <c r="V427" t="s">
        <v>2774</v>
      </c>
      <c r="X42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27" t="str">
        <f>IF(orders[[#This Row],[Revenue]]&gt;AVERAGE(orders[Revenue])+3*STDEV(orders[Revenue]),"High Outlier",
 IF(orders[[#This Row],[Revenue]]&lt;AVERAGE(orders[Revenue])-3*STDEV(orders[Revenue]),"Low Outlier",
 "Normal"))</f>
        <v>Normal</v>
      </c>
      <c r="Z427">
        <f ca="1" xml:space="preserve"> _xlfn.DAYS(TODAY(), orders[[#This Row],[OrderDate]])</f>
        <v>983</v>
      </c>
      <c r="AA427"/>
    </row>
    <row r="428" spans="1:27">
      <c r="A428" t="s">
        <v>3211</v>
      </c>
      <c r="B428" t="s">
        <v>2183</v>
      </c>
      <c r="C428" t="s">
        <v>3390</v>
      </c>
      <c r="D428" t="str">
        <f>TEXT(orders[[#This Row],[OrderDate]], "YYYY-MM")</f>
        <v>2024-01</v>
      </c>
      <c r="E428" t="s">
        <v>2804</v>
      </c>
      <c r="F428" s="1">
        <v>45317</v>
      </c>
      <c r="G428" s="1">
        <v>45324</v>
      </c>
      <c r="H428" s="1">
        <v>45324</v>
      </c>
      <c r="I428">
        <v>5</v>
      </c>
      <c r="J428">
        <v>54999</v>
      </c>
      <c r="K428">
        <v>10</v>
      </c>
      <c r="L428">
        <v>27499.5</v>
      </c>
      <c r="M428">
        <v>247495.5</v>
      </c>
      <c r="N428">
        <v>57495.5</v>
      </c>
      <c r="O428" t="s">
        <v>2749</v>
      </c>
      <c r="P428" t="s">
        <v>2770</v>
      </c>
      <c r="Q428" t="s">
        <v>2751</v>
      </c>
      <c r="R428" t="s">
        <v>46</v>
      </c>
      <c r="S428">
        <v>2</v>
      </c>
      <c r="T428">
        <v>2024</v>
      </c>
      <c r="U428" t="s">
        <v>2795</v>
      </c>
      <c r="V428" t="s">
        <v>2753</v>
      </c>
      <c r="W428">
        <v>7</v>
      </c>
      <c r="X42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28" t="str">
        <f>IF(orders[[#This Row],[Revenue]]&gt;AVERAGE(orders[Revenue])+3*STDEV(orders[Revenue]),"High Outlier",
 IF(orders[[#This Row],[Revenue]]&lt;AVERAGE(orders[Revenue])-3*STDEV(orders[Revenue]),"Low Outlier",
 "Normal"))</f>
        <v>Normal</v>
      </c>
      <c r="Z428">
        <f ca="1" xml:space="preserve"> _xlfn.DAYS(TODAY(), orders[[#This Row],[OrderDate]])</f>
        <v>825</v>
      </c>
      <c r="AA428"/>
    </row>
    <row r="429" spans="1:27">
      <c r="A429" t="s">
        <v>3212</v>
      </c>
      <c r="B429" t="s">
        <v>856</v>
      </c>
      <c r="C429" t="s">
        <v>3336</v>
      </c>
      <c r="D429" t="str">
        <f>TEXT(orders[[#This Row],[OrderDate]], "YYYY-MM")</f>
        <v>2024-08</v>
      </c>
      <c r="E429" t="s">
        <v>2776</v>
      </c>
      <c r="F429" s="1">
        <v>45508</v>
      </c>
      <c r="G429" s="1">
        <v>45509</v>
      </c>
      <c r="H429" s="1">
        <v>45512</v>
      </c>
      <c r="I429">
        <v>4</v>
      </c>
      <c r="J429">
        <v>26990</v>
      </c>
      <c r="K429">
        <v>10</v>
      </c>
      <c r="L429">
        <v>10796</v>
      </c>
      <c r="M429">
        <v>97164</v>
      </c>
      <c r="N429">
        <v>25164</v>
      </c>
      <c r="O429" t="s">
        <v>2749</v>
      </c>
      <c r="P429" t="s">
        <v>2778</v>
      </c>
      <c r="Q429" t="s">
        <v>2751</v>
      </c>
      <c r="R429" t="s">
        <v>35</v>
      </c>
      <c r="S429">
        <v>2</v>
      </c>
      <c r="T429">
        <v>2024</v>
      </c>
      <c r="U429" t="s">
        <v>2773</v>
      </c>
      <c r="V429" t="s">
        <v>2774</v>
      </c>
      <c r="W429">
        <v>1</v>
      </c>
      <c r="X42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29" t="str">
        <f>IF(orders[[#This Row],[Revenue]]&gt;AVERAGE(orders[Revenue])+3*STDEV(orders[Revenue]),"High Outlier",
 IF(orders[[#This Row],[Revenue]]&lt;AVERAGE(orders[Revenue])-3*STDEV(orders[Revenue]),"Low Outlier",
 "Normal"))</f>
        <v>Normal</v>
      </c>
      <c r="Z429">
        <f ca="1" xml:space="preserve"> _xlfn.DAYS(TODAY(), orders[[#This Row],[OrderDate]])</f>
        <v>634</v>
      </c>
      <c r="AA429"/>
    </row>
    <row r="430" spans="1:27">
      <c r="A430" t="s">
        <v>3213</v>
      </c>
      <c r="B430" t="s">
        <v>1244</v>
      </c>
      <c r="C430" t="s">
        <v>3307</v>
      </c>
      <c r="D430" t="str">
        <f>TEXT(orders[[#This Row],[OrderDate]], "YYYY-MM")</f>
        <v>2023-05</v>
      </c>
      <c r="E430" t="s">
        <v>2809</v>
      </c>
      <c r="F430" s="1">
        <v>45075</v>
      </c>
      <c r="G430" s="1">
        <v>45081</v>
      </c>
      <c r="H430" s="1">
        <v>45082</v>
      </c>
      <c r="I430">
        <v>3</v>
      </c>
      <c r="J430">
        <v>69999</v>
      </c>
      <c r="K430">
        <v>15</v>
      </c>
      <c r="L430">
        <v>31499.55</v>
      </c>
      <c r="M430">
        <v>178497.45</v>
      </c>
      <c r="N430">
        <v>34497.449999999997</v>
      </c>
      <c r="O430" t="s">
        <v>2749</v>
      </c>
      <c r="P430" t="s">
        <v>2770</v>
      </c>
      <c r="Q430" t="s">
        <v>2751</v>
      </c>
      <c r="R430" t="s">
        <v>24</v>
      </c>
      <c r="S430">
        <v>1</v>
      </c>
      <c r="T430">
        <v>2023</v>
      </c>
      <c r="U430" t="s">
        <v>2766</v>
      </c>
      <c r="V430" t="s">
        <v>2767</v>
      </c>
      <c r="W430">
        <v>6</v>
      </c>
      <c r="X43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30" t="str">
        <f>IF(orders[[#This Row],[Revenue]]&gt;AVERAGE(orders[Revenue])+3*STDEV(orders[Revenue]),"High Outlier",
 IF(orders[[#This Row],[Revenue]]&lt;AVERAGE(orders[Revenue])-3*STDEV(orders[Revenue]),"Low Outlier",
 "Normal"))</f>
        <v>Normal</v>
      </c>
      <c r="Z430">
        <f ca="1" xml:space="preserve"> _xlfn.DAYS(TODAY(), orders[[#This Row],[OrderDate]])</f>
        <v>1067</v>
      </c>
      <c r="AA430"/>
    </row>
    <row r="431" spans="1:27">
      <c r="A431" t="s">
        <v>3214</v>
      </c>
      <c r="B431" t="s">
        <v>342</v>
      </c>
      <c r="C431" t="s">
        <v>3390</v>
      </c>
      <c r="D431" t="str">
        <f>TEXT(orders[[#This Row],[OrderDate]], "YYYY-MM")</f>
        <v>2024-06</v>
      </c>
      <c r="E431" t="s">
        <v>2804</v>
      </c>
      <c r="F431" s="1">
        <v>45458</v>
      </c>
      <c r="G431" s="1">
        <v>45462</v>
      </c>
      <c r="H431" s="1">
        <v>45464</v>
      </c>
      <c r="I431">
        <v>2</v>
      </c>
      <c r="J431">
        <v>54999</v>
      </c>
      <c r="K431">
        <v>0</v>
      </c>
      <c r="L431">
        <v>0</v>
      </c>
      <c r="M431">
        <v>109998</v>
      </c>
      <c r="N431">
        <v>33998</v>
      </c>
      <c r="O431" t="s">
        <v>2749</v>
      </c>
      <c r="P431" t="s">
        <v>2757</v>
      </c>
      <c r="Q431" t="s">
        <v>2758</v>
      </c>
      <c r="R431" t="s">
        <v>46</v>
      </c>
      <c r="S431">
        <v>1</v>
      </c>
      <c r="T431">
        <v>2024</v>
      </c>
      <c r="U431" t="s">
        <v>2771</v>
      </c>
      <c r="V431" t="s">
        <v>2767</v>
      </c>
      <c r="W431">
        <v>4</v>
      </c>
      <c r="X43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31" t="str">
        <f>IF(orders[[#This Row],[Revenue]]&gt;AVERAGE(orders[Revenue])+3*STDEV(orders[Revenue]),"High Outlier",
 IF(orders[[#This Row],[Revenue]]&lt;AVERAGE(orders[Revenue])-3*STDEV(orders[Revenue]),"Low Outlier",
 "Normal"))</f>
        <v>Normal</v>
      </c>
      <c r="Z431">
        <f ca="1" xml:space="preserve"> _xlfn.DAYS(TODAY(), orders[[#This Row],[OrderDate]])</f>
        <v>684</v>
      </c>
      <c r="AA431"/>
    </row>
    <row r="432" spans="1:27">
      <c r="A432" t="s">
        <v>3215</v>
      </c>
      <c r="B432" t="s">
        <v>637</v>
      </c>
      <c r="C432" t="s">
        <v>3350</v>
      </c>
      <c r="D432" t="str">
        <f>TEXT(orders[[#This Row],[OrderDate]], "YYYY-MM")</f>
        <v>2024-12</v>
      </c>
      <c r="E432" t="s">
        <v>2809</v>
      </c>
      <c r="F432" s="1">
        <v>45656</v>
      </c>
      <c r="I432">
        <v>4</v>
      </c>
      <c r="J432">
        <v>12999</v>
      </c>
      <c r="K432">
        <v>0</v>
      </c>
      <c r="L432">
        <v>0</v>
      </c>
      <c r="M432">
        <v>51996</v>
      </c>
      <c r="N432">
        <v>19996</v>
      </c>
      <c r="O432" t="s">
        <v>2781</v>
      </c>
      <c r="P432" t="s">
        <v>2757</v>
      </c>
      <c r="Q432" t="s">
        <v>2762</v>
      </c>
      <c r="R432" t="s">
        <v>24</v>
      </c>
      <c r="T432">
        <v>2024</v>
      </c>
      <c r="U432" t="s">
        <v>2763</v>
      </c>
      <c r="V432" t="s">
        <v>2764</v>
      </c>
      <c r="X43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32" t="str">
        <f>IF(orders[[#This Row],[Revenue]]&gt;AVERAGE(orders[Revenue])+3*STDEV(orders[Revenue]),"High Outlier",
 IF(orders[[#This Row],[Revenue]]&lt;AVERAGE(orders[Revenue])-3*STDEV(orders[Revenue]),"Low Outlier",
 "Normal"))</f>
        <v>Normal</v>
      </c>
      <c r="Z432">
        <f ca="1" xml:space="preserve"> _xlfn.DAYS(TODAY(), orders[[#This Row],[OrderDate]])</f>
        <v>486</v>
      </c>
      <c r="AA432"/>
    </row>
    <row r="433" spans="1:27">
      <c r="A433" t="s">
        <v>3216</v>
      </c>
      <c r="B433" t="s">
        <v>1966</v>
      </c>
      <c r="C433" t="s">
        <v>3345</v>
      </c>
      <c r="D433" t="str">
        <f>TEXT(orders[[#This Row],[OrderDate]], "YYYY-MM")</f>
        <v>2024-06</v>
      </c>
      <c r="E433" t="s">
        <v>2809</v>
      </c>
      <c r="F433" s="1">
        <v>45464</v>
      </c>
      <c r="G433" s="1">
        <v>45466</v>
      </c>
      <c r="H433" s="1">
        <v>45467</v>
      </c>
      <c r="I433">
        <v>1</v>
      </c>
      <c r="J433">
        <v>29900</v>
      </c>
      <c r="K433">
        <v>20</v>
      </c>
      <c r="L433">
        <v>5980</v>
      </c>
      <c r="M433">
        <v>23920</v>
      </c>
      <c r="N433">
        <v>3920</v>
      </c>
      <c r="O433" t="s">
        <v>2749</v>
      </c>
      <c r="P433" t="s">
        <v>2782</v>
      </c>
      <c r="Q433" t="s">
        <v>2751</v>
      </c>
      <c r="R433" t="s">
        <v>24</v>
      </c>
      <c r="S433">
        <v>1</v>
      </c>
      <c r="T433">
        <v>2024</v>
      </c>
      <c r="U433" t="s">
        <v>2771</v>
      </c>
      <c r="V433" t="s">
        <v>2767</v>
      </c>
      <c r="W433">
        <v>2</v>
      </c>
      <c r="X43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33" t="str">
        <f>IF(orders[[#This Row],[Revenue]]&gt;AVERAGE(orders[Revenue])+3*STDEV(orders[Revenue]),"High Outlier",
 IF(orders[[#This Row],[Revenue]]&lt;AVERAGE(orders[Revenue])-3*STDEV(orders[Revenue]),"Low Outlier",
 "Normal"))</f>
        <v>Normal</v>
      </c>
      <c r="Z433">
        <f ca="1" xml:space="preserve"> _xlfn.DAYS(TODAY(), orders[[#This Row],[OrderDate]])</f>
        <v>678</v>
      </c>
      <c r="AA433"/>
    </row>
    <row r="434" spans="1:27">
      <c r="A434" t="s">
        <v>3217</v>
      </c>
      <c r="B434" t="s">
        <v>2370</v>
      </c>
      <c r="C434" t="s">
        <v>3405</v>
      </c>
      <c r="D434" t="str">
        <f>TEXT(orders[[#This Row],[OrderDate]], "YYYY-MM")</f>
        <v>2024-03</v>
      </c>
      <c r="E434" t="s">
        <v>2804</v>
      </c>
      <c r="F434" s="1">
        <v>45361</v>
      </c>
      <c r="I434">
        <v>3</v>
      </c>
      <c r="J434">
        <v>8495</v>
      </c>
      <c r="K434">
        <v>15</v>
      </c>
      <c r="L434">
        <v>3822.75</v>
      </c>
      <c r="M434">
        <v>21662.25</v>
      </c>
      <c r="N434">
        <v>5162.25</v>
      </c>
      <c r="O434" t="s">
        <v>2781</v>
      </c>
      <c r="P434" t="s">
        <v>2757</v>
      </c>
      <c r="Q434" t="s">
        <v>2758</v>
      </c>
      <c r="R434" t="s">
        <v>46</v>
      </c>
      <c r="T434">
        <v>2024</v>
      </c>
      <c r="U434" t="s">
        <v>2752</v>
      </c>
      <c r="V434" t="s">
        <v>2753</v>
      </c>
      <c r="X43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34" t="str">
        <f>IF(orders[[#This Row],[Revenue]]&gt;AVERAGE(orders[Revenue])+3*STDEV(orders[Revenue]),"High Outlier",
 IF(orders[[#This Row],[Revenue]]&lt;AVERAGE(orders[Revenue])-3*STDEV(orders[Revenue]),"Low Outlier",
 "Normal"))</f>
        <v>Normal</v>
      </c>
      <c r="Z434">
        <f ca="1" xml:space="preserve"> _xlfn.DAYS(TODAY(), orders[[#This Row],[OrderDate]])</f>
        <v>781</v>
      </c>
      <c r="AA434"/>
    </row>
    <row r="435" spans="1:27">
      <c r="A435" t="s">
        <v>3218</v>
      </c>
      <c r="B435" t="s">
        <v>37</v>
      </c>
      <c r="C435" t="s">
        <v>3307</v>
      </c>
      <c r="D435" t="str">
        <f>TEXT(orders[[#This Row],[OrderDate]], "YYYY-MM")</f>
        <v>2023-02</v>
      </c>
      <c r="E435" t="s">
        <v>2769</v>
      </c>
      <c r="F435" s="1">
        <v>44975</v>
      </c>
      <c r="G435" s="1">
        <v>44978</v>
      </c>
      <c r="H435" s="1">
        <v>44979</v>
      </c>
      <c r="I435">
        <v>2</v>
      </c>
      <c r="J435">
        <v>69999</v>
      </c>
      <c r="K435">
        <v>0</v>
      </c>
      <c r="L435">
        <v>0</v>
      </c>
      <c r="M435">
        <v>139998</v>
      </c>
      <c r="N435">
        <v>43998</v>
      </c>
      <c r="O435" t="s">
        <v>2749</v>
      </c>
      <c r="P435" t="s">
        <v>2757</v>
      </c>
      <c r="Q435" t="s">
        <v>2751</v>
      </c>
      <c r="R435" t="s">
        <v>46</v>
      </c>
      <c r="S435">
        <v>1</v>
      </c>
      <c r="T435">
        <v>2023</v>
      </c>
      <c r="U435" t="s">
        <v>2759</v>
      </c>
      <c r="V435" t="s">
        <v>2753</v>
      </c>
      <c r="W435">
        <v>3</v>
      </c>
      <c r="X43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35" t="str">
        <f>IF(orders[[#This Row],[Revenue]]&gt;AVERAGE(orders[Revenue])+3*STDEV(orders[Revenue]),"High Outlier",
 IF(orders[[#This Row],[Revenue]]&lt;AVERAGE(orders[Revenue])-3*STDEV(orders[Revenue]),"Low Outlier",
 "Normal"))</f>
        <v>Normal</v>
      </c>
      <c r="Z435">
        <f ca="1" xml:space="preserve"> _xlfn.DAYS(TODAY(), orders[[#This Row],[OrderDate]])</f>
        <v>1167</v>
      </c>
      <c r="AA435"/>
    </row>
    <row r="436" spans="1:27">
      <c r="A436" t="s">
        <v>3219</v>
      </c>
      <c r="B436" t="s">
        <v>87</v>
      </c>
      <c r="C436" t="s">
        <v>3356</v>
      </c>
      <c r="D436" t="str">
        <f>TEXT(orders[[#This Row],[OrderDate]], "YYYY-MM")</f>
        <v>2022-05</v>
      </c>
      <c r="E436" t="s">
        <v>2804</v>
      </c>
      <c r="F436" s="1">
        <v>44691</v>
      </c>
      <c r="G436" s="1">
        <v>44692</v>
      </c>
      <c r="H436" s="1">
        <v>44693</v>
      </c>
      <c r="I436">
        <v>2</v>
      </c>
      <c r="J436">
        <v>9999</v>
      </c>
      <c r="K436">
        <v>0</v>
      </c>
      <c r="L436">
        <v>0</v>
      </c>
      <c r="M436">
        <v>19998</v>
      </c>
      <c r="N436">
        <v>6998</v>
      </c>
      <c r="O436" t="s">
        <v>2749</v>
      </c>
      <c r="P436" t="s">
        <v>2770</v>
      </c>
      <c r="Q436" t="s">
        <v>2758</v>
      </c>
      <c r="R436" t="s">
        <v>46</v>
      </c>
      <c r="S436">
        <v>1</v>
      </c>
      <c r="T436">
        <v>2022</v>
      </c>
      <c r="U436" t="s">
        <v>2766</v>
      </c>
      <c r="V436" t="s">
        <v>2767</v>
      </c>
      <c r="W436">
        <v>1</v>
      </c>
      <c r="X43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36" t="str">
        <f>IF(orders[[#This Row],[Revenue]]&gt;AVERAGE(orders[Revenue])+3*STDEV(orders[Revenue]),"High Outlier",
 IF(orders[[#This Row],[Revenue]]&lt;AVERAGE(orders[Revenue])-3*STDEV(orders[Revenue]),"Low Outlier",
 "Normal"))</f>
        <v>Normal</v>
      </c>
      <c r="Z436">
        <f ca="1" xml:space="preserve"> _xlfn.DAYS(TODAY(), orders[[#This Row],[OrderDate]])</f>
        <v>1451</v>
      </c>
      <c r="AA436"/>
    </row>
    <row r="437" spans="1:27">
      <c r="A437" t="s">
        <v>3220</v>
      </c>
      <c r="B437" t="s">
        <v>2317</v>
      </c>
      <c r="C437" t="s">
        <v>3356</v>
      </c>
      <c r="D437" t="str">
        <f>TEXT(orders[[#This Row],[OrderDate]], "YYYY-MM")</f>
        <v>2023-01</v>
      </c>
      <c r="E437" t="s">
        <v>2813</v>
      </c>
      <c r="F437" s="1">
        <v>44950</v>
      </c>
      <c r="I437">
        <v>2</v>
      </c>
      <c r="J437">
        <v>9999</v>
      </c>
      <c r="K437">
        <v>20</v>
      </c>
      <c r="L437">
        <v>3999.6</v>
      </c>
      <c r="M437">
        <v>15998.4</v>
      </c>
      <c r="N437">
        <v>2998.4</v>
      </c>
      <c r="O437" t="s">
        <v>2756</v>
      </c>
      <c r="P437" t="s">
        <v>2770</v>
      </c>
      <c r="Q437" t="s">
        <v>2751</v>
      </c>
      <c r="R437" t="s">
        <v>76</v>
      </c>
      <c r="T437">
        <v>2023</v>
      </c>
      <c r="U437" t="s">
        <v>2795</v>
      </c>
      <c r="V437" t="s">
        <v>2753</v>
      </c>
      <c r="X43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37" t="str">
        <f>IF(orders[[#This Row],[Revenue]]&gt;AVERAGE(orders[Revenue])+3*STDEV(orders[Revenue]),"High Outlier",
 IF(orders[[#This Row],[Revenue]]&lt;AVERAGE(orders[Revenue])-3*STDEV(orders[Revenue]),"Low Outlier",
 "Normal"))</f>
        <v>Normal</v>
      </c>
      <c r="Z437">
        <f ca="1" xml:space="preserve"> _xlfn.DAYS(TODAY(), orders[[#This Row],[OrderDate]])</f>
        <v>1192</v>
      </c>
      <c r="AA437"/>
    </row>
    <row r="438" spans="1:27">
      <c r="A438" t="s">
        <v>3221</v>
      </c>
      <c r="B438" t="s">
        <v>464</v>
      </c>
      <c r="C438" t="s">
        <v>3340</v>
      </c>
      <c r="D438" t="str">
        <f>TEXT(orders[[#This Row],[OrderDate]], "YYYY-MM")</f>
        <v>2022-08</v>
      </c>
      <c r="E438" t="s">
        <v>2748</v>
      </c>
      <c r="F438" s="1">
        <v>44778</v>
      </c>
      <c r="G438" s="1">
        <v>44781</v>
      </c>
      <c r="H438" s="1">
        <v>44782</v>
      </c>
      <c r="I438">
        <v>1</v>
      </c>
      <c r="J438">
        <v>6999</v>
      </c>
      <c r="K438">
        <v>10</v>
      </c>
      <c r="L438">
        <v>699.9</v>
      </c>
      <c r="M438">
        <v>6299.1</v>
      </c>
      <c r="N438">
        <v>2099.1</v>
      </c>
      <c r="O438" t="s">
        <v>2749</v>
      </c>
      <c r="P438" t="s">
        <v>2778</v>
      </c>
      <c r="Q438" t="s">
        <v>2794</v>
      </c>
      <c r="R438" t="s">
        <v>188</v>
      </c>
      <c r="S438">
        <v>1</v>
      </c>
      <c r="T438">
        <v>2022</v>
      </c>
      <c r="U438" t="s">
        <v>2773</v>
      </c>
      <c r="V438" t="s">
        <v>2774</v>
      </c>
      <c r="W438">
        <v>3</v>
      </c>
      <c r="X43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38" t="str">
        <f>IF(orders[[#This Row],[Revenue]]&gt;AVERAGE(orders[Revenue])+3*STDEV(orders[Revenue]),"High Outlier",
 IF(orders[[#This Row],[Revenue]]&lt;AVERAGE(orders[Revenue])-3*STDEV(orders[Revenue]),"Low Outlier",
 "Normal"))</f>
        <v>Normal</v>
      </c>
      <c r="Z438">
        <f ca="1" xml:space="preserve"> _xlfn.DAYS(TODAY(), orders[[#This Row],[OrderDate]])</f>
        <v>1364</v>
      </c>
      <c r="AA438"/>
    </row>
    <row r="439" spans="1:27">
      <c r="A439" t="s">
        <v>3222</v>
      </c>
      <c r="B439" t="s">
        <v>1224</v>
      </c>
      <c r="C439" t="s">
        <v>3336</v>
      </c>
      <c r="D439" t="str">
        <f>TEXT(orders[[#This Row],[OrderDate]], "YYYY-MM")</f>
        <v>2023-03</v>
      </c>
      <c r="E439" t="s">
        <v>2755</v>
      </c>
      <c r="F439" s="1">
        <v>45012</v>
      </c>
      <c r="G439" s="1">
        <v>45018</v>
      </c>
      <c r="H439" s="1">
        <v>45020</v>
      </c>
      <c r="I439">
        <v>5</v>
      </c>
      <c r="J439">
        <v>26990</v>
      </c>
      <c r="K439">
        <v>10</v>
      </c>
      <c r="L439">
        <v>13495</v>
      </c>
      <c r="M439">
        <v>121455</v>
      </c>
      <c r="N439">
        <v>31455</v>
      </c>
      <c r="O439" t="s">
        <v>2749</v>
      </c>
      <c r="P439" t="s">
        <v>2757</v>
      </c>
      <c r="Q439" t="s">
        <v>2762</v>
      </c>
      <c r="R439" t="s">
        <v>24</v>
      </c>
      <c r="S439">
        <v>2</v>
      </c>
      <c r="T439">
        <v>2023</v>
      </c>
      <c r="U439" t="s">
        <v>2752</v>
      </c>
      <c r="V439" t="s">
        <v>2753</v>
      </c>
      <c r="W439">
        <v>6</v>
      </c>
      <c r="X43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39" t="str">
        <f>IF(orders[[#This Row],[Revenue]]&gt;AVERAGE(orders[Revenue])+3*STDEV(orders[Revenue]),"High Outlier",
 IF(orders[[#This Row],[Revenue]]&lt;AVERAGE(orders[Revenue])-3*STDEV(orders[Revenue]),"Low Outlier",
 "Normal"))</f>
        <v>Normal</v>
      </c>
      <c r="Z439">
        <f ca="1" xml:space="preserve"> _xlfn.DAYS(TODAY(), orders[[#This Row],[OrderDate]])</f>
        <v>1130</v>
      </c>
      <c r="AA439"/>
    </row>
    <row r="440" spans="1:27">
      <c r="A440" t="s">
        <v>3223</v>
      </c>
      <c r="B440" t="s">
        <v>1280</v>
      </c>
      <c r="C440" t="s">
        <v>3350</v>
      </c>
      <c r="D440" t="str">
        <f>TEXT(orders[[#This Row],[OrderDate]], "YYYY-MM")</f>
        <v>2022-07</v>
      </c>
      <c r="E440" t="s">
        <v>2785</v>
      </c>
      <c r="F440" s="1">
        <v>44770</v>
      </c>
      <c r="I440">
        <v>5</v>
      </c>
      <c r="J440">
        <v>12999</v>
      </c>
      <c r="K440">
        <v>0</v>
      </c>
      <c r="L440">
        <v>0</v>
      </c>
      <c r="M440">
        <v>64995</v>
      </c>
      <c r="N440">
        <v>24995</v>
      </c>
      <c r="O440" t="s">
        <v>2781</v>
      </c>
      <c r="P440" t="s">
        <v>2750</v>
      </c>
      <c r="Q440" t="s">
        <v>2762</v>
      </c>
      <c r="R440" t="s">
        <v>188</v>
      </c>
      <c r="T440">
        <v>2022</v>
      </c>
      <c r="U440" t="s">
        <v>2792</v>
      </c>
      <c r="V440" t="s">
        <v>2774</v>
      </c>
      <c r="X44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40" t="str">
        <f>IF(orders[[#This Row],[Revenue]]&gt;AVERAGE(orders[Revenue])+3*STDEV(orders[Revenue]),"High Outlier",
 IF(orders[[#This Row],[Revenue]]&lt;AVERAGE(orders[Revenue])-3*STDEV(orders[Revenue]),"Low Outlier",
 "Normal"))</f>
        <v>Normal</v>
      </c>
      <c r="Z440">
        <f ca="1" xml:space="preserve"> _xlfn.DAYS(TODAY(), orders[[#This Row],[OrderDate]])</f>
        <v>1372</v>
      </c>
      <c r="AA440"/>
    </row>
    <row r="441" spans="1:27">
      <c r="A441" t="s">
        <v>3224</v>
      </c>
      <c r="B441" t="s">
        <v>1770</v>
      </c>
      <c r="C441" t="s">
        <v>3356</v>
      </c>
      <c r="D441" t="str">
        <f>TEXT(orders[[#This Row],[OrderDate]], "YYYY-MM")</f>
        <v>2022-09</v>
      </c>
      <c r="E441" t="s">
        <v>2755</v>
      </c>
      <c r="F441" s="1">
        <v>44834</v>
      </c>
      <c r="G441" s="1">
        <v>44836</v>
      </c>
      <c r="H441" s="1">
        <v>44838</v>
      </c>
      <c r="I441">
        <v>4</v>
      </c>
      <c r="J441">
        <v>9999</v>
      </c>
      <c r="K441">
        <v>0</v>
      </c>
      <c r="L441">
        <v>0</v>
      </c>
      <c r="M441">
        <v>39996</v>
      </c>
      <c r="N441">
        <v>13996</v>
      </c>
      <c r="O441" t="s">
        <v>2749</v>
      </c>
      <c r="P441" t="s">
        <v>2750</v>
      </c>
      <c r="Q441" t="s">
        <v>2762</v>
      </c>
      <c r="R441" t="s">
        <v>24</v>
      </c>
      <c r="S441">
        <v>5</v>
      </c>
      <c r="T441">
        <v>2022</v>
      </c>
      <c r="U441" t="s">
        <v>2790</v>
      </c>
      <c r="V441" t="s">
        <v>2774</v>
      </c>
      <c r="W441">
        <v>2</v>
      </c>
      <c r="X44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41" t="str">
        <f>IF(orders[[#This Row],[Revenue]]&gt;AVERAGE(orders[Revenue])+3*STDEV(orders[Revenue]),"High Outlier",
 IF(orders[[#This Row],[Revenue]]&lt;AVERAGE(orders[Revenue])-3*STDEV(orders[Revenue]),"Low Outlier",
 "Normal"))</f>
        <v>Normal</v>
      </c>
      <c r="Z441">
        <f ca="1" xml:space="preserve"> _xlfn.DAYS(TODAY(), orders[[#This Row],[OrderDate]])</f>
        <v>1308</v>
      </c>
      <c r="AA441"/>
    </row>
    <row r="442" spans="1:27">
      <c r="A442" t="s">
        <v>3225</v>
      </c>
      <c r="B442" t="s">
        <v>2559</v>
      </c>
      <c r="C442" t="s">
        <v>3394</v>
      </c>
      <c r="D442" t="str">
        <f>TEXT(orders[[#This Row],[OrderDate]], "YYYY-MM")</f>
        <v>2024-02</v>
      </c>
      <c r="E442" t="s">
        <v>2769</v>
      </c>
      <c r="F442" s="1">
        <v>45345</v>
      </c>
      <c r="I442">
        <v>2</v>
      </c>
      <c r="J442">
        <v>2499</v>
      </c>
      <c r="K442">
        <v>20</v>
      </c>
      <c r="L442">
        <v>999.6</v>
      </c>
      <c r="M442">
        <v>3998.4</v>
      </c>
      <c r="N442">
        <v>1598.4</v>
      </c>
      <c r="O442" t="s">
        <v>2756</v>
      </c>
      <c r="P442" t="s">
        <v>2761</v>
      </c>
      <c r="Q442" t="s">
        <v>2762</v>
      </c>
      <c r="R442" t="s">
        <v>46</v>
      </c>
      <c r="T442">
        <v>2024</v>
      </c>
      <c r="U442" t="s">
        <v>2759</v>
      </c>
      <c r="V442" t="s">
        <v>2753</v>
      </c>
      <c r="X44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42" t="str">
        <f>IF(orders[[#This Row],[Revenue]]&gt;AVERAGE(orders[Revenue])+3*STDEV(orders[Revenue]),"High Outlier",
 IF(orders[[#This Row],[Revenue]]&lt;AVERAGE(orders[Revenue])-3*STDEV(orders[Revenue]),"Low Outlier",
 "Normal"))</f>
        <v>Normal</v>
      </c>
      <c r="Z442">
        <f ca="1" xml:space="preserve"> _xlfn.DAYS(TODAY(), orders[[#This Row],[OrderDate]])</f>
        <v>797</v>
      </c>
      <c r="AA442"/>
    </row>
    <row r="443" spans="1:27">
      <c r="A443" t="s">
        <v>3226</v>
      </c>
      <c r="B443" t="s">
        <v>798</v>
      </c>
      <c r="C443" t="s">
        <v>3298</v>
      </c>
      <c r="D443" t="str">
        <f>TEXT(orders[[#This Row],[OrderDate]], "YYYY-MM")</f>
        <v>2023-09</v>
      </c>
      <c r="E443" t="s">
        <v>2813</v>
      </c>
      <c r="F443" s="1">
        <v>45194</v>
      </c>
      <c r="G443" s="1">
        <v>45200</v>
      </c>
      <c r="H443" s="1">
        <v>45203</v>
      </c>
      <c r="I443">
        <v>2</v>
      </c>
      <c r="J443">
        <v>79999</v>
      </c>
      <c r="K443">
        <v>0</v>
      </c>
      <c r="L443">
        <v>0</v>
      </c>
      <c r="M443">
        <v>159998</v>
      </c>
      <c r="N443">
        <v>49998</v>
      </c>
      <c r="O443" t="s">
        <v>2749</v>
      </c>
      <c r="P443" t="s">
        <v>2757</v>
      </c>
      <c r="Q443" t="s">
        <v>2779</v>
      </c>
      <c r="R443" t="s">
        <v>76</v>
      </c>
      <c r="S443">
        <v>3</v>
      </c>
      <c r="T443">
        <v>2023</v>
      </c>
      <c r="U443" t="s">
        <v>2790</v>
      </c>
      <c r="V443" t="s">
        <v>2774</v>
      </c>
      <c r="W443">
        <v>6</v>
      </c>
      <c r="X44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43" t="str">
        <f>IF(orders[[#This Row],[Revenue]]&gt;AVERAGE(orders[Revenue])+3*STDEV(orders[Revenue]),"High Outlier",
 IF(orders[[#This Row],[Revenue]]&lt;AVERAGE(orders[Revenue])-3*STDEV(orders[Revenue]),"Low Outlier",
 "Normal"))</f>
        <v>Normal</v>
      </c>
      <c r="Z443">
        <f ca="1" xml:space="preserve"> _xlfn.DAYS(TODAY(), orders[[#This Row],[OrderDate]])</f>
        <v>948</v>
      </c>
      <c r="AA443"/>
    </row>
    <row r="444" spans="1:27">
      <c r="A444" t="s">
        <v>3227</v>
      </c>
      <c r="B444" t="s">
        <v>1508</v>
      </c>
      <c r="C444" t="s">
        <v>3350</v>
      </c>
      <c r="D444" t="str">
        <f>TEXT(orders[[#This Row],[OrderDate]], "YYYY-MM")</f>
        <v>2022-11</v>
      </c>
      <c r="E444" t="s">
        <v>2748</v>
      </c>
      <c r="F444" s="1">
        <v>44872</v>
      </c>
      <c r="G444" s="1">
        <v>44874</v>
      </c>
      <c r="H444" s="1">
        <v>44874</v>
      </c>
      <c r="I444">
        <v>2</v>
      </c>
      <c r="J444">
        <v>12999</v>
      </c>
      <c r="K444">
        <v>15</v>
      </c>
      <c r="L444">
        <v>3899.7</v>
      </c>
      <c r="M444">
        <v>22098.3</v>
      </c>
      <c r="N444">
        <v>6098.3</v>
      </c>
      <c r="O444" t="s">
        <v>2749</v>
      </c>
      <c r="P444" t="s">
        <v>2778</v>
      </c>
      <c r="Q444" t="s">
        <v>2794</v>
      </c>
      <c r="R444" t="s">
        <v>188</v>
      </c>
      <c r="S444">
        <v>2</v>
      </c>
      <c r="T444">
        <v>2022</v>
      </c>
      <c r="U444" t="s">
        <v>2786</v>
      </c>
      <c r="V444" t="s">
        <v>2764</v>
      </c>
      <c r="W444">
        <v>2</v>
      </c>
      <c r="X44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44" t="str">
        <f>IF(orders[[#This Row],[Revenue]]&gt;AVERAGE(orders[Revenue])+3*STDEV(orders[Revenue]),"High Outlier",
 IF(orders[[#This Row],[Revenue]]&lt;AVERAGE(orders[Revenue])-3*STDEV(orders[Revenue]),"Low Outlier",
 "Normal"))</f>
        <v>Normal</v>
      </c>
      <c r="Z444">
        <f ca="1" xml:space="preserve"> _xlfn.DAYS(TODAY(), orders[[#This Row],[OrderDate]])</f>
        <v>1270</v>
      </c>
      <c r="AA444"/>
    </row>
    <row r="445" spans="1:27">
      <c r="A445" t="s">
        <v>3228</v>
      </c>
      <c r="B445" t="s">
        <v>928</v>
      </c>
      <c r="C445" t="s">
        <v>3356</v>
      </c>
      <c r="D445" t="str">
        <f>TEXT(orders[[#This Row],[OrderDate]], "YYYY-MM")</f>
        <v>2024-12</v>
      </c>
      <c r="E445" t="s">
        <v>2748</v>
      </c>
      <c r="F445" s="1">
        <v>45628</v>
      </c>
      <c r="G445" s="1">
        <v>45634</v>
      </c>
      <c r="H445" s="1">
        <v>45636</v>
      </c>
      <c r="I445">
        <v>1</v>
      </c>
      <c r="J445">
        <v>9999</v>
      </c>
      <c r="K445">
        <v>5</v>
      </c>
      <c r="L445">
        <v>499.95</v>
      </c>
      <c r="M445">
        <v>9499.0499999999993</v>
      </c>
      <c r="N445">
        <v>2999.05</v>
      </c>
      <c r="O445" t="s">
        <v>2749</v>
      </c>
      <c r="P445" t="s">
        <v>2778</v>
      </c>
      <c r="Q445" t="s">
        <v>2794</v>
      </c>
      <c r="R445" t="s">
        <v>188</v>
      </c>
      <c r="S445">
        <v>3</v>
      </c>
      <c r="T445">
        <v>2024</v>
      </c>
      <c r="U445" t="s">
        <v>2763</v>
      </c>
      <c r="V445" t="s">
        <v>2764</v>
      </c>
      <c r="W445">
        <v>6</v>
      </c>
      <c r="X44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45" t="str">
        <f>IF(orders[[#This Row],[Revenue]]&gt;AVERAGE(orders[Revenue])+3*STDEV(orders[Revenue]),"High Outlier",
 IF(orders[[#This Row],[Revenue]]&lt;AVERAGE(orders[Revenue])-3*STDEV(orders[Revenue]),"Low Outlier",
 "Normal"))</f>
        <v>Normal</v>
      </c>
      <c r="Z445">
        <f ca="1" xml:space="preserve"> _xlfn.DAYS(TODAY(), orders[[#This Row],[OrderDate]])</f>
        <v>514</v>
      </c>
      <c r="AA445"/>
    </row>
    <row r="446" spans="1:27">
      <c r="A446" t="s">
        <v>3229</v>
      </c>
      <c r="B446" t="s">
        <v>826</v>
      </c>
      <c r="C446" t="s">
        <v>3336</v>
      </c>
      <c r="D446" t="str">
        <f>TEXT(orders[[#This Row],[OrderDate]], "YYYY-MM")</f>
        <v>2023-05</v>
      </c>
      <c r="E446" t="s">
        <v>2804</v>
      </c>
      <c r="F446" s="1">
        <v>45070</v>
      </c>
      <c r="I446">
        <v>2</v>
      </c>
      <c r="J446">
        <v>26990</v>
      </c>
      <c r="K446">
        <v>10</v>
      </c>
      <c r="L446">
        <v>5398</v>
      </c>
      <c r="M446">
        <v>48582</v>
      </c>
      <c r="N446">
        <v>12582</v>
      </c>
      <c r="O446" t="s">
        <v>2781</v>
      </c>
      <c r="P446" t="s">
        <v>2761</v>
      </c>
      <c r="Q446" t="s">
        <v>2794</v>
      </c>
      <c r="R446" t="s">
        <v>46</v>
      </c>
      <c r="T446">
        <v>2023</v>
      </c>
      <c r="U446" t="s">
        <v>2766</v>
      </c>
      <c r="V446" t="s">
        <v>2767</v>
      </c>
      <c r="X44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46" t="str">
        <f>IF(orders[[#This Row],[Revenue]]&gt;AVERAGE(orders[Revenue])+3*STDEV(orders[Revenue]),"High Outlier",
 IF(orders[[#This Row],[Revenue]]&lt;AVERAGE(orders[Revenue])-3*STDEV(orders[Revenue]),"Low Outlier",
 "Normal"))</f>
        <v>Normal</v>
      </c>
      <c r="Z446">
        <f ca="1" xml:space="preserve"> _xlfn.DAYS(TODAY(), orders[[#This Row],[OrderDate]])</f>
        <v>1072</v>
      </c>
      <c r="AA446"/>
    </row>
    <row r="447" spans="1:27">
      <c r="A447" t="s">
        <v>3230</v>
      </c>
      <c r="B447" t="s">
        <v>654</v>
      </c>
      <c r="C447" t="s">
        <v>3374</v>
      </c>
      <c r="D447" t="str">
        <f>TEXT(orders[[#This Row],[OrderDate]], "YYYY-MM")</f>
        <v>2022-05</v>
      </c>
      <c r="E447" t="s">
        <v>2776</v>
      </c>
      <c r="F447" s="1">
        <v>44694</v>
      </c>
      <c r="G447" s="1">
        <v>44695</v>
      </c>
      <c r="H447" s="1">
        <v>44696</v>
      </c>
      <c r="I447">
        <v>1</v>
      </c>
      <c r="J447">
        <v>64999</v>
      </c>
      <c r="K447">
        <v>0</v>
      </c>
      <c r="L447">
        <v>0</v>
      </c>
      <c r="M447">
        <v>64999</v>
      </c>
      <c r="N447">
        <v>19999</v>
      </c>
      <c r="O447" t="s">
        <v>2749</v>
      </c>
      <c r="P447" t="s">
        <v>2782</v>
      </c>
      <c r="Q447" t="s">
        <v>2779</v>
      </c>
      <c r="R447" t="s">
        <v>35</v>
      </c>
      <c r="S447">
        <v>1</v>
      </c>
      <c r="T447">
        <v>2022</v>
      </c>
      <c r="U447" t="s">
        <v>2766</v>
      </c>
      <c r="V447" t="s">
        <v>2767</v>
      </c>
      <c r="W447">
        <v>1</v>
      </c>
      <c r="X44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47" t="str">
        <f>IF(orders[[#This Row],[Revenue]]&gt;AVERAGE(orders[Revenue])+3*STDEV(orders[Revenue]),"High Outlier",
 IF(orders[[#This Row],[Revenue]]&lt;AVERAGE(orders[Revenue])-3*STDEV(orders[Revenue]),"Low Outlier",
 "Normal"))</f>
        <v>Normal</v>
      </c>
      <c r="Z447">
        <f ca="1" xml:space="preserve"> _xlfn.DAYS(TODAY(), orders[[#This Row],[OrderDate]])</f>
        <v>1448</v>
      </c>
      <c r="AA447"/>
    </row>
    <row r="448" spans="1:27">
      <c r="A448" t="s">
        <v>3231</v>
      </c>
      <c r="B448" t="s">
        <v>626</v>
      </c>
      <c r="C448" t="s">
        <v>3394</v>
      </c>
      <c r="D448" t="str">
        <f>TEXT(orders[[#This Row],[OrderDate]], "YYYY-MM")</f>
        <v>2023-04</v>
      </c>
      <c r="E448" t="s">
        <v>2809</v>
      </c>
      <c r="F448" s="1">
        <v>45045</v>
      </c>
      <c r="I448">
        <v>1</v>
      </c>
      <c r="J448">
        <v>2499</v>
      </c>
      <c r="K448">
        <v>10</v>
      </c>
      <c r="L448">
        <v>249.9</v>
      </c>
      <c r="M448">
        <v>2249.1</v>
      </c>
      <c r="N448">
        <v>1049.0999999999999</v>
      </c>
      <c r="O448" t="s">
        <v>2756</v>
      </c>
      <c r="P448" t="s">
        <v>2778</v>
      </c>
      <c r="Q448" t="s">
        <v>2751</v>
      </c>
      <c r="R448" t="s">
        <v>24</v>
      </c>
      <c r="T448">
        <v>2023</v>
      </c>
      <c r="U448" t="s">
        <v>2783</v>
      </c>
      <c r="V448" t="s">
        <v>2767</v>
      </c>
      <c r="X44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48" t="str">
        <f>IF(orders[[#This Row],[Revenue]]&gt;AVERAGE(orders[Revenue])+3*STDEV(orders[Revenue]),"High Outlier",
 IF(orders[[#This Row],[Revenue]]&lt;AVERAGE(orders[Revenue])-3*STDEV(orders[Revenue]),"Low Outlier",
 "Normal"))</f>
        <v>Normal</v>
      </c>
      <c r="Z448">
        <f ca="1" xml:space="preserve"> _xlfn.DAYS(TODAY(), orders[[#This Row],[OrderDate]])</f>
        <v>1097</v>
      </c>
      <c r="AA448"/>
    </row>
    <row r="449" spans="1:27">
      <c r="A449" t="s">
        <v>3232</v>
      </c>
      <c r="B449" t="s">
        <v>1021</v>
      </c>
      <c r="C449" t="s">
        <v>3331</v>
      </c>
      <c r="D449" t="str">
        <f>TEXT(orders[[#This Row],[OrderDate]], "YYYY-MM")</f>
        <v>2023-05</v>
      </c>
      <c r="E449" t="s">
        <v>2813</v>
      </c>
      <c r="F449" s="1">
        <v>45063</v>
      </c>
      <c r="G449" s="1">
        <v>45065</v>
      </c>
      <c r="H449" s="1">
        <v>45066</v>
      </c>
      <c r="I449">
        <v>3</v>
      </c>
      <c r="J449">
        <v>38999</v>
      </c>
      <c r="K449">
        <v>5</v>
      </c>
      <c r="L449">
        <v>5849.85</v>
      </c>
      <c r="M449">
        <v>111147.15</v>
      </c>
      <c r="N449">
        <v>30147.15</v>
      </c>
      <c r="O449" t="s">
        <v>2749</v>
      </c>
      <c r="P449" t="s">
        <v>2761</v>
      </c>
      <c r="Q449" t="s">
        <v>2751</v>
      </c>
      <c r="R449" t="s">
        <v>76</v>
      </c>
      <c r="S449">
        <v>2</v>
      </c>
      <c r="T449">
        <v>2023</v>
      </c>
      <c r="U449" t="s">
        <v>2766</v>
      </c>
      <c r="V449" t="s">
        <v>2767</v>
      </c>
      <c r="W449">
        <v>2</v>
      </c>
      <c r="X44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49" t="str">
        <f>IF(orders[[#This Row],[Revenue]]&gt;AVERAGE(orders[Revenue])+3*STDEV(orders[Revenue]),"High Outlier",
 IF(orders[[#This Row],[Revenue]]&lt;AVERAGE(orders[Revenue])-3*STDEV(orders[Revenue]),"Low Outlier",
 "Normal"))</f>
        <v>Normal</v>
      </c>
      <c r="Z449">
        <f ca="1" xml:space="preserve"> _xlfn.DAYS(TODAY(), orders[[#This Row],[OrderDate]])</f>
        <v>1079</v>
      </c>
      <c r="AA449"/>
    </row>
    <row r="450" spans="1:27">
      <c r="A450" t="s">
        <v>3233</v>
      </c>
      <c r="B450" t="s">
        <v>912</v>
      </c>
      <c r="C450" t="s">
        <v>3379</v>
      </c>
      <c r="D450" t="str">
        <f>TEXT(orders[[#This Row],[OrderDate]], "YYYY-MM")</f>
        <v>2024-01</v>
      </c>
      <c r="E450" t="s">
        <v>2804</v>
      </c>
      <c r="F450" s="1">
        <v>45298</v>
      </c>
      <c r="G450" s="1">
        <v>45302</v>
      </c>
      <c r="H450" s="1">
        <v>45303</v>
      </c>
      <c r="I450">
        <v>4</v>
      </c>
      <c r="J450">
        <v>29999</v>
      </c>
      <c r="K450">
        <v>15</v>
      </c>
      <c r="L450">
        <v>17999.400000000001</v>
      </c>
      <c r="M450">
        <v>101996.6</v>
      </c>
      <c r="N450">
        <v>21996.6</v>
      </c>
      <c r="O450" t="s">
        <v>2749</v>
      </c>
      <c r="P450" t="s">
        <v>2770</v>
      </c>
      <c r="Q450" t="s">
        <v>2758</v>
      </c>
      <c r="R450" t="s">
        <v>46</v>
      </c>
      <c r="S450">
        <v>5</v>
      </c>
      <c r="T450">
        <v>2024</v>
      </c>
      <c r="U450" t="s">
        <v>2795</v>
      </c>
      <c r="V450" t="s">
        <v>2753</v>
      </c>
      <c r="W450">
        <v>4</v>
      </c>
      <c r="X45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50" t="str">
        <f>IF(orders[[#This Row],[Revenue]]&gt;AVERAGE(orders[Revenue])+3*STDEV(orders[Revenue]),"High Outlier",
 IF(orders[[#This Row],[Revenue]]&lt;AVERAGE(orders[Revenue])-3*STDEV(orders[Revenue]),"Low Outlier",
 "Normal"))</f>
        <v>Normal</v>
      </c>
      <c r="Z450">
        <f ca="1" xml:space="preserve"> _xlfn.DAYS(TODAY(), orders[[#This Row],[OrderDate]])</f>
        <v>844</v>
      </c>
      <c r="AA450"/>
    </row>
    <row r="451" spans="1:27">
      <c r="A451" t="s">
        <v>3234</v>
      </c>
      <c r="B451" t="s">
        <v>2114</v>
      </c>
      <c r="C451" t="s">
        <v>3370</v>
      </c>
      <c r="D451" t="str">
        <f>TEXT(orders[[#This Row],[OrderDate]], "YYYY-MM")</f>
        <v>2024-09</v>
      </c>
      <c r="E451" t="s">
        <v>2748</v>
      </c>
      <c r="F451" s="1">
        <v>45549</v>
      </c>
      <c r="G451" s="1">
        <v>45556</v>
      </c>
      <c r="H451" s="1">
        <v>45559</v>
      </c>
      <c r="I451">
        <v>4</v>
      </c>
      <c r="J451">
        <v>24999</v>
      </c>
      <c r="K451">
        <v>0</v>
      </c>
      <c r="L451">
        <v>0</v>
      </c>
      <c r="M451">
        <v>99996</v>
      </c>
      <c r="N451">
        <v>31996</v>
      </c>
      <c r="O451" t="s">
        <v>2749</v>
      </c>
      <c r="P451" t="s">
        <v>2750</v>
      </c>
      <c r="Q451" t="s">
        <v>2758</v>
      </c>
      <c r="R451" t="s">
        <v>188</v>
      </c>
      <c r="S451">
        <v>5</v>
      </c>
      <c r="T451">
        <v>2024</v>
      </c>
      <c r="U451" t="s">
        <v>2790</v>
      </c>
      <c r="V451" t="s">
        <v>2774</v>
      </c>
      <c r="W451">
        <v>7</v>
      </c>
      <c r="X45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51" t="str">
        <f>IF(orders[[#This Row],[Revenue]]&gt;AVERAGE(orders[Revenue])+3*STDEV(orders[Revenue]),"High Outlier",
 IF(orders[[#This Row],[Revenue]]&lt;AVERAGE(orders[Revenue])-3*STDEV(orders[Revenue]),"Low Outlier",
 "Normal"))</f>
        <v>Normal</v>
      </c>
      <c r="Z451">
        <f ca="1" xml:space="preserve"> _xlfn.DAYS(TODAY(), orders[[#This Row],[OrderDate]])</f>
        <v>593</v>
      </c>
      <c r="AA451"/>
    </row>
    <row r="452" spans="1:27">
      <c r="A452" t="s">
        <v>3235</v>
      </c>
      <c r="B452" t="s">
        <v>568</v>
      </c>
      <c r="C452" t="s">
        <v>3390</v>
      </c>
      <c r="D452" t="str">
        <f>TEXT(orders[[#This Row],[OrderDate]], "YYYY-MM")</f>
        <v>2023-06</v>
      </c>
      <c r="E452" t="s">
        <v>2809</v>
      </c>
      <c r="F452" s="1">
        <v>45088</v>
      </c>
      <c r="G452" s="1">
        <v>45092</v>
      </c>
      <c r="H452" s="1">
        <v>45094</v>
      </c>
      <c r="I452">
        <v>4</v>
      </c>
      <c r="J452">
        <v>54999</v>
      </c>
      <c r="K452">
        <v>5</v>
      </c>
      <c r="L452">
        <v>10999.8</v>
      </c>
      <c r="M452">
        <v>208996.2</v>
      </c>
      <c r="N452">
        <v>56996.2</v>
      </c>
      <c r="O452" t="s">
        <v>2749</v>
      </c>
      <c r="P452" t="s">
        <v>2770</v>
      </c>
      <c r="Q452" t="s">
        <v>2758</v>
      </c>
      <c r="R452" t="s">
        <v>24</v>
      </c>
      <c r="S452">
        <v>5</v>
      </c>
      <c r="T452">
        <v>2023</v>
      </c>
      <c r="U452" t="s">
        <v>2771</v>
      </c>
      <c r="V452" t="s">
        <v>2767</v>
      </c>
      <c r="W452">
        <v>4</v>
      </c>
      <c r="X45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52" t="str">
        <f>IF(orders[[#This Row],[Revenue]]&gt;AVERAGE(orders[Revenue])+3*STDEV(orders[Revenue]),"High Outlier",
 IF(orders[[#This Row],[Revenue]]&lt;AVERAGE(orders[Revenue])-3*STDEV(orders[Revenue]),"Low Outlier",
 "Normal"))</f>
        <v>Normal</v>
      </c>
      <c r="Z452">
        <f ca="1" xml:space="preserve"> _xlfn.DAYS(TODAY(), orders[[#This Row],[OrderDate]])</f>
        <v>1054</v>
      </c>
      <c r="AA452"/>
    </row>
    <row r="453" spans="1:27">
      <c r="A453" t="s">
        <v>3236</v>
      </c>
      <c r="B453" t="s">
        <v>1463</v>
      </c>
      <c r="C453" t="s">
        <v>3314</v>
      </c>
      <c r="D453" t="str">
        <f>TEXT(orders[[#This Row],[OrderDate]], "YYYY-MM")</f>
        <v>2022-10</v>
      </c>
      <c r="E453" t="s">
        <v>2755</v>
      </c>
      <c r="F453" s="1">
        <v>44841</v>
      </c>
      <c r="I453">
        <v>4</v>
      </c>
      <c r="J453">
        <v>114900</v>
      </c>
      <c r="K453">
        <v>5</v>
      </c>
      <c r="L453">
        <v>22980</v>
      </c>
      <c r="M453">
        <v>436620</v>
      </c>
      <c r="N453">
        <v>96620</v>
      </c>
      <c r="O453" t="s">
        <v>2781</v>
      </c>
      <c r="P453" t="s">
        <v>2782</v>
      </c>
      <c r="Q453" t="s">
        <v>2779</v>
      </c>
      <c r="R453" t="s">
        <v>24</v>
      </c>
      <c r="T453">
        <v>2022</v>
      </c>
      <c r="U453" t="s">
        <v>2788</v>
      </c>
      <c r="V453" t="s">
        <v>2764</v>
      </c>
      <c r="X45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53" t="str">
        <f>IF(orders[[#This Row],[Revenue]]&gt;AVERAGE(orders[Revenue])+3*STDEV(orders[Revenue]),"High Outlier",
 IF(orders[[#This Row],[Revenue]]&lt;AVERAGE(orders[Revenue])-3*STDEV(orders[Revenue]),"Low Outlier",
 "Normal"))</f>
        <v>High Outlier</v>
      </c>
      <c r="Z453">
        <f ca="1" xml:space="preserve"> _xlfn.DAYS(TODAY(), orders[[#This Row],[OrderDate]])</f>
        <v>1301</v>
      </c>
      <c r="AA453"/>
    </row>
    <row r="454" spans="1:27">
      <c r="A454" t="s">
        <v>3237</v>
      </c>
      <c r="B454" t="s">
        <v>37</v>
      </c>
      <c r="C454" t="s">
        <v>3298</v>
      </c>
      <c r="D454" t="str">
        <f>TEXT(orders[[#This Row],[OrderDate]], "YYYY-MM")</f>
        <v>2024-10</v>
      </c>
      <c r="E454" t="s">
        <v>2769</v>
      </c>
      <c r="F454" s="1">
        <v>45568</v>
      </c>
      <c r="G454" s="1">
        <v>45572</v>
      </c>
      <c r="H454" s="1">
        <v>45575</v>
      </c>
      <c r="I454">
        <v>3</v>
      </c>
      <c r="J454">
        <v>79999</v>
      </c>
      <c r="K454">
        <v>10</v>
      </c>
      <c r="L454">
        <v>23999.7</v>
      </c>
      <c r="M454">
        <v>215997.3</v>
      </c>
      <c r="N454">
        <v>50997.3</v>
      </c>
      <c r="O454" t="s">
        <v>2749</v>
      </c>
      <c r="P454" t="s">
        <v>2770</v>
      </c>
      <c r="Q454" t="s">
        <v>2794</v>
      </c>
      <c r="R454" t="s">
        <v>46</v>
      </c>
      <c r="S454">
        <v>5</v>
      </c>
      <c r="T454">
        <v>2024</v>
      </c>
      <c r="U454" t="s">
        <v>2788</v>
      </c>
      <c r="V454" t="s">
        <v>2764</v>
      </c>
      <c r="W454">
        <v>4</v>
      </c>
      <c r="X45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54" t="str">
        <f>IF(orders[[#This Row],[Revenue]]&gt;AVERAGE(orders[Revenue])+3*STDEV(orders[Revenue]),"High Outlier",
 IF(orders[[#This Row],[Revenue]]&lt;AVERAGE(orders[Revenue])-3*STDEV(orders[Revenue]),"Low Outlier",
 "Normal"))</f>
        <v>Normal</v>
      </c>
      <c r="Z454">
        <f ca="1" xml:space="preserve"> _xlfn.DAYS(TODAY(), orders[[#This Row],[OrderDate]])</f>
        <v>574</v>
      </c>
      <c r="AA454"/>
    </row>
    <row r="455" spans="1:27">
      <c r="A455" t="s">
        <v>3238</v>
      </c>
      <c r="B455" t="s">
        <v>299</v>
      </c>
      <c r="C455" t="s">
        <v>3370</v>
      </c>
      <c r="D455" t="str">
        <f>TEXT(orders[[#This Row],[OrderDate]], "YYYY-MM")</f>
        <v>2022-09</v>
      </c>
      <c r="E455" t="s">
        <v>2804</v>
      </c>
      <c r="F455" s="1">
        <v>44816</v>
      </c>
      <c r="G455" s="1">
        <v>44821</v>
      </c>
      <c r="H455" s="1">
        <v>44822</v>
      </c>
      <c r="I455">
        <v>2</v>
      </c>
      <c r="J455">
        <v>24999</v>
      </c>
      <c r="K455">
        <v>10</v>
      </c>
      <c r="L455">
        <v>4999.8</v>
      </c>
      <c r="M455">
        <v>44998.2</v>
      </c>
      <c r="N455">
        <v>10998.2</v>
      </c>
      <c r="O455" t="s">
        <v>2749</v>
      </c>
      <c r="P455" t="s">
        <v>2750</v>
      </c>
      <c r="Q455" t="s">
        <v>2794</v>
      </c>
      <c r="R455" t="s">
        <v>46</v>
      </c>
      <c r="S455">
        <v>5</v>
      </c>
      <c r="T455">
        <v>2022</v>
      </c>
      <c r="U455" t="s">
        <v>2790</v>
      </c>
      <c r="V455" t="s">
        <v>2774</v>
      </c>
      <c r="W455">
        <v>5</v>
      </c>
      <c r="X45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55" t="str">
        <f>IF(orders[[#This Row],[Revenue]]&gt;AVERAGE(orders[Revenue])+3*STDEV(orders[Revenue]),"High Outlier",
 IF(orders[[#This Row],[Revenue]]&lt;AVERAGE(orders[Revenue])-3*STDEV(orders[Revenue]),"Low Outlier",
 "Normal"))</f>
        <v>Normal</v>
      </c>
      <c r="Z455">
        <f ca="1" xml:space="preserve"> _xlfn.DAYS(TODAY(), orders[[#This Row],[OrderDate]])</f>
        <v>1326</v>
      </c>
      <c r="AA455"/>
    </row>
    <row r="456" spans="1:27">
      <c r="A456" t="s">
        <v>3239</v>
      </c>
      <c r="B456" t="s">
        <v>2049</v>
      </c>
      <c r="C456" t="s">
        <v>3379</v>
      </c>
      <c r="D456" t="str">
        <f>TEXT(orders[[#This Row],[OrderDate]], "YYYY-MM")</f>
        <v>2022-04</v>
      </c>
      <c r="E456" t="s">
        <v>2776</v>
      </c>
      <c r="F456" s="1">
        <v>44680</v>
      </c>
      <c r="I456">
        <v>4</v>
      </c>
      <c r="J456">
        <v>29999</v>
      </c>
      <c r="K456">
        <v>10</v>
      </c>
      <c r="L456">
        <v>11999.6</v>
      </c>
      <c r="M456">
        <v>107996.4</v>
      </c>
      <c r="N456">
        <v>27996.400000000001</v>
      </c>
      <c r="O456" t="s">
        <v>2781</v>
      </c>
      <c r="P456" t="s">
        <v>2778</v>
      </c>
      <c r="Q456" t="s">
        <v>2779</v>
      </c>
      <c r="R456" t="s">
        <v>35</v>
      </c>
      <c r="T456">
        <v>2022</v>
      </c>
      <c r="U456" t="s">
        <v>2783</v>
      </c>
      <c r="V456" t="s">
        <v>2767</v>
      </c>
      <c r="X45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56" t="str">
        <f>IF(orders[[#This Row],[Revenue]]&gt;AVERAGE(orders[Revenue])+3*STDEV(orders[Revenue]),"High Outlier",
 IF(orders[[#This Row],[Revenue]]&lt;AVERAGE(orders[Revenue])-3*STDEV(orders[Revenue]),"Low Outlier",
 "Normal"))</f>
        <v>Normal</v>
      </c>
      <c r="Z456">
        <f ca="1" xml:space="preserve"> _xlfn.DAYS(TODAY(), orders[[#This Row],[OrderDate]])</f>
        <v>1462</v>
      </c>
      <c r="AA456"/>
    </row>
    <row r="457" spans="1:27">
      <c r="A457" t="s">
        <v>3240</v>
      </c>
      <c r="B457" t="s">
        <v>826</v>
      </c>
      <c r="C457" t="s">
        <v>3379</v>
      </c>
      <c r="D457" t="str">
        <f>TEXT(orders[[#This Row],[OrderDate]], "YYYY-MM")</f>
        <v>2024-01</v>
      </c>
      <c r="E457" t="s">
        <v>2804</v>
      </c>
      <c r="F457" s="1">
        <v>45302</v>
      </c>
      <c r="I457">
        <v>1</v>
      </c>
      <c r="J457">
        <v>29999</v>
      </c>
      <c r="K457">
        <v>0</v>
      </c>
      <c r="L457">
        <v>0</v>
      </c>
      <c r="M457">
        <v>29999</v>
      </c>
      <c r="N457">
        <v>9999</v>
      </c>
      <c r="O457" t="s">
        <v>2781</v>
      </c>
      <c r="P457" t="s">
        <v>2750</v>
      </c>
      <c r="Q457" t="s">
        <v>2758</v>
      </c>
      <c r="R457" t="s">
        <v>46</v>
      </c>
      <c r="T457">
        <v>2024</v>
      </c>
      <c r="U457" t="s">
        <v>2795</v>
      </c>
      <c r="V457" t="s">
        <v>2753</v>
      </c>
      <c r="X45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57" t="str">
        <f>IF(orders[[#This Row],[Revenue]]&gt;AVERAGE(orders[Revenue])+3*STDEV(orders[Revenue]),"High Outlier",
 IF(orders[[#This Row],[Revenue]]&lt;AVERAGE(orders[Revenue])-3*STDEV(orders[Revenue]),"Low Outlier",
 "Normal"))</f>
        <v>Normal</v>
      </c>
      <c r="Z457">
        <f ca="1" xml:space="preserve"> _xlfn.DAYS(TODAY(), orders[[#This Row],[OrderDate]])</f>
        <v>840</v>
      </c>
      <c r="AA457"/>
    </row>
    <row r="458" spans="1:27">
      <c r="A458" t="s">
        <v>3241</v>
      </c>
      <c r="B458" t="s">
        <v>1398</v>
      </c>
      <c r="C458" t="s">
        <v>3409</v>
      </c>
      <c r="D458" t="str">
        <f>TEXT(orders[[#This Row],[OrderDate]], "YYYY-MM")</f>
        <v>2023-06</v>
      </c>
      <c r="E458" t="s">
        <v>2813</v>
      </c>
      <c r="F458" s="1">
        <v>45082</v>
      </c>
      <c r="G458" s="1">
        <v>45087</v>
      </c>
      <c r="H458" s="1">
        <v>45088</v>
      </c>
      <c r="I458">
        <v>1</v>
      </c>
      <c r="J458">
        <v>7499</v>
      </c>
      <c r="K458">
        <v>0</v>
      </c>
      <c r="L458">
        <v>0</v>
      </c>
      <c r="M458">
        <v>7499</v>
      </c>
      <c r="N458">
        <v>2699</v>
      </c>
      <c r="O458" t="s">
        <v>2749</v>
      </c>
      <c r="P458" t="s">
        <v>2757</v>
      </c>
      <c r="Q458" t="s">
        <v>2751</v>
      </c>
      <c r="R458" t="s">
        <v>76</v>
      </c>
      <c r="S458">
        <v>4</v>
      </c>
      <c r="T458">
        <v>2023</v>
      </c>
      <c r="U458" t="s">
        <v>2771</v>
      </c>
      <c r="V458" t="s">
        <v>2767</v>
      </c>
      <c r="W458">
        <v>5</v>
      </c>
      <c r="X45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58" t="str">
        <f>IF(orders[[#This Row],[Revenue]]&gt;AVERAGE(orders[Revenue])+3*STDEV(orders[Revenue]),"High Outlier",
 IF(orders[[#This Row],[Revenue]]&lt;AVERAGE(orders[Revenue])-3*STDEV(orders[Revenue]),"Low Outlier",
 "Normal"))</f>
        <v>Normal</v>
      </c>
      <c r="Z458">
        <f ca="1" xml:space="preserve"> _xlfn.DAYS(TODAY(), orders[[#This Row],[OrderDate]])</f>
        <v>1060</v>
      </c>
      <c r="AA458"/>
    </row>
    <row r="459" spans="1:27">
      <c r="A459" t="s">
        <v>3242</v>
      </c>
      <c r="B459" t="s">
        <v>2040</v>
      </c>
      <c r="C459" t="s">
        <v>3394</v>
      </c>
      <c r="D459" t="str">
        <f>TEXT(orders[[#This Row],[OrderDate]], "YYYY-MM")</f>
        <v>2024-11</v>
      </c>
      <c r="E459" t="s">
        <v>2809</v>
      </c>
      <c r="F459" s="1">
        <v>45623</v>
      </c>
      <c r="G459" s="1">
        <v>45627</v>
      </c>
      <c r="H459" s="1">
        <v>45628</v>
      </c>
      <c r="I459">
        <v>4</v>
      </c>
      <c r="J459">
        <v>2499</v>
      </c>
      <c r="K459">
        <v>5</v>
      </c>
      <c r="L459">
        <v>499.8</v>
      </c>
      <c r="M459">
        <v>9496.2000000000007</v>
      </c>
      <c r="N459">
        <v>4696.2</v>
      </c>
      <c r="O459" t="s">
        <v>2749</v>
      </c>
      <c r="P459" t="s">
        <v>2778</v>
      </c>
      <c r="Q459" t="s">
        <v>2794</v>
      </c>
      <c r="R459" t="s">
        <v>24</v>
      </c>
      <c r="S459">
        <v>5</v>
      </c>
      <c r="T459">
        <v>2024</v>
      </c>
      <c r="U459" t="s">
        <v>2786</v>
      </c>
      <c r="V459" t="s">
        <v>2764</v>
      </c>
      <c r="W459">
        <v>4</v>
      </c>
      <c r="X45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59" t="str">
        <f>IF(orders[[#This Row],[Revenue]]&gt;AVERAGE(orders[Revenue])+3*STDEV(orders[Revenue]),"High Outlier",
 IF(orders[[#This Row],[Revenue]]&lt;AVERAGE(orders[Revenue])-3*STDEV(orders[Revenue]),"Low Outlier",
 "Normal"))</f>
        <v>Normal</v>
      </c>
      <c r="Z459">
        <f ca="1" xml:space="preserve"> _xlfn.DAYS(TODAY(), orders[[#This Row],[OrderDate]])</f>
        <v>519</v>
      </c>
      <c r="AA459"/>
    </row>
    <row r="460" spans="1:27">
      <c r="A460" t="s">
        <v>3243</v>
      </c>
      <c r="B460" t="s">
        <v>2703</v>
      </c>
      <c r="C460" t="s">
        <v>3390</v>
      </c>
      <c r="D460" t="str">
        <f>TEXT(orders[[#This Row],[OrderDate]], "YYYY-MM")</f>
        <v>2023-09</v>
      </c>
      <c r="E460" t="s">
        <v>2755</v>
      </c>
      <c r="F460" s="1">
        <v>45192</v>
      </c>
      <c r="I460">
        <v>4</v>
      </c>
      <c r="J460">
        <v>54999</v>
      </c>
      <c r="K460">
        <v>0</v>
      </c>
      <c r="L460">
        <v>0</v>
      </c>
      <c r="M460">
        <v>219996</v>
      </c>
      <c r="N460">
        <v>67996</v>
      </c>
      <c r="O460" t="s">
        <v>2781</v>
      </c>
      <c r="P460" t="s">
        <v>2757</v>
      </c>
      <c r="Q460" t="s">
        <v>2758</v>
      </c>
      <c r="R460" t="s">
        <v>24</v>
      </c>
      <c r="T460">
        <v>2023</v>
      </c>
      <c r="U460" t="s">
        <v>2790</v>
      </c>
      <c r="V460" t="s">
        <v>2774</v>
      </c>
      <c r="X46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60" t="str">
        <f>IF(orders[[#This Row],[Revenue]]&gt;AVERAGE(orders[Revenue])+3*STDEV(orders[Revenue]),"High Outlier",
 IF(orders[[#This Row],[Revenue]]&lt;AVERAGE(orders[Revenue])-3*STDEV(orders[Revenue]),"Low Outlier",
 "Normal"))</f>
        <v>Normal</v>
      </c>
      <c r="Z460">
        <f ca="1" xml:space="preserve"> _xlfn.DAYS(TODAY(), orders[[#This Row],[OrderDate]])</f>
        <v>950</v>
      </c>
      <c r="AA460"/>
    </row>
    <row r="461" spans="1:27">
      <c r="A461" t="s">
        <v>3244</v>
      </c>
      <c r="B461" t="s">
        <v>2219</v>
      </c>
      <c r="C461" t="s">
        <v>3362</v>
      </c>
      <c r="D461" t="str">
        <f>TEXT(orders[[#This Row],[OrderDate]], "YYYY-MM")</f>
        <v>2023-07</v>
      </c>
      <c r="E461" t="s">
        <v>2809</v>
      </c>
      <c r="F461" s="1">
        <v>45112</v>
      </c>
      <c r="I461">
        <v>2</v>
      </c>
      <c r="J461">
        <v>41900</v>
      </c>
      <c r="K461">
        <v>10</v>
      </c>
      <c r="L461">
        <v>8380</v>
      </c>
      <c r="M461">
        <v>75420</v>
      </c>
      <c r="N461">
        <v>19420</v>
      </c>
      <c r="O461" t="s">
        <v>2781</v>
      </c>
      <c r="P461" t="s">
        <v>2778</v>
      </c>
      <c r="Q461" t="s">
        <v>2794</v>
      </c>
      <c r="R461" t="s">
        <v>24</v>
      </c>
      <c r="T461">
        <v>2023</v>
      </c>
      <c r="U461" t="s">
        <v>2792</v>
      </c>
      <c r="V461" t="s">
        <v>2774</v>
      </c>
      <c r="X46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61" t="str">
        <f>IF(orders[[#This Row],[Revenue]]&gt;AVERAGE(orders[Revenue])+3*STDEV(orders[Revenue]),"High Outlier",
 IF(orders[[#This Row],[Revenue]]&lt;AVERAGE(orders[Revenue])-3*STDEV(orders[Revenue]),"Low Outlier",
 "Normal"))</f>
        <v>Normal</v>
      </c>
      <c r="Z461">
        <f ca="1" xml:space="preserve"> _xlfn.DAYS(TODAY(), orders[[#This Row],[OrderDate]])</f>
        <v>1030</v>
      </c>
      <c r="AA461"/>
    </row>
    <row r="462" spans="1:27">
      <c r="A462" t="s">
        <v>3245</v>
      </c>
      <c r="B462" t="s">
        <v>49</v>
      </c>
      <c r="C462" t="s">
        <v>3331</v>
      </c>
      <c r="D462" t="str">
        <f>TEXT(orders[[#This Row],[OrderDate]], "YYYY-MM")</f>
        <v>2022-01</v>
      </c>
      <c r="E462" t="s">
        <v>2769</v>
      </c>
      <c r="F462" s="1">
        <v>44565</v>
      </c>
      <c r="G462" s="1">
        <v>44566</v>
      </c>
      <c r="H462" s="1">
        <v>44569</v>
      </c>
      <c r="I462">
        <v>5</v>
      </c>
      <c r="J462">
        <v>38999</v>
      </c>
      <c r="K462">
        <v>10</v>
      </c>
      <c r="L462">
        <v>19499.5</v>
      </c>
      <c r="M462">
        <v>175495.5</v>
      </c>
      <c r="N462">
        <v>40495.5</v>
      </c>
      <c r="O462" t="s">
        <v>2749</v>
      </c>
      <c r="P462" t="s">
        <v>2778</v>
      </c>
      <c r="Q462" t="s">
        <v>2794</v>
      </c>
      <c r="R462" t="s">
        <v>46</v>
      </c>
      <c r="S462">
        <v>4</v>
      </c>
      <c r="T462">
        <v>2022</v>
      </c>
      <c r="U462" t="s">
        <v>2795</v>
      </c>
      <c r="V462" t="s">
        <v>2753</v>
      </c>
      <c r="W462">
        <v>1</v>
      </c>
      <c r="X46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62" t="str">
        <f>IF(orders[[#This Row],[Revenue]]&gt;AVERAGE(orders[Revenue])+3*STDEV(orders[Revenue]),"High Outlier",
 IF(orders[[#This Row],[Revenue]]&lt;AVERAGE(orders[Revenue])-3*STDEV(orders[Revenue]),"Low Outlier",
 "Normal"))</f>
        <v>Normal</v>
      </c>
      <c r="Z462">
        <f ca="1" xml:space="preserve"> _xlfn.DAYS(TODAY(), orders[[#This Row],[OrderDate]])</f>
        <v>1577</v>
      </c>
      <c r="AA462"/>
    </row>
    <row r="463" spans="1:27">
      <c r="A463" t="s">
        <v>3246</v>
      </c>
      <c r="B463" t="s">
        <v>621</v>
      </c>
      <c r="C463" t="s">
        <v>3331</v>
      </c>
      <c r="D463" t="str">
        <f>TEXT(orders[[#This Row],[OrderDate]], "YYYY-MM")</f>
        <v>2023-01</v>
      </c>
      <c r="E463" t="s">
        <v>2769</v>
      </c>
      <c r="F463" s="1">
        <v>44943</v>
      </c>
      <c r="I463">
        <v>2</v>
      </c>
      <c r="J463">
        <v>38999</v>
      </c>
      <c r="K463">
        <v>5</v>
      </c>
      <c r="L463">
        <v>3899.9</v>
      </c>
      <c r="M463">
        <v>74098.100000000006</v>
      </c>
      <c r="N463">
        <v>20098.099999999999</v>
      </c>
      <c r="O463" t="s">
        <v>2781</v>
      </c>
      <c r="P463" t="s">
        <v>2770</v>
      </c>
      <c r="Q463" t="s">
        <v>2779</v>
      </c>
      <c r="R463" t="s">
        <v>46</v>
      </c>
      <c r="T463">
        <v>2023</v>
      </c>
      <c r="U463" t="s">
        <v>2795</v>
      </c>
      <c r="V463" t="s">
        <v>2753</v>
      </c>
      <c r="X46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63" t="str">
        <f>IF(orders[[#This Row],[Revenue]]&gt;AVERAGE(orders[Revenue])+3*STDEV(orders[Revenue]),"High Outlier",
 IF(orders[[#This Row],[Revenue]]&lt;AVERAGE(orders[Revenue])-3*STDEV(orders[Revenue]),"Low Outlier",
 "Normal"))</f>
        <v>Normal</v>
      </c>
      <c r="Z463">
        <f ca="1" xml:space="preserve"> _xlfn.DAYS(TODAY(), orders[[#This Row],[OrderDate]])</f>
        <v>1199</v>
      </c>
      <c r="AA463"/>
    </row>
    <row r="464" spans="1:27">
      <c r="A464" t="s">
        <v>3247</v>
      </c>
      <c r="B464" t="s">
        <v>1518</v>
      </c>
      <c r="C464" t="s">
        <v>3319</v>
      </c>
      <c r="D464" t="str">
        <f>TEXT(orders[[#This Row],[OrderDate]], "YYYY-MM")</f>
        <v>2023-03</v>
      </c>
      <c r="E464" t="s">
        <v>2755</v>
      </c>
      <c r="F464" s="1">
        <v>44997</v>
      </c>
      <c r="G464" s="1">
        <v>44999</v>
      </c>
      <c r="H464" s="1">
        <v>44999</v>
      </c>
      <c r="I464">
        <v>2</v>
      </c>
      <c r="J464">
        <v>55990</v>
      </c>
      <c r="K464">
        <v>5</v>
      </c>
      <c r="L464">
        <v>5599</v>
      </c>
      <c r="M464">
        <v>106381</v>
      </c>
      <c r="N464">
        <v>26381</v>
      </c>
      <c r="O464" t="s">
        <v>2749</v>
      </c>
      <c r="P464" t="s">
        <v>2750</v>
      </c>
      <c r="Q464" t="s">
        <v>2751</v>
      </c>
      <c r="R464" t="s">
        <v>24</v>
      </c>
      <c r="S464">
        <v>4</v>
      </c>
      <c r="T464">
        <v>2023</v>
      </c>
      <c r="U464" t="s">
        <v>2752</v>
      </c>
      <c r="V464" t="s">
        <v>2753</v>
      </c>
      <c r="W464">
        <v>2</v>
      </c>
      <c r="X46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64" t="str">
        <f>IF(orders[[#This Row],[Revenue]]&gt;AVERAGE(orders[Revenue])+3*STDEV(orders[Revenue]),"High Outlier",
 IF(orders[[#This Row],[Revenue]]&lt;AVERAGE(orders[Revenue])-3*STDEV(orders[Revenue]),"Low Outlier",
 "Normal"))</f>
        <v>Normal</v>
      </c>
      <c r="Z464">
        <f ca="1" xml:space="preserve"> _xlfn.DAYS(TODAY(), orders[[#This Row],[OrderDate]])</f>
        <v>1145</v>
      </c>
      <c r="AA464"/>
    </row>
    <row r="465" spans="1:27">
      <c r="A465" t="s">
        <v>3248</v>
      </c>
      <c r="B465" t="s">
        <v>1836</v>
      </c>
      <c r="C465" t="s">
        <v>3399</v>
      </c>
      <c r="D465" t="str">
        <f>TEXT(orders[[#This Row],[OrderDate]], "YYYY-MM")</f>
        <v>2022-12</v>
      </c>
      <c r="E465" t="s">
        <v>2804</v>
      </c>
      <c r="F465" s="1">
        <v>44902</v>
      </c>
      <c r="G465" s="1">
        <v>44905</v>
      </c>
      <c r="H465" s="1">
        <v>44905</v>
      </c>
      <c r="I465">
        <v>4</v>
      </c>
      <c r="J465">
        <v>3499</v>
      </c>
      <c r="K465">
        <v>0</v>
      </c>
      <c r="L465">
        <v>0</v>
      </c>
      <c r="M465">
        <v>13996</v>
      </c>
      <c r="N465">
        <v>6796</v>
      </c>
      <c r="O465" t="s">
        <v>2749</v>
      </c>
      <c r="P465" t="s">
        <v>2750</v>
      </c>
      <c r="Q465" t="s">
        <v>2762</v>
      </c>
      <c r="R465" t="s">
        <v>46</v>
      </c>
      <c r="S465">
        <v>3</v>
      </c>
      <c r="T465">
        <v>2022</v>
      </c>
      <c r="U465" t="s">
        <v>2763</v>
      </c>
      <c r="V465" t="s">
        <v>2764</v>
      </c>
      <c r="W465">
        <v>3</v>
      </c>
      <c r="X46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65" t="str">
        <f>IF(orders[[#This Row],[Revenue]]&gt;AVERAGE(orders[Revenue])+3*STDEV(orders[Revenue]),"High Outlier",
 IF(orders[[#This Row],[Revenue]]&lt;AVERAGE(orders[Revenue])-3*STDEV(orders[Revenue]),"Low Outlier",
 "Normal"))</f>
        <v>Normal</v>
      </c>
      <c r="Z465">
        <f ca="1" xml:space="preserve"> _xlfn.DAYS(TODAY(), orders[[#This Row],[OrderDate]])</f>
        <v>1240</v>
      </c>
      <c r="AA465"/>
    </row>
    <row r="466" spans="1:27">
      <c r="A466" t="s">
        <v>3249</v>
      </c>
      <c r="B466" t="s">
        <v>146</v>
      </c>
      <c r="C466" t="s">
        <v>3394</v>
      </c>
      <c r="D466" t="str">
        <f>TEXT(orders[[#This Row],[OrderDate]], "YYYY-MM")</f>
        <v>2024-09</v>
      </c>
      <c r="E466" t="s">
        <v>2813</v>
      </c>
      <c r="F466" s="1">
        <v>45540</v>
      </c>
      <c r="G466" s="1">
        <v>45546</v>
      </c>
      <c r="H466" s="1">
        <v>45546</v>
      </c>
      <c r="I466">
        <v>1</v>
      </c>
      <c r="J466">
        <v>2499</v>
      </c>
      <c r="K466">
        <v>0</v>
      </c>
      <c r="L466">
        <v>0</v>
      </c>
      <c r="M466">
        <v>2499</v>
      </c>
      <c r="N466">
        <v>1299</v>
      </c>
      <c r="O466" t="s">
        <v>2749</v>
      </c>
      <c r="P466" t="s">
        <v>2750</v>
      </c>
      <c r="Q466" t="s">
        <v>2762</v>
      </c>
      <c r="R466" t="s">
        <v>76</v>
      </c>
      <c r="S466">
        <v>5</v>
      </c>
      <c r="T466">
        <v>2024</v>
      </c>
      <c r="U466" t="s">
        <v>2790</v>
      </c>
      <c r="V466" t="s">
        <v>2774</v>
      </c>
      <c r="W466">
        <v>6</v>
      </c>
      <c r="X46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66" t="str">
        <f>IF(orders[[#This Row],[Revenue]]&gt;AVERAGE(orders[Revenue])+3*STDEV(orders[Revenue]),"High Outlier",
 IF(orders[[#This Row],[Revenue]]&lt;AVERAGE(orders[Revenue])-3*STDEV(orders[Revenue]),"Low Outlier",
 "Normal"))</f>
        <v>Normal</v>
      </c>
      <c r="Z466">
        <f ca="1" xml:space="preserve"> _xlfn.DAYS(TODAY(), orders[[#This Row],[OrderDate]])</f>
        <v>602</v>
      </c>
      <c r="AA466"/>
    </row>
    <row r="467" spans="1:27">
      <c r="A467" t="s">
        <v>3250</v>
      </c>
      <c r="B467" t="s">
        <v>2253</v>
      </c>
      <c r="C467" t="s">
        <v>3307</v>
      </c>
      <c r="D467" t="str">
        <f>TEXT(orders[[#This Row],[OrderDate]], "YYYY-MM")</f>
        <v>2023-03</v>
      </c>
      <c r="E467" t="s">
        <v>2748</v>
      </c>
      <c r="F467" s="1">
        <v>44994</v>
      </c>
      <c r="I467">
        <v>1</v>
      </c>
      <c r="J467">
        <v>69999</v>
      </c>
      <c r="K467">
        <v>10</v>
      </c>
      <c r="L467">
        <v>6999.9</v>
      </c>
      <c r="M467">
        <v>62999.1</v>
      </c>
      <c r="N467">
        <v>14999.1</v>
      </c>
      <c r="O467" t="s">
        <v>2756</v>
      </c>
      <c r="P467" t="s">
        <v>2761</v>
      </c>
      <c r="Q467" t="s">
        <v>2758</v>
      </c>
      <c r="R467" t="s">
        <v>188</v>
      </c>
      <c r="T467">
        <v>2023</v>
      </c>
      <c r="U467" t="s">
        <v>2752</v>
      </c>
      <c r="V467" t="s">
        <v>2753</v>
      </c>
      <c r="X46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67" t="str">
        <f>IF(orders[[#This Row],[Revenue]]&gt;AVERAGE(orders[Revenue])+3*STDEV(orders[Revenue]),"High Outlier",
 IF(orders[[#This Row],[Revenue]]&lt;AVERAGE(orders[Revenue])-3*STDEV(orders[Revenue]),"Low Outlier",
 "Normal"))</f>
        <v>Normal</v>
      </c>
      <c r="Z467">
        <f ca="1" xml:space="preserve"> _xlfn.DAYS(TODAY(), orders[[#This Row],[OrderDate]])</f>
        <v>1148</v>
      </c>
      <c r="AA467"/>
    </row>
    <row r="468" spans="1:27">
      <c r="A468" t="s">
        <v>3251</v>
      </c>
      <c r="B468" t="s">
        <v>2688</v>
      </c>
      <c r="C468" t="s">
        <v>3423</v>
      </c>
      <c r="D468" t="str">
        <f>TEXT(orders[[#This Row],[OrderDate]], "YYYY-MM")</f>
        <v>2024-09</v>
      </c>
      <c r="E468" t="s">
        <v>2776</v>
      </c>
      <c r="F468" s="1">
        <v>45557</v>
      </c>
      <c r="G468" s="1">
        <v>45564</v>
      </c>
      <c r="H468" s="1">
        <v>45566</v>
      </c>
      <c r="I468">
        <v>5</v>
      </c>
      <c r="J468">
        <v>1599</v>
      </c>
      <c r="K468">
        <v>10</v>
      </c>
      <c r="L468">
        <v>799.5</v>
      </c>
      <c r="M468">
        <v>7195.5</v>
      </c>
      <c r="N468">
        <v>3195.5</v>
      </c>
      <c r="O468" t="s">
        <v>2749</v>
      </c>
      <c r="P468" t="s">
        <v>2750</v>
      </c>
      <c r="Q468" t="s">
        <v>2794</v>
      </c>
      <c r="R468" t="s">
        <v>35</v>
      </c>
      <c r="S468">
        <v>3</v>
      </c>
      <c r="T468">
        <v>2024</v>
      </c>
      <c r="U468" t="s">
        <v>2790</v>
      </c>
      <c r="V468" t="s">
        <v>2774</v>
      </c>
      <c r="W468">
        <v>7</v>
      </c>
      <c r="X46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68" t="str">
        <f>IF(orders[[#This Row],[Revenue]]&gt;AVERAGE(orders[Revenue])+3*STDEV(orders[Revenue]),"High Outlier",
 IF(orders[[#This Row],[Revenue]]&lt;AVERAGE(orders[Revenue])-3*STDEV(orders[Revenue]),"Low Outlier",
 "Normal"))</f>
        <v>Normal</v>
      </c>
      <c r="Z468">
        <f ca="1" xml:space="preserve"> _xlfn.DAYS(TODAY(), orders[[#This Row],[OrderDate]])</f>
        <v>585</v>
      </c>
      <c r="AA468"/>
    </row>
    <row r="469" spans="1:27">
      <c r="A469" t="s">
        <v>3252</v>
      </c>
      <c r="B469" t="s">
        <v>1031</v>
      </c>
      <c r="C469" t="s">
        <v>3340</v>
      </c>
      <c r="D469" t="str">
        <f>TEXT(orders[[#This Row],[OrderDate]], "YYYY-MM")</f>
        <v>2024-03</v>
      </c>
      <c r="E469" t="s">
        <v>2755</v>
      </c>
      <c r="F469" s="1">
        <v>45378</v>
      </c>
      <c r="G469" s="1">
        <v>45383</v>
      </c>
      <c r="H469" s="1">
        <v>45383</v>
      </c>
      <c r="I469">
        <v>3</v>
      </c>
      <c r="J469">
        <v>6999</v>
      </c>
      <c r="K469">
        <v>10</v>
      </c>
      <c r="L469">
        <v>2099.6999999999998</v>
      </c>
      <c r="M469">
        <v>18897.3</v>
      </c>
      <c r="N469">
        <v>6297.3</v>
      </c>
      <c r="O469" t="s">
        <v>2749</v>
      </c>
      <c r="P469" t="s">
        <v>2757</v>
      </c>
      <c r="Q469" t="s">
        <v>2762</v>
      </c>
      <c r="R469" t="s">
        <v>24</v>
      </c>
      <c r="S469">
        <v>4</v>
      </c>
      <c r="T469">
        <v>2024</v>
      </c>
      <c r="U469" t="s">
        <v>2752</v>
      </c>
      <c r="V469" t="s">
        <v>2753</v>
      </c>
      <c r="W469">
        <v>5</v>
      </c>
      <c r="X46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69" t="str">
        <f>IF(orders[[#This Row],[Revenue]]&gt;AVERAGE(orders[Revenue])+3*STDEV(orders[Revenue]),"High Outlier",
 IF(orders[[#This Row],[Revenue]]&lt;AVERAGE(orders[Revenue])-3*STDEV(orders[Revenue]),"Low Outlier",
 "Normal"))</f>
        <v>Normal</v>
      </c>
      <c r="Z469">
        <f ca="1" xml:space="preserve"> _xlfn.DAYS(TODAY(), orders[[#This Row],[OrderDate]])</f>
        <v>764</v>
      </c>
      <c r="AA469"/>
    </row>
    <row r="470" spans="1:27">
      <c r="A470" t="s">
        <v>3253</v>
      </c>
      <c r="B470" t="s">
        <v>2454</v>
      </c>
      <c r="C470" t="s">
        <v>3413</v>
      </c>
      <c r="D470" t="str">
        <f>TEXT(orders[[#This Row],[OrderDate]], "YYYY-MM")</f>
        <v>2022-10</v>
      </c>
      <c r="E470" t="s">
        <v>2769</v>
      </c>
      <c r="F470" s="1">
        <v>44846</v>
      </c>
      <c r="G470" s="1">
        <v>44851</v>
      </c>
      <c r="H470" s="1">
        <v>44851</v>
      </c>
      <c r="I470">
        <v>5</v>
      </c>
      <c r="J470">
        <v>5999</v>
      </c>
      <c r="K470">
        <v>5</v>
      </c>
      <c r="L470">
        <v>1499.75</v>
      </c>
      <c r="M470">
        <v>28495.25</v>
      </c>
      <c r="N470">
        <v>9495.25</v>
      </c>
      <c r="O470" t="s">
        <v>2749</v>
      </c>
      <c r="P470" t="s">
        <v>2778</v>
      </c>
      <c r="Q470" t="s">
        <v>2779</v>
      </c>
      <c r="R470" t="s">
        <v>46</v>
      </c>
      <c r="S470">
        <v>3</v>
      </c>
      <c r="T470">
        <v>2022</v>
      </c>
      <c r="U470" t="s">
        <v>2788</v>
      </c>
      <c r="V470" t="s">
        <v>2764</v>
      </c>
      <c r="W470">
        <v>5</v>
      </c>
      <c r="X47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70" t="str">
        <f>IF(orders[[#This Row],[Revenue]]&gt;AVERAGE(orders[Revenue])+3*STDEV(orders[Revenue]),"High Outlier",
 IF(orders[[#This Row],[Revenue]]&lt;AVERAGE(orders[Revenue])-3*STDEV(orders[Revenue]),"Low Outlier",
 "Normal"))</f>
        <v>Normal</v>
      </c>
      <c r="Z470">
        <f ca="1" xml:space="preserve"> _xlfn.DAYS(TODAY(), orders[[#This Row],[OrderDate]])</f>
        <v>1296</v>
      </c>
      <c r="AA470"/>
    </row>
    <row r="471" spans="1:27">
      <c r="A471" t="s">
        <v>3254</v>
      </c>
      <c r="B471" t="s">
        <v>1388</v>
      </c>
      <c r="C471" t="s">
        <v>3399</v>
      </c>
      <c r="D471" t="str">
        <f>TEXT(orders[[#This Row],[OrderDate]], "YYYY-MM")</f>
        <v>2024-11</v>
      </c>
      <c r="E471" t="s">
        <v>2755</v>
      </c>
      <c r="F471" s="1">
        <v>45616</v>
      </c>
      <c r="G471" s="1">
        <v>45622</v>
      </c>
      <c r="H471" s="1">
        <v>45623</v>
      </c>
      <c r="I471">
        <v>1</v>
      </c>
      <c r="J471">
        <v>3499</v>
      </c>
      <c r="K471">
        <v>10</v>
      </c>
      <c r="L471">
        <v>349.9</v>
      </c>
      <c r="M471">
        <v>3149.1</v>
      </c>
      <c r="N471">
        <v>1349.1</v>
      </c>
      <c r="O471" t="s">
        <v>2749</v>
      </c>
      <c r="P471" t="s">
        <v>2757</v>
      </c>
      <c r="Q471" t="s">
        <v>2794</v>
      </c>
      <c r="R471" t="s">
        <v>24</v>
      </c>
      <c r="S471">
        <v>1</v>
      </c>
      <c r="T471">
        <v>2024</v>
      </c>
      <c r="U471" t="s">
        <v>2786</v>
      </c>
      <c r="V471" t="s">
        <v>2764</v>
      </c>
      <c r="W471">
        <v>6</v>
      </c>
      <c r="X47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71" t="str">
        <f>IF(orders[[#This Row],[Revenue]]&gt;AVERAGE(orders[Revenue])+3*STDEV(orders[Revenue]),"High Outlier",
 IF(orders[[#This Row],[Revenue]]&lt;AVERAGE(orders[Revenue])-3*STDEV(orders[Revenue]),"Low Outlier",
 "Normal"))</f>
        <v>Normal</v>
      </c>
      <c r="Z471">
        <f ca="1" xml:space="preserve"> _xlfn.DAYS(TODAY(), orders[[#This Row],[OrderDate]])</f>
        <v>526</v>
      </c>
      <c r="AA471"/>
    </row>
    <row r="472" spans="1:27">
      <c r="A472" t="s">
        <v>3255</v>
      </c>
      <c r="B472" t="s">
        <v>2708</v>
      </c>
      <c r="C472" t="s">
        <v>3418</v>
      </c>
      <c r="D472" t="str">
        <f>TEXT(orders[[#This Row],[OrderDate]], "YYYY-MM")</f>
        <v>2024-06</v>
      </c>
      <c r="E472" t="s">
        <v>2769</v>
      </c>
      <c r="F472" s="1">
        <v>45471</v>
      </c>
      <c r="G472" s="1">
        <v>45476</v>
      </c>
      <c r="H472" s="1">
        <v>45479</v>
      </c>
      <c r="I472">
        <v>4</v>
      </c>
      <c r="J472">
        <v>4999</v>
      </c>
      <c r="K472">
        <v>0</v>
      </c>
      <c r="L472">
        <v>0</v>
      </c>
      <c r="M472">
        <v>19996</v>
      </c>
      <c r="N472">
        <v>8796</v>
      </c>
      <c r="O472" t="s">
        <v>2749</v>
      </c>
      <c r="P472" t="s">
        <v>2750</v>
      </c>
      <c r="Q472" t="s">
        <v>2751</v>
      </c>
      <c r="R472" t="s">
        <v>46</v>
      </c>
      <c r="S472">
        <v>4</v>
      </c>
      <c r="T472">
        <v>2024</v>
      </c>
      <c r="U472" t="s">
        <v>2771</v>
      </c>
      <c r="V472" t="s">
        <v>2767</v>
      </c>
      <c r="W472">
        <v>5</v>
      </c>
      <c r="X47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72" t="str">
        <f>IF(orders[[#This Row],[Revenue]]&gt;AVERAGE(orders[Revenue])+3*STDEV(orders[Revenue]),"High Outlier",
 IF(orders[[#This Row],[Revenue]]&lt;AVERAGE(orders[Revenue])-3*STDEV(orders[Revenue]),"Low Outlier",
 "Normal"))</f>
        <v>Normal</v>
      </c>
      <c r="Z472">
        <f ca="1" xml:space="preserve"> _xlfn.DAYS(TODAY(), orders[[#This Row],[OrderDate]])</f>
        <v>671</v>
      </c>
      <c r="AA472"/>
    </row>
    <row r="473" spans="1:27">
      <c r="A473" t="s">
        <v>3256</v>
      </c>
      <c r="B473" t="s">
        <v>1921</v>
      </c>
      <c r="C473" t="s">
        <v>3413</v>
      </c>
      <c r="D473" t="str">
        <f>TEXT(orders[[#This Row],[OrderDate]], "YYYY-MM")</f>
        <v>2024-02</v>
      </c>
      <c r="E473" t="s">
        <v>2776</v>
      </c>
      <c r="F473" s="1">
        <v>45350</v>
      </c>
      <c r="G473" s="1">
        <v>45355</v>
      </c>
      <c r="H473" s="1">
        <v>45356</v>
      </c>
      <c r="I473">
        <v>2</v>
      </c>
      <c r="J473">
        <v>5999</v>
      </c>
      <c r="K473">
        <v>20</v>
      </c>
      <c r="L473">
        <v>2399.6</v>
      </c>
      <c r="M473">
        <v>9598.4</v>
      </c>
      <c r="N473">
        <v>1998.4</v>
      </c>
      <c r="O473" t="s">
        <v>2749</v>
      </c>
      <c r="P473" t="s">
        <v>2761</v>
      </c>
      <c r="Q473" t="s">
        <v>2758</v>
      </c>
      <c r="R473" t="s">
        <v>35</v>
      </c>
      <c r="S473">
        <v>1</v>
      </c>
      <c r="T473">
        <v>2024</v>
      </c>
      <c r="U473" t="s">
        <v>2759</v>
      </c>
      <c r="V473" t="s">
        <v>2753</v>
      </c>
      <c r="W473">
        <v>5</v>
      </c>
      <c r="X47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73" t="str">
        <f>IF(orders[[#This Row],[Revenue]]&gt;AVERAGE(orders[Revenue])+3*STDEV(orders[Revenue]),"High Outlier",
 IF(orders[[#This Row],[Revenue]]&lt;AVERAGE(orders[Revenue])-3*STDEV(orders[Revenue]),"Low Outlier",
 "Normal"))</f>
        <v>Normal</v>
      </c>
      <c r="Z473">
        <f ca="1" xml:space="preserve"> _xlfn.DAYS(TODAY(), orders[[#This Row],[OrderDate]])</f>
        <v>792</v>
      </c>
      <c r="AA473"/>
    </row>
    <row r="474" spans="1:27">
      <c r="A474" t="s">
        <v>3257</v>
      </c>
      <c r="B474" t="s">
        <v>489</v>
      </c>
      <c r="C474" t="s">
        <v>3379</v>
      </c>
      <c r="D474" t="str">
        <f>TEXT(orders[[#This Row],[OrderDate]], "YYYY-MM")</f>
        <v>2023-09</v>
      </c>
      <c r="E474" t="s">
        <v>2809</v>
      </c>
      <c r="F474" s="1">
        <v>45179</v>
      </c>
      <c r="I474">
        <v>5</v>
      </c>
      <c r="J474">
        <v>29999</v>
      </c>
      <c r="K474">
        <v>15</v>
      </c>
      <c r="L474">
        <v>22499.25</v>
      </c>
      <c r="M474">
        <v>127495.75</v>
      </c>
      <c r="N474">
        <v>27495.75</v>
      </c>
      <c r="O474" t="s">
        <v>2781</v>
      </c>
      <c r="P474" t="s">
        <v>2782</v>
      </c>
      <c r="Q474" t="s">
        <v>2751</v>
      </c>
      <c r="R474" t="s">
        <v>24</v>
      </c>
      <c r="T474">
        <v>2023</v>
      </c>
      <c r="U474" t="s">
        <v>2790</v>
      </c>
      <c r="V474" t="s">
        <v>2774</v>
      </c>
      <c r="X47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74" t="str">
        <f>IF(orders[[#This Row],[Revenue]]&gt;AVERAGE(orders[Revenue])+3*STDEV(orders[Revenue]),"High Outlier",
 IF(orders[[#This Row],[Revenue]]&lt;AVERAGE(orders[Revenue])-3*STDEV(orders[Revenue]),"Low Outlier",
 "Normal"))</f>
        <v>Normal</v>
      </c>
      <c r="Z474">
        <f ca="1" xml:space="preserve"> _xlfn.DAYS(TODAY(), orders[[#This Row],[OrderDate]])</f>
        <v>963</v>
      </c>
      <c r="AA474"/>
    </row>
    <row r="475" spans="1:27">
      <c r="A475" t="s">
        <v>3258</v>
      </c>
      <c r="B475" t="s">
        <v>2669</v>
      </c>
      <c r="C475" t="s">
        <v>3319</v>
      </c>
      <c r="D475" t="str">
        <f>TEXT(orders[[#This Row],[OrderDate]], "YYYY-MM")</f>
        <v>2023-05</v>
      </c>
      <c r="E475" t="s">
        <v>2776</v>
      </c>
      <c r="F475" s="1">
        <v>45055</v>
      </c>
      <c r="G475" s="1">
        <v>45057</v>
      </c>
      <c r="H475" s="1">
        <v>45058</v>
      </c>
      <c r="I475">
        <v>1</v>
      </c>
      <c r="J475">
        <v>55990</v>
      </c>
      <c r="K475">
        <v>0</v>
      </c>
      <c r="L475">
        <v>0</v>
      </c>
      <c r="M475">
        <v>55990</v>
      </c>
      <c r="N475">
        <v>15990</v>
      </c>
      <c r="O475" t="s">
        <v>2749</v>
      </c>
      <c r="P475" t="s">
        <v>2770</v>
      </c>
      <c r="Q475" t="s">
        <v>2762</v>
      </c>
      <c r="R475" t="s">
        <v>35</v>
      </c>
      <c r="S475">
        <v>2</v>
      </c>
      <c r="T475">
        <v>2023</v>
      </c>
      <c r="U475" t="s">
        <v>2766</v>
      </c>
      <c r="V475" t="s">
        <v>2767</v>
      </c>
      <c r="W475">
        <v>2</v>
      </c>
      <c r="X47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75" t="str">
        <f>IF(orders[[#This Row],[Revenue]]&gt;AVERAGE(orders[Revenue])+3*STDEV(orders[Revenue]),"High Outlier",
 IF(orders[[#This Row],[Revenue]]&lt;AVERAGE(orders[Revenue])-3*STDEV(orders[Revenue]),"Low Outlier",
 "Normal"))</f>
        <v>Normal</v>
      </c>
      <c r="Z475">
        <f ca="1" xml:space="preserve"> _xlfn.DAYS(TODAY(), orders[[#This Row],[OrderDate]])</f>
        <v>1087</v>
      </c>
      <c r="AA475"/>
    </row>
    <row r="476" spans="1:27">
      <c r="A476" t="s">
        <v>3259</v>
      </c>
      <c r="B476" t="s">
        <v>2605</v>
      </c>
      <c r="C476" t="s">
        <v>3356</v>
      </c>
      <c r="D476" t="str">
        <f>TEXT(orders[[#This Row],[OrderDate]], "YYYY-MM")</f>
        <v>2023-07</v>
      </c>
      <c r="E476" t="s">
        <v>2785</v>
      </c>
      <c r="F476" s="1">
        <v>45136</v>
      </c>
      <c r="G476" s="1">
        <v>45142</v>
      </c>
      <c r="H476" s="1">
        <v>45144</v>
      </c>
      <c r="I476">
        <v>4</v>
      </c>
      <c r="J476">
        <v>9999</v>
      </c>
      <c r="K476">
        <v>0</v>
      </c>
      <c r="L476">
        <v>0</v>
      </c>
      <c r="M476">
        <v>39996</v>
      </c>
      <c r="N476">
        <v>13996</v>
      </c>
      <c r="O476" t="s">
        <v>2749</v>
      </c>
      <c r="P476" t="s">
        <v>2778</v>
      </c>
      <c r="Q476" t="s">
        <v>2779</v>
      </c>
      <c r="R476" t="s">
        <v>188</v>
      </c>
      <c r="S476">
        <v>5</v>
      </c>
      <c r="T476">
        <v>2023</v>
      </c>
      <c r="U476" t="s">
        <v>2792</v>
      </c>
      <c r="V476" t="s">
        <v>2774</v>
      </c>
      <c r="W476">
        <v>6</v>
      </c>
      <c r="X47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76" t="str">
        <f>IF(orders[[#This Row],[Revenue]]&gt;AVERAGE(orders[Revenue])+3*STDEV(orders[Revenue]),"High Outlier",
 IF(orders[[#This Row],[Revenue]]&lt;AVERAGE(orders[Revenue])-3*STDEV(orders[Revenue]),"Low Outlier",
 "Normal"))</f>
        <v>Normal</v>
      </c>
      <c r="Z476">
        <f ca="1" xml:space="preserve"> _xlfn.DAYS(TODAY(), orders[[#This Row],[OrderDate]])</f>
        <v>1006</v>
      </c>
      <c r="AA476"/>
    </row>
    <row r="477" spans="1:27">
      <c r="A477" t="s">
        <v>3260</v>
      </c>
      <c r="B477" t="s">
        <v>1855</v>
      </c>
      <c r="C477" t="s">
        <v>3418</v>
      </c>
      <c r="D477" t="str">
        <f>TEXT(orders[[#This Row],[OrderDate]], "YYYY-MM")</f>
        <v>2022-07</v>
      </c>
      <c r="E477" t="s">
        <v>2769</v>
      </c>
      <c r="F477" s="1">
        <v>44747</v>
      </c>
      <c r="I477">
        <v>3</v>
      </c>
      <c r="J477">
        <v>4999</v>
      </c>
      <c r="K477">
        <v>5</v>
      </c>
      <c r="L477">
        <v>749.85</v>
      </c>
      <c r="M477">
        <v>14247.15</v>
      </c>
      <c r="N477">
        <v>5847.15</v>
      </c>
      <c r="O477" t="s">
        <v>2781</v>
      </c>
      <c r="P477" t="s">
        <v>2761</v>
      </c>
      <c r="Q477" t="s">
        <v>2758</v>
      </c>
      <c r="R477" t="s">
        <v>46</v>
      </c>
      <c r="T477">
        <v>2022</v>
      </c>
      <c r="U477" t="s">
        <v>2792</v>
      </c>
      <c r="V477" t="s">
        <v>2774</v>
      </c>
      <c r="X47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77" t="str">
        <f>IF(orders[[#This Row],[Revenue]]&gt;AVERAGE(orders[Revenue])+3*STDEV(orders[Revenue]),"High Outlier",
 IF(orders[[#This Row],[Revenue]]&lt;AVERAGE(orders[Revenue])-3*STDEV(orders[Revenue]),"Low Outlier",
 "Normal"))</f>
        <v>Normal</v>
      </c>
      <c r="Z477">
        <f ca="1" xml:space="preserve"> _xlfn.DAYS(TODAY(), orders[[#This Row],[OrderDate]])</f>
        <v>1395</v>
      </c>
      <c r="AA477"/>
    </row>
    <row r="478" spans="1:27">
      <c r="A478" t="s">
        <v>3261</v>
      </c>
      <c r="B478" t="s">
        <v>279</v>
      </c>
      <c r="C478" t="s">
        <v>3405</v>
      </c>
      <c r="D478" t="str">
        <f>TEXT(orders[[#This Row],[OrderDate]], "YYYY-MM")</f>
        <v>2024-02</v>
      </c>
      <c r="E478" t="s">
        <v>2769</v>
      </c>
      <c r="F478" s="1">
        <v>45334</v>
      </c>
      <c r="I478">
        <v>4</v>
      </c>
      <c r="J478">
        <v>8495</v>
      </c>
      <c r="K478">
        <v>20</v>
      </c>
      <c r="L478">
        <v>6796</v>
      </c>
      <c r="M478">
        <v>27184</v>
      </c>
      <c r="N478">
        <v>5184</v>
      </c>
      <c r="O478" t="s">
        <v>2781</v>
      </c>
      <c r="P478" t="s">
        <v>2770</v>
      </c>
      <c r="Q478" t="s">
        <v>2779</v>
      </c>
      <c r="R478" t="s">
        <v>46</v>
      </c>
      <c r="T478">
        <v>2024</v>
      </c>
      <c r="U478" t="s">
        <v>2759</v>
      </c>
      <c r="V478" t="s">
        <v>2753</v>
      </c>
      <c r="X47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78" t="str">
        <f>IF(orders[[#This Row],[Revenue]]&gt;AVERAGE(orders[Revenue])+3*STDEV(orders[Revenue]),"High Outlier",
 IF(orders[[#This Row],[Revenue]]&lt;AVERAGE(orders[Revenue])-3*STDEV(orders[Revenue]),"Low Outlier",
 "Normal"))</f>
        <v>Normal</v>
      </c>
      <c r="Z478">
        <f ca="1" xml:space="preserve"> _xlfn.DAYS(TODAY(), orders[[#This Row],[OrderDate]])</f>
        <v>808</v>
      </c>
      <c r="AA478"/>
    </row>
    <row r="479" spans="1:27">
      <c r="A479" t="s">
        <v>3262</v>
      </c>
      <c r="B479" t="s">
        <v>771</v>
      </c>
      <c r="C479" t="s">
        <v>3345</v>
      </c>
      <c r="D479" t="str">
        <f>TEXT(orders[[#This Row],[OrderDate]], "YYYY-MM")</f>
        <v>2023-08</v>
      </c>
      <c r="E479" t="s">
        <v>2804</v>
      </c>
      <c r="F479" s="1">
        <v>45157</v>
      </c>
      <c r="G479" s="1">
        <v>45158</v>
      </c>
      <c r="H479" s="1">
        <v>45158</v>
      </c>
      <c r="I479">
        <v>3</v>
      </c>
      <c r="J479">
        <v>29900</v>
      </c>
      <c r="K479">
        <v>5</v>
      </c>
      <c r="L479">
        <v>4485</v>
      </c>
      <c r="M479">
        <v>85215</v>
      </c>
      <c r="N479">
        <v>25215</v>
      </c>
      <c r="O479" t="s">
        <v>2749</v>
      </c>
      <c r="P479" t="s">
        <v>2778</v>
      </c>
      <c r="Q479" t="s">
        <v>2762</v>
      </c>
      <c r="R479" t="s">
        <v>46</v>
      </c>
      <c r="S479">
        <v>5</v>
      </c>
      <c r="T479">
        <v>2023</v>
      </c>
      <c r="U479" t="s">
        <v>2773</v>
      </c>
      <c r="V479" t="s">
        <v>2774</v>
      </c>
      <c r="W479">
        <v>1</v>
      </c>
      <c r="X47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79" t="str">
        <f>IF(orders[[#This Row],[Revenue]]&gt;AVERAGE(orders[Revenue])+3*STDEV(orders[Revenue]),"High Outlier",
 IF(orders[[#This Row],[Revenue]]&lt;AVERAGE(orders[Revenue])-3*STDEV(orders[Revenue]),"Low Outlier",
 "Normal"))</f>
        <v>Normal</v>
      </c>
      <c r="Z479">
        <f ca="1" xml:space="preserve"> _xlfn.DAYS(TODAY(), orders[[#This Row],[OrderDate]])</f>
        <v>985</v>
      </c>
      <c r="AA479"/>
    </row>
    <row r="480" spans="1:27">
      <c r="A480" t="s">
        <v>3263</v>
      </c>
      <c r="B480" t="s">
        <v>1168</v>
      </c>
      <c r="C480" t="s">
        <v>3325</v>
      </c>
      <c r="D480" t="str">
        <f>TEXT(orders[[#This Row],[OrderDate]], "YYYY-MM")</f>
        <v>2024-02</v>
      </c>
      <c r="E480" t="s">
        <v>2785</v>
      </c>
      <c r="F480" s="1">
        <v>45340</v>
      </c>
      <c r="I480">
        <v>1</v>
      </c>
      <c r="J480">
        <v>49990</v>
      </c>
      <c r="K480">
        <v>5</v>
      </c>
      <c r="L480">
        <v>2499.5</v>
      </c>
      <c r="M480">
        <v>47490.5</v>
      </c>
      <c r="N480">
        <v>12490.5</v>
      </c>
      <c r="O480" t="s">
        <v>2756</v>
      </c>
      <c r="P480" t="s">
        <v>2757</v>
      </c>
      <c r="Q480" t="s">
        <v>2758</v>
      </c>
      <c r="R480" t="s">
        <v>188</v>
      </c>
      <c r="T480">
        <v>2024</v>
      </c>
      <c r="U480" t="s">
        <v>2759</v>
      </c>
      <c r="V480" t="s">
        <v>2753</v>
      </c>
      <c r="X48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80" t="str">
        <f>IF(orders[[#This Row],[Revenue]]&gt;AVERAGE(orders[Revenue])+3*STDEV(orders[Revenue]),"High Outlier",
 IF(orders[[#This Row],[Revenue]]&lt;AVERAGE(orders[Revenue])-3*STDEV(orders[Revenue]),"Low Outlier",
 "Normal"))</f>
        <v>Normal</v>
      </c>
      <c r="Z480">
        <f ca="1" xml:space="preserve"> _xlfn.DAYS(TODAY(), orders[[#This Row],[OrderDate]])</f>
        <v>802</v>
      </c>
      <c r="AA480"/>
    </row>
    <row r="481" spans="1:27">
      <c r="A481" t="s">
        <v>3264</v>
      </c>
      <c r="B481" t="s">
        <v>1603</v>
      </c>
      <c r="C481" t="s">
        <v>3336</v>
      </c>
      <c r="D481" t="str">
        <f>TEXT(orders[[#This Row],[OrderDate]], "YYYY-MM")</f>
        <v>2024-05</v>
      </c>
      <c r="E481" t="s">
        <v>2769</v>
      </c>
      <c r="F481" s="1">
        <v>45429</v>
      </c>
      <c r="G481" s="1">
        <v>45436</v>
      </c>
      <c r="H481" s="1">
        <v>45438</v>
      </c>
      <c r="I481">
        <v>2</v>
      </c>
      <c r="J481">
        <v>26990</v>
      </c>
      <c r="K481">
        <v>20</v>
      </c>
      <c r="L481">
        <v>10796</v>
      </c>
      <c r="M481">
        <v>43184</v>
      </c>
      <c r="N481">
        <v>7184</v>
      </c>
      <c r="O481" t="s">
        <v>2749</v>
      </c>
      <c r="P481" t="s">
        <v>2778</v>
      </c>
      <c r="Q481" t="s">
        <v>2758</v>
      </c>
      <c r="R481" t="s">
        <v>46</v>
      </c>
      <c r="S481">
        <v>5</v>
      </c>
      <c r="T481">
        <v>2024</v>
      </c>
      <c r="U481" t="s">
        <v>2766</v>
      </c>
      <c r="V481" t="s">
        <v>2767</v>
      </c>
      <c r="W481">
        <v>7</v>
      </c>
      <c r="X48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81" t="str">
        <f>IF(orders[[#This Row],[Revenue]]&gt;AVERAGE(orders[Revenue])+3*STDEV(orders[Revenue]),"High Outlier",
 IF(orders[[#This Row],[Revenue]]&lt;AVERAGE(orders[Revenue])-3*STDEV(orders[Revenue]),"Low Outlier",
 "Normal"))</f>
        <v>Normal</v>
      </c>
      <c r="Z481">
        <f ca="1" xml:space="preserve"> _xlfn.DAYS(TODAY(), orders[[#This Row],[OrderDate]])</f>
        <v>713</v>
      </c>
      <c r="AA481"/>
    </row>
    <row r="482" spans="1:27">
      <c r="A482" t="s">
        <v>3265</v>
      </c>
      <c r="B482" t="s">
        <v>766</v>
      </c>
      <c r="C482" t="s">
        <v>3319</v>
      </c>
      <c r="D482" t="str">
        <f>TEXT(orders[[#This Row],[OrderDate]], "YYYY-MM")</f>
        <v>2022-01</v>
      </c>
      <c r="E482" t="s">
        <v>2813</v>
      </c>
      <c r="F482" s="1">
        <v>44580</v>
      </c>
      <c r="I482">
        <v>4</v>
      </c>
      <c r="J482">
        <v>55990</v>
      </c>
      <c r="K482">
        <v>10</v>
      </c>
      <c r="L482">
        <v>22396</v>
      </c>
      <c r="M482">
        <v>201564</v>
      </c>
      <c r="N482">
        <v>41564</v>
      </c>
      <c r="O482" t="s">
        <v>2756</v>
      </c>
      <c r="P482" t="s">
        <v>2782</v>
      </c>
      <c r="Q482" t="s">
        <v>2794</v>
      </c>
      <c r="R482" t="s">
        <v>76</v>
      </c>
      <c r="T482">
        <v>2022</v>
      </c>
      <c r="U482" t="s">
        <v>2795</v>
      </c>
      <c r="V482" t="s">
        <v>2753</v>
      </c>
      <c r="X48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82" t="str">
        <f>IF(orders[[#This Row],[Revenue]]&gt;AVERAGE(orders[Revenue])+3*STDEV(orders[Revenue]),"High Outlier",
 IF(orders[[#This Row],[Revenue]]&lt;AVERAGE(orders[Revenue])-3*STDEV(orders[Revenue]),"Low Outlier",
 "Normal"))</f>
        <v>Normal</v>
      </c>
      <c r="Z482">
        <f ca="1" xml:space="preserve"> _xlfn.DAYS(TODAY(), orders[[#This Row],[OrderDate]])</f>
        <v>1562</v>
      </c>
      <c r="AA482"/>
    </row>
    <row r="483" spans="1:27">
      <c r="A483" t="s">
        <v>3266</v>
      </c>
      <c r="B483" t="s">
        <v>2370</v>
      </c>
      <c r="C483" t="s">
        <v>3340</v>
      </c>
      <c r="D483" t="str">
        <f>TEXT(orders[[#This Row],[OrderDate]], "YYYY-MM")</f>
        <v>2024-07</v>
      </c>
      <c r="E483" t="s">
        <v>2769</v>
      </c>
      <c r="F483" s="1">
        <v>45495</v>
      </c>
      <c r="G483" s="1">
        <v>45500</v>
      </c>
      <c r="H483" s="1">
        <v>45502</v>
      </c>
      <c r="I483">
        <v>2</v>
      </c>
      <c r="J483">
        <v>6999</v>
      </c>
      <c r="K483">
        <v>0</v>
      </c>
      <c r="L483">
        <v>0</v>
      </c>
      <c r="M483">
        <v>13998</v>
      </c>
      <c r="N483">
        <v>5598</v>
      </c>
      <c r="O483" t="s">
        <v>2749</v>
      </c>
      <c r="P483" t="s">
        <v>2761</v>
      </c>
      <c r="Q483" t="s">
        <v>2794</v>
      </c>
      <c r="R483" t="s">
        <v>46</v>
      </c>
      <c r="S483">
        <v>3</v>
      </c>
      <c r="T483">
        <v>2024</v>
      </c>
      <c r="U483" t="s">
        <v>2792</v>
      </c>
      <c r="V483" t="s">
        <v>2774</v>
      </c>
      <c r="W483">
        <v>5</v>
      </c>
      <c r="X48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83" t="str">
        <f>IF(orders[[#This Row],[Revenue]]&gt;AVERAGE(orders[Revenue])+3*STDEV(orders[Revenue]),"High Outlier",
 IF(orders[[#This Row],[Revenue]]&lt;AVERAGE(orders[Revenue])-3*STDEV(orders[Revenue]),"Low Outlier",
 "Normal"))</f>
        <v>Normal</v>
      </c>
      <c r="Z483">
        <f ca="1" xml:space="preserve"> _xlfn.DAYS(TODAY(), orders[[#This Row],[OrderDate]])</f>
        <v>647</v>
      </c>
      <c r="AA483"/>
    </row>
    <row r="484" spans="1:27">
      <c r="A484" t="s">
        <v>3267</v>
      </c>
      <c r="B484" t="s">
        <v>1518</v>
      </c>
      <c r="C484" t="s">
        <v>3413</v>
      </c>
      <c r="D484" t="str">
        <f>TEXT(orders[[#This Row],[OrderDate]], "YYYY-MM")</f>
        <v>2023-07</v>
      </c>
      <c r="E484" t="s">
        <v>2809</v>
      </c>
      <c r="F484" s="1">
        <v>45122</v>
      </c>
      <c r="I484">
        <v>5</v>
      </c>
      <c r="J484">
        <v>5999</v>
      </c>
      <c r="K484">
        <v>15</v>
      </c>
      <c r="L484">
        <v>4499.25</v>
      </c>
      <c r="M484">
        <v>25495.75</v>
      </c>
      <c r="N484">
        <v>6495.75</v>
      </c>
      <c r="O484" t="s">
        <v>2781</v>
      </c>
      <c r="P484" t="s">
        <v>2778</v>
      </c>
      <c r="Q484" t="s">
        <v>2779</v>
      </c>
      <c r="R484" t="s">
        <v>24</v>
      </c>
      <c r="T484">
        <v>2023</v>
      </c>
      <c r="U484" t="s">
        <v>2792</v>
      </c>
      <c r="V484" t="s">
        <v>2774</v>
      </c>
      <c r="X48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84" t="str">
        <f>IF(orders[[#This Row],[Revenue]]&gt;AVERAGE(orders[Revenue])+3*STDEV(orders[Revenue]),"High Outlier",
 IF(orders[[#This Row],[Revenue]]&lt;AVERAGE(orders[Revenue])-3*STDEV(orders[Revenue]),"Low Outlier",
 "Normal"))</f>
        <v>Normal</v>
      </c>
      <c r="Z484">
        <f ca="1" xml:space="preserve"> _xlfn.DAYS(TODAY(), orders[[#This Row],[OrderDate]])</f>
        <v>1020</v>
      </c>
      <c r="AA484"/>
    </row>
    <row r="485" spans="1:27">
      <c r="A485" t="s">
        <v>3268</v>
      </c>
      <c r="B485" t="s">
        <v>1498</v>
      </c>
      <c r="C485" t="s">
        <v>3350</v>
      </c>
      <c r="D485" t="str">
        <f>TEXT(orders[[#This Row],[OrderDate]], "YYYY-MM")</f>
        <v>2022-05</v>
      </c>
      <c r="E485" t="s">
        <v>2785</v>
      </c>
      <c r="F485" s="1">
        <v>44682</v>
      </c>
      <c r="G485" s="1">
        <v>44684</v>
      </c>
      <c r="H485" s="1">
        <v>44685</v>
      </c>
      <c r="I485">
        <v>2</v>
      </c>
      <c r="J485">
        <v>12999</v>
      </c>
      <c r="K485">
        <v>0</v>
      </c>
      <c r="L485">
        <v>0</v>
      </c>
      <c r="M485">
        <v>25998</v>
      </c>
      <c r="N485">
        <v>9998</v>
      </c>
      <c r="O485" t="s">
        <v>2749</v>
      </c>
      <c r="P485" t="s">
        <v>2782</v>
      </c>
      <c r="Q485" t="s">
        <v>2751</v>
      </c>
      <c r="R485" t="s">
        <v>188</v>
      </c>
      <c r="S485">
        <v>4</v>
      </c>
      <c r="T485">
        <v>2022</v>
      </c>
      <c r="U485" t="s">
        <v>2766</v>
      </c>
      <c r="V485" t="s">
        <v>2767</v>
      </c>
      <c r="W485">
        <v>2</v>
      </c>
      <c r="X48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85" t="str">
        <f>IF(orders[[#This Row],[Revenue]]&gt;AVERAGE(orders[Revenue])+3*STDEV(orders[Revenue]),"High Outlier",
 IF(orders[[#This Row],[Revenue]]&lt;AVERAGE(orders[Revenue])-3*STDEV(orders[Revenue]),"Low Outlier",
 "Normal"))</f>
        <v>Normal</v>
      </c>
      <c r="Z485">
        <f ca="1" xml:space="preserve"> _xlfn.DAYS(TODAY(), orders[[#This Row],[OrderDate]])</f>
        <v>1460</v>
      </c>
      <c r="AA485"/>
    </row>
    <row r="486" spans="1:27">
      <c r="A486" t="s">
        <v>3269</v>
      </c>
      <c r="B486" t="s">
        <v>990</v>
      </c>
      <c r="C486" t="s">
        <v>3409</v>
      </c>
      <c r="D486" t="str">
        <f>TEXT(orders[[#This Row],[OrderDate]], "YYYY-MM")</f>
        <v>2022-02</v>
      </c>
      <c r="E486" t="s">
        <v>2804</v>
      </c>
      <c r="F486" s="1">
        <v>44606</v>
      </c>
      <c r="I486">
        <v>4</v>
      </c>
      <c r="J486">
        <v>7499</v>
      </c>
      <c r="K486">
        <v>10</v>
      </c>
      <c r="L486">
        <v>2999.6</v>
      </c>
      <c r="M486">
        <v>26996.400000000001</v>
      </c>
      <c r="N486">
        <v>7796.4</v>
      </c>
      <c r="O486" t="s">
        <v>2756</v>
      </c>
      <c r="P486" t="s">
        <v>2770</v>
      </c>
      <c r="Q486" t="s">
        <v>2751</v>
      </c>
      <c r="R486" t="s">
        <v>46</v>
      </c>
      <c r="T486">
        <v>2022</v>
      </c>
      <c r="U486" t="s">
        <v>2759</v>
      </c>
      <c r="V486" t="s">
        <v>2753</v>
      </c>
      <c r="X48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86" t="str">
        <f>IF(orders[[#This Row],[Revenue]]&gt;AVERAGE(orders[Revenue])+3*STDEV(orders[Revenue]),"High Outlier",
 IF(orders[[#This Row],[Revenue]]&lt;AVERAGE(orders[Revenue])-3*STDEV(orders[Revenue]),"Low Outlier",
 "Normal"))</f>
        <v>Normal</v>
      </c>
      <c r="Z486">
        <f ca="1" xml:space="preserve"> _xlfn.DAYS(TODAY(), orders[[#This Row],[OrderDate]])</f>
        <v>1536</v>
      </c>
      <c r="AA486"/>
    </row>
    <row r="487" spans="1:27">
      <c r="A487" t="s">
        <v>3270</v>
      </c>
      <c r="B487" t="s">
        <v>1119</v>
      </c>
      <c r="C487" t="s">
        <v>3423</v>
      </c>
      <c r="D487" t="str">
        <f>TEXT(orders[[#This Row],[OrderDate]], "YYYY-MM")</f>
        <v>2024-03</v>
      </c>
      <c r="E487" t="s">
        <v>2755</v>
      </c>
      <c r="F487" s="1">
        <v>45362</v>
      </c>
      <c r="G487" s="1">
        <v>45367</v>
      </c>
      <c r="H487" s="1">
        <v>45369</v>
      </c>
      <c r="I487">
        <v>3</v>
      </c>
      <c r="J487">
        <v>1599</v>
      </c>
      <c r="K487">
        <v>5</v>
      </c>
      <c r="L487">
        <v>239.85</v>
      </c>
      <c r="M487">
        <v>4557.1499999999996</v>
      </c>
      <c r="N487">
        <v>2157.15</v>
      </c>
      <c r="O487" t="s">
        <v>2749</v>
      </c>
      <c r="P487" t="s">
        <v>2778</v>
      </c>
      <c r="Q487" t="s">
        <v>2758</v>
      </c>
      <c r="R487" t="s">
        <v>24</v>
      </c>
      <c r="S487">
        <v>4</v>
      </c>
      <c r="T487">
        <v>2024</v>
      </c>
      <c r="U487" t="s">
        <v>2752</v>
      </c>
      <c r="V487" t="s">
        <v>2753</v>
      </c>
      <c r="W487">
        <v>5</v>
      </c>
      <c r="X48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87" t="str">
        <f>IF(orders[[#This Row],[Revenue]]&gt;AVERAGE(orders[Revenue])+3*STDEV(orders[Revenue]),"High Outlier",
 IF(orders[[#This Row],[Revenue]]&lt;AVERAGE(orders[Revenue])-3*STDEV(orders[Revenue]),"Low Outlier",
 "Normal"))</f>
        <v>Normal</v>
      </c>
      <c r="Z487">
        <f ca="1" xml:space="preserve"> _xlfn.DAYS(TODAY(), orders[[#This Row],[OrderDate]])</f>
        <v>780</v>
      </c>
      <c r="AA487"/>
    </row>
    <row r="488" spans="1:27">
      <c r="A488" t="s">
        <v>3271</v>
      </c>
      <c r="B488" t="s">
        <v>390</v>
      </c>
      <c r="C488" t="s">
        <v>3325</v>
      </c>
      <c r="D488" t="str">
        <f>TEXT(orders[[#This Row],[OrderDate]], "YYYY-MM")</f>
        <v>2022-04</v>
      </c>
      <c r="E488" t="s">
        <v>2769</v>
      </c>
      <c r="F488" s="1">
        <v>44672</v>
      </c>
      <c r="I488">
        <v>3</v>
      </c>
      <c r="J488">
        <v>49990</v>
      </c>
      <c r="K488">
        <v>15</v>
      </c>
      <c r="L488">
        <v>22495.5</v>
      </c>
      <c r="M488">
        <v>127474.5</v>
      </c>
      <c r="N488">
        <v>22474.5</v>
      </c>
      <c r="O488" t="s">
        <v>2781</v>
      </c>
      <c r="P488" t="s">
        <v>2778</v>
      </c>
      <c r="Q488" t="s">
        <v>2779</v>
      </c>
      <c r="R488" t="s">
        <v>46</v>
      </c>
      <c r="T488">
        <v>2022</v>
      </c>
      <c r="U488" t="s">
        <v>2783</v>
      </c>
      <c r="V488" t="s">
        <v>2767</v>
      </c>
      <c r="X48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88" t="str">
        <f>IF(orders[[#This Row],[Revenue]]&gt;AVERAGE(orders[Revenue])+3*STDEV(orders[Revenue]),"High Outlier",
 IF(orders[[#This Row],[Revenue]]&lt;AVERAGE(orders[Revenue])-3*STDEV(orders[Revenue]),"Low Outlier",
 "Normal"))</f>
        <v>Normal</v>
      </c>
      <c r="Z488">
        <f ca="1" xml:space="preserve"> _xlfn.DAYS(TODAY(), orders[[#This Row],[OrderDate]])</f>
        <v>1470</v>
      </c>
      <c r="AA488"/>
    </row>
    <row r="489" spans="1:27">
      <c r="A489" t="s">
        <v>3272</v>
      </c>
      <c r="B489" t="s">
        <v>1707</v>
      </c>
      <c r="C489" t="s">
        <v>3325</v>
      </c>
      <c r="D489" t="str">
        <f>TEXT(orders[[#This Row],[OrderDate]], "YYYY-MM")</f>
        <v>2024-09</v>
      </c>
      <c r="E489" t="s">
        <v>2769</v>
      </c>
      <c r="F489" s="1">
        <v>45550</v>
      </c>
      <c r="G489" s="1">
        <v>45552</v>
      </c>
      <c r="H489" s="1">
        <v>45553</v>
      </c>
      <c r="I489">
        <v>2</v>
      </c>
      <c r="J489">
        <v>49990</v>
      </c>
      <c r="K489">
        <v>5</v>
      </c>
      <c r="L489">
        <v>4999</v>
      </c>
      <c r="M489">
        <v>94981</v>
      </c>
      <c r="N489">
        <v>24981</v>
      </c>
      <c r="O489" t="s">
        <v>2749</v>
      </c>
      <c r="P489" t="s">
        <v>2778</v>
      </c>
      <c r="Q489" t="s">
        <v>2762</v>
      </c>
      <c r="R489" t="s">
        <v>46</v>
      </c>
      <c r="S489">
        <v>3</v>
      </c>
      <c r="T489">
        <v>2024</v>
      </c>
      <c r="U489" t="s">
        <v>2790</v>
      </c>
      <c r="V489" t="s">
        <v>2774</v>
      </c>
      <c r="W489">
        <v>2</v>
      </c>
      <c r="X48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89" t="str">
        <f>IF(orders[[#This Row],[Revenue]]&gt;AVERAGE(orders[Revenue])+3*STDEV(orders[Revenue]),"High Outlier",
 IF(orders[[#This Row],[Revenue]]&lt;AVERAGE(orders[Revenue])-3*STDEV(orders[Revenue]),"Low Outlier",
 "Normal"))</f>
        <v>Normal</v>
      </c>
      <c r="Z489">
        <f ca="1" xml:space="preserve"> _xlfn.DAYS(TODAY(), orders[[#This Row],[OrderDate]])</f>
        <v>592</v>
      </c>
      <c r="AA489"/>
    </row>
    <row r="490" spans="1:27">
      <c r="A490" t="s">
        <v>3273</v>
      </c>
      <c r="B490" t="s">
        <v>2089</v>
      </c>
      <c r="C490" t="s">
        <v>3394</v>
      </c>
      <c r="D490" t="str">
        <f>TEXT(orders[[#This Row],[OrderDate]], "YYYY-MM")</f>
        <v>2022-10</v>
      </c>
      <c r="E490" t="s">
        <v>2748</v>
      </c>
      <c r="F490" s="1">
        <v>44864</v>
      </c>
      <c r="G490" s="1">
        <v>44868</v>
      </c>
      <c r="H490" s="1">
        <v>44869</v>
      </c>
      <c r="I490">
        <v>1</v>
      </c>
      <c r="J490">
        <v>2499</v>
      </c>
      <c r="K490">
        <v>0</v>
      </c>
      <c r="L490">
        <v>0</v>
      </c>
      <c r="M490">
        <v>2499</v>
      </c>
      <c r="N490">
        <v>1299</v>
      </c>
      <c r="O490" t="s">
        <v>2749</v>
      </c>
      <c r="P490" t="s">
        <v>2750</v>
      </c>
      <c r="Q490" t="s">
        <v>2751</v>
      </c>
      <c r="R490" t="s">
        <v>188</v>
      </c>
      <c r="S490">
        <v>2</v>
      </c>
      <c r="T490">
        <v>2022</v>
      </c>
      <c r="U490" t="s">
        <v>2788</v>
      </c>
      <c r="V490" t="s">
        <v>2764</v>
      </c>
      <c r="W490">
        <v>4</v>
      </c>
      <c r="X49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90" t="str">
        <f>IF(orders[[#This Row],[Revenue]]&gt;AVERAGE(orders[Revenue])+3*STDEV(orders[Revenue]),"High Outlier",
 IF(orders[[#This Row],[Revenue]]&lt;AVERAGE(orders[Revenue])-3*STDEV(orders[Revenue]),"Low Outlier",
 "Normal"))</f>
        <v>Normal</v>
      </c>
      <c r="Z490">
        <f ca="1" xml:space="preserve"> _xlfn.DAYS(TODAY(), orders[[#This Row],[OrderDate]])</f>
        <v>1278</v>
      </c>
      <c r="AA490"/>
    </row>
    <row r="491" spans="1:27">
      <c r="A491" t="s">
        <v>3274</v>
      </c>
      <c r="B491" t="s">
        <v>2644</v>
      </c>
      <c r="C491" t="s">
        <v>3307</v>
      </c>
      <c r="D491" t="str">
        <f>TEXT(orders[[#This Row],[OrderDate]], "YYYY-MM")</f>
        <v>2024-11</v>
      </c>
      <c r="E491" t="s">
        <v>2809</v>
      </c>
      <c r="F491" s="1">
        <v>45617</v>
      </c>
      <c r="I491">
        <v>3</v>
      </c>
      <c r="J491">
        <v>69999</v>
      </c>
      <c r="K491">
        <v>10</v>
      </c>
      <c r="L491">
        <v>20999.7</v>
      </c>
      <c r="M491">
        <v>188997.3</v>
      </c>
      <c r="N491">
        <v>44997.3</v>
      </c>
      <c r="O491" t="s">
        <v>2781</v>
      </c>
      <c r="P491" t="s">
        <v>2782</v>
      </c>
      <c r="Q491" t="s">
        <v>2751</v>
      </c>
      <c r="R491" t="s">
        <v>24</v>
      </c>
      <c r="T491">
        <v>2024</v>
      </c>
      <c r="U491" t="s">
        <v>2786</v>
      </c>
      <c r="V491" t="s">
        <v>2764</v>
      </c>
      <c r="X49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91" t="str">
        <f>IF(orders[[#This Row],[Revenue]]&gt;AVERAGE(orders[Revenue])+3*STDEV(orders[Revenue]),"High Outlier",
 IF(orders[[#This Row],[Revenue]]&lt;AVERAGE(orders[Revenue])-3*STDEV(orders[Revenue]),"Low Outlier",
 "Normal"))</f>
        <v>Normal</v>
      </c>
      <c r="Z491">
        <f ca="1" xml:space="preserve"> _xlfn.DAYS(TODAY(), orders[[#This Row],[OrderDate]])</f>
        <v>525</v>
      </c>
      <c r="AA491"/>
    </row>
    <row r="492" spans="1:27">
      <c r="A492" t="s">
        <v>3275</v>
      </c>
      <c r="B492" t="s">
        <v>832</v>
      </c>
      <c r="C492" t="s">
        <v>3307</v>
      </c>
      <c r="D492" t="str">
        <f>TEXT(orders[[#This Row],[OrderDate]], "YYYY-MM")</f>
        <v>2023-05</v>
      </c>
      <c r="E492" t="s">
        <v>2809</v>
      </c>
      <c r="F492" s="1">
        <v>45055</v>
      </c>
      <c r="G492" s="1">
        <v>45059</v>
      </c>
      <c r="H492" s="1">
        <v>45061</v>
      </c>
      <c r="I492">
        <v>5</v>
      </c>
      <c r="J492">
        <v>69999</v>
      </c>
      <c r="K492">
        <v>0</v>
      </c>
      <c r="L492">
        <v>0</v>
      </c>
      <c r="M492">
        <v>349995</v>
      </c>
      <c r="N492">
        <v>109995</v>
      </c>
      <c r="O492" t="s">
        <v>2749</v>
      </c>
      <c r="P492" t="s">
        <v>2778</v>
      </c>
      <c r="Q492" t="s">
        <v>2751</v>
      </c>
      <c r="R492" t="s">
        <v>24</v>
      </c>
      <c r="S492">
        <v>1</v>
      </c>
      <c r="T492">
        <v>2023</v>
      </c>
      <c r="U492" t="s">
        <v>2766</v>
      </c>
      <c r="V492" t="s">
        <v>2767</v>
      </c>
      <c r="W492">
        <v>4</v>
      </c>
      <c r="X492"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92" t="str">
        <f>IF(orders[[#This Row],[Revenue]]&gt;AVERAGE(orders[Revenue])+3*STDEV(orders[Revenue]),"High Outlier",
 IF(orders[[#This Row],[Revenue]]&lt;AVERAGE(orders[Revenue])-3*STDEV(orders[Revenue]),"Low Outlier",
 "Normal"))</f>
        <v>Normal</v>
      </c>
      <c r="Z492">
        <f ca="1" xml:space="preserve"> _xlfn.DAYS(TODAY(), orders[[#This Row],[OrderDate]])</f>
        <v>1087</v>
      </c>
      <c r="AA492"/>
    </row>
    <row r="493" spans="1:27">
      <c r="A493" t="s">
        <v>3276</v>
      </c>
      <c r="B493" t="s">
        <v>2224</v>
      </c>
      <c r="C493" t="s">
        <v>3374</v>
      </c>
      <c r="D493" t="str">
        <f>TEXT(orders[[#This Row],[OrderDate]], "YYYY-MM")</f>
        <v>2023-07</v>
      </c>
      <c r="E493" t="s">
        <v>2755</v>
      </c>
      <c r="F493" s="1">
        <v>45125</v>
      </c>
      <c r="I493">
        <v>4</v>
      </c>
      <c r="J493">
        <v>64999</v>
      </c>
      <c r="K493">
        <v>10</v>
      </c>
      <c r="L493">
        <v>25999.599999999999</v>
      </c>
      <c r="M493">
        <v>233996.4</v>
      </c>
      <c r="N493">
        <v>53996.4</v>
      </c>
      <c r="O493" t="s">
        <v>2781</v>
      </c>
      <c r="P493" t="s">
        <v>2757</v>
      </c>
      <c r="Q493" t="s">
        <v>2762</v>
      </c>
      <c r="R493" t="s">
        <v>24</v>
      </c>
      <c r="T493">
        <v>2023</v>
      </c>
      <c r="U493" t="s">
        <v>2792</v>
      </c>
      <c r="V493" t="s">
        <v>2774</v>
      </c>
      <c r="X493"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93" t="str">
        <f>IF(orders[[#This Row],[Revenue]]&gt;AVERAGE(orders[Revenue])+3*STDEV(orders[Revenue]),"High Outlier",
 IF(orders[[#This Row],[Revenue]]&lt;AVERAGE(orders[Revenue])-3*STDEV(orders[Revenue]),"Low Outlier",
 "Normal"))</f>
        <v>Normal</v>
      </c>
      <c r="Z493">
        <f ca="1" xml:space="preserve"> _xlfn.DAYS(TODAY(), orders[[#This Row],[OrderDate]])</f>
        <v>1017</v>
      </c>
      <c r="AA493"/>
    </row>
    <row r="494" spans="1:27">
      <c r="A494" t="s">
        <v>3277</v>
      </c>
      <c r="B494" t="s">
        <v>451</v>
      </c>
      <c r="C494" t="s">
        <v>3314</v>
      </c>
      <c r="D494" t="str">
        <f>TEXT(orders[[#This Row],[OrderDate]], "YYYY-MM")</f>
        <v>2024-09</v>
      </c>
      <c r="E494" t="s">
        <v>2748</v>
      </c>
      <c r="F494" s="1">
        <v>45563</v>
      </c>
      <c r="I494">
        <v>5</v>
      </c>
      <c r="J494">
        <v>114900</v>
      </c>
      <c r="K494">
        <v>5</v>
      </c>
      <c r="L494">
        <v>28725</v>
      </c>
      <c r="M494">
        <v>545775</v>
      </c>
      <c r="N494">
        <v>120775</v>
      </c>
      <c r="O494" t="s">
        <v>2781</v>
      </c>
      <c r="P494" t="s">
        <v>2757</v>
      </c>
      <c r="Q494" t="s">
        <v>2758</v>
      </c>
      <c r="R494" t="s">
        <v>188</v>
      </c>
      <c r="T494">
        <v>2024</v>
      </c>
      <c r="U494" t="s">
        <v>2790</v>
      </c>
      <c r="V494" t="s">
        <v>2774</v>
      </c>
      <c r="X494"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94" t="str">
        <f>IF(orders[[#This Row],[Revenue]]&gt;AVERAGE(orders[Revenue])+3*STDEV(orders[Revenue]),"High Outlier",
 IF(orders[[#This Row],[Revenue]]&lt;AVERAGE(orders[Revenue])-3*STDEV(orders[Revenue]),"Low Outlier",
 "Normal"))</f>
        <v>High Outlier</v>
      </c>
      <c r="Z494">
        <f ca="1" xml:space="preserve"> _xlfn.DAYS(TODAY(), orders[[#This Row],[OrderDate]])</f>
        <v>579</v>
      </c>
      <c r="AA494"/>
    </row>
    <row r="495" spans="1:27">
      <c r="A495" t="s">
        <v>3278</v>
      </c>
      <c r="B495" t="s">
        <v>1697</v>
      </c>
      <c r="C495" t="s">
        <v>3394</v>
      </c>
      <c r="D495" t="str">
        <f>TEXT(orders[[#This Row],[OrderDate]], "YYYY-MM")</f>
        <v>2023-07</v>
      </c>
      <c r="E495" t="s">
        <v>2813</v>
      </c>
      <c r="F495" s="1">
        <v>45122</v>
      </c>
      <c r="I495">
        <v>1</v>
      </c>
      <c r="J495">
        <v>2499</v>
      </c>
      <c r="K495">
        <v>0</v>
      </c>
      <c r="L495">
        <v>0</v>
      </c>
      <c r="M495">
        <v>2499</v>
      </c>
      <c r="N495">
        <v>1299</v>
      </c>
      <c r="O495" t="s">
        <v>2781</v>
      </c>
      <c r="P495" t="s">
        <v>2770</v>
      </c>
      <c r="Q495" t="s">
        <v>2751</v>
      </c>
      <c r="R495" t="s">
        <v>76</v>
      </c>
      <c r="T495">
        <v>2023</v>
      </c>
      <c r="U495" t="s">
        <v>2792</v>
      </c>
      <c r="V495" t="s">
        <v>2774</v>
      </c>
      <c r="X495"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95" t="str">
        <f>IF(orders[[#This Row],[Revenue]]&gt;AVERAGE(orders[Revenue])+3*STDEV(orders[Revenue]),"High Outlier",
 IF(orders[[#This Row],[Revenue]]&lt;AVERAGE(orders[Revenue])-3*STDEV(orders[Revenue]),"Low Outlier",
 "Normal"))</f>
        <v>Normal</v>
      </c>
      <c r="Z495">
        <f ca="1" xml:space="preserve"> _xlfn.DAYS(TODAY(), orders[[#This Row],[OrderDate]])</f>
        <v>1020</v>
      </c>
      <c r="AA495"/>
    </row>
    <row r="496" spans="1:27">
      <c r="A496" t="s">
        <v>3279</v>
      </c>
      <c r="B496" t="s">
        <v>1886</v>
      </c>
      <c r="C496" t="s">
        <v>3413</v>
      </c>
      <c r="D496" t="str">
        <f>TEXT(orders[[#This Row],[OrderDate]], "YYYY-MM")</f>
        <v>2023-09</v>
      </c>
      <c r="E496" t="s">
        <v>2769</v>
      </c>
      <c r="F496" s="1">
        <v>45173</v>
      </c>
      <c r="I496">
        <v>2</v>
      </c>
      <c r="J496">
        <v>5999</v>
      </c>
      <c r="K496">
        <v>0</v>
      </c>
      <c r="L496">
        <v>0</v>
      </c>
      <c r="M496">
        <v>11998</v>
      </c>
      <c r="N496">
        <v>4398</v>
      </c>
      <c r="O496" t="s">
        <v>2756</v>
      </c>
      <c r="P496" t="s">
        <v>2750</v>
      </c>
      <c r="Q496" t="s">
        <v>2762</v>
      </c>
      <c r="R496" t="s">
        <v>46</v>
      </c>
      <c r="T496">
        <v>2023</v>
      </c>
      <c r="U496" t="s">
        <v>2790</v>
      </c>
      <c r="V496" t="s">
        <v>2774</v>
      </c>
      <c r="X496"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96" t="str">
        <f>IF(orders[[#This Row],[Revenue]]&gt;AVERAGE(orders[Revenue])+3*STDEV(orders[Revenue]),"High Outlier",
 IF(orders[[#This Row],[Revenue]]&lt;AVERAGE(orders[Revenue])-3*STDEV(orders[Revenue]),"Low Outlier",
 "Normal"))</f>
        <v>Normal</v>
      </c>
      <c r="Z496">
        <f ca="1" xml:space="preserve"> _xlfn.DAYS(TODAY(), orders[[#This Row],[OrderDate]])</f>
        <v>969</v>
      </c>
      <c r="AA496"/>
    </row>
    <row r="497" spans="1:27">
      <c r="A497" t="s">
        <v>3280</v>
      </c>
      <c r="B497" t="s">
        <v>2059</v>
      </c>
      <c r="C497" t="s">
        <v>3390</v>
      </c>
      <c r="D497" t="str">
        <f>TEXT(orders[[#This Row],[OrderDate]], "YYYY-MM")</f>
        <v>2024-04</v>
      </c>
      <c r="E497" t="s">
        <v>2804</v>
      </c>
      <c r="F497" s="1">
        <v>45392</v>
      </c>
      <c r="I497">
        <v>1</v>
      </c>
      <c r="J497">
        <v>54999</v>
      </c>
      <c r="K497">
        <v>10</v>
      </c>
      <c r="L497">
        <v>5499.9</v>
      </c>
      <c r="M497">
        <v>49499.1</v>
      </c>
      <c r="N497">
        <v>11499.1</v>
      </c>
      <c r="O497" t="s">
        <v>2781</v>
      </c>
      <c r="P497" t="s">
        <v>2761</v>
      </c>
      <c r="Q497" t="s">
        <v>2758</v>
      </c>
      <c r="R497" t="s">
        <v>46</v>
      </c>
      <c r="T497">
        <v>2024</v>
      </c>
      <c r="U497" t="s">
        <v>2783</v>
      </c>
      <c r="V497" t="s">
        <v>2767</v>
      </c>
      <c r="X497"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97" t="str">
        <f>IF(orders[[#This Row],[Revenue]]&gt;AVERAGE(orders[Revenue])+3*STDEV(orders[Revenue]),"High Outlier",
 IF(orders[[#This Row],[Revenue]]&lt;AVERAGE(orders[Revenue])-3*STDEV(orders[Revenue]),"Low Outlier",
 "Normal"))</f>
        <v>Normal</v>
      </c>
      <c r="Z497">
        <f ca="1" xml:space="preserve"> _xlfn.DAYS(TODAY(), orders[[#This Row],[OrderDate]])</f>
        <v>750</v>
      </c>
      <c r="AA497"/>
    </row>
    <row r="498" spans="1:27">
      <c r="A498" t="s">
        <v>3281</v>
      </c>
      <c r="B498" t="s">
        <v>2238</v>
      </c>
      <c r="C498" t="s">
        <v>3384</v>
      </c>
      <c r="D498" t="str">
        <f>TEXT(orders[[#This Row],[OrderDate]], "YYYY-MM")</f>
        <v>2022-05</v>
      </c>
      <c r="E498" t="s">
        <v>2755</v>
      </c>
      <c r="F498" s="1">
        <v>44692</v>
      </c>
      <c r="I498">
        <v>5</v>
      </c>
      <c r="J498">
        <v>59900</v>
      </c>
      <c r="K498">
        <v>20</v>
      </c>
      <c r="L498">
        <v>59900</v>
      </c>
      <c r="M498">
        <v>239600</v>
      </c>
      <c r="N498">
        <v>29600</v>
      </c>
      <c r="O498" t="s">
        <v>2756</v>
      </c>
      <c r="P498" t="s">
        <v>2778</v>
      </c>
      <c r="Q498" t="s">
        <v>2762</v>
      </c>
      <c r="R498" t="s">
        <v>24</v>
      </c>
      <c r="T498">
        <v>2022</v>
      </c>
      <c r="U498" t="s">
        <v>2766</v>
      </c>
      <c r="V498" t="s">
        <v>2767</v>
      </c>
      <c r="X498"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98" t="str">
        <f>IF(orders[[#This Row],[Revenue]]&gt;AVERAGE(orders[Revenue])+3*STDEV(orders[Revenue]),"High Outlier",
 IF(orders[[#This Row],[Revenue]]&lt;AVERAGE(orders[Revenue])-3*STDEV(orders[Revenue]),"Low Outlier",
 "Normal"))</f>
        <v>Normal</v>
      </c>
      <c r="Z498">
        <f ca="1" xml:space="preserve"> _xlfn.DAYS(TODAY(), orders[[#This Row],[OrderDate]])</f>
        <v>1450</v>
      </c>
      <c r="AA498"/>
    </row>
    <row r="499" spans="1:27">
      <c r="A499" t="s">
        <v>3282</v>
      </c>
      <c r="B499" t="s">
        <v>2158</v>
      </c>
      <c r="C499" t="s">
        <v>3423</v>
      </c>
      <c r="D499" t="str">
        <f>TEXT(orders[[#This Row],[OrderDate]], "YYYY-MM")</f>
        <v>2022-08</v>
      </c>
      <c r="E499" t="s">
        <v>2804</v>
      </c>
      <c r="F499" s="1">
        <v>44802</v>
      </c>
      <c r="G499" s="1">
        <v>44809</v>
      </c>
      <c r="H499" s="1">
        <v>44810</v>
      </c>
      <c r="I499">
        <v>1</v>
      </c>
      <c r="J499">
        <v>1599</v>
      </c>
      <c r="K499">
        <v>20</v>
      </c>
      <c r="L499">
        <v>319.8</v>
      </c>
      <c r="M499">
        <v>1279.2</v>
      </c>
      <c r="N499">
        <v>479.2</v>
      </c>
      <c r="O499" t="s">
        <v>2749</v>
      </c>
      <c r="P499" t="s">
        <v>2770</v>
      </c>
      <c r="Q499" t="s">
        <v>2794</v>
      </c>
      <c r="R499" t="s">
        <v>46</v>
      </c>
      <c r="S499">
        <v>1</v>
      </c>
      <c r="T499">
        <v>2022</v>
      </c>
      <c r="U499" t="s">
        <v>2773</v>
      </c>
      <c r="V499" t="s">
        <v>2774</v>
      </c>
      <c r="W499">
        <v>7</v>
      </c>
      <c r="X499"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499" t="str">
        <f>IF(orders[[#This Row],[Revenue]]&gt;AVERAGE(orders[Revenue])+3*STDEV(orders[Revenue]),"High Outlier",
 IF(orders[[#This Row],[Revenue]]&lt;AVERAGE(orders[Revenue])-3*STDEV(orders[Revenue]),"Low Outlier",
 "Normal"))</f>
        <v>Normal</v>
      </c>
      <c r="Z499">
        <f ca="1" xml:space="preserve"> _xlfn.DAYS(TODAY(), orders[[#This Row],[OrderDate]])</f>
        <v>1340</v>
      </c>
      <c r="AA499"/>
    </row>
    <row r="500" spans="1:27">
      <c r="A500" t="s">
        <v>3283</v>
      </c>
      <c r="B500" t="s">
        <v>181</v>
      </c>
      <c r="C500" t="s">
        <v>3325</v>
      </c>
      <c r="D500" t="str">
        <f>TEXT(orders[[#This Row],[OrderDate]], "YYYY-MM")</f>
        <v>2022-11</v>
      </c>
      <c r="E500" t="s">
        <v>2748</v>
      </c>
      <c r="F500" s="1">
        <v>44892</v>
      </c>
      <c r="G500" s="1">
        <v>44897</v>
      </c>
      <c r="H500" s="1">
        <v>44899</v>
      </c>
      <c r="I500">
        <v>1</v>
      </c>
      <c r="J500">
        <v>49990</v>
      </c>
      <c r="K500">
        <v>0</v>
      </c>
      <c r="L500">
        <v>0</v>
      </c>
      <c r="M500">
        <v>49990</v>
      </c>
      <c r="N500">
        <v>14990</v>
      </c>
      <c r="O500" t="s">
        <v>2749</v>
      </c>
      <c r="P500" t="s">
        <v>2757</v>
      </c>
      <c r="Q500" t="s">
        <v>2758</v>
      </c>
      <c r="R500" t="s">
        <v>188</v>
      </c>
      <c r="S500">
        <v>3</v>
      </c>
      <c r="T500">
        <v>2022</v>
      </c>
      <c r="U500" t="s">
        <v>2786</v>
      </c>
      <c r="V500" t="s">
        <v>2764</v>
      </c>
      <c r="W500">
        <v>5</v>
      </c>
      <c r="X500"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500" t="str">
        <f>IF(orders[[#This Row],[Revenue]]&gt;AVERAGE(orders[Revenue])+3*STDEV(orders[Revenue]),"High Outlier",
 IF(orders[[#This Row],[Revenue]]&lt;AVERAGE(orders[Revenue])-3*STDEV(orders[Revenue]),"Low Outlier",
 "Normal"))</f>
        <v>Normal</v>
      </c>
      <c r="Z500">
        <f ca="1" xml:space="preserve"> _xlfn.DAYS(TODAY(), orders[[#This Row],[OrderDate]])</f>
        <v>1250</v>
      </c>
      <c r="AA500"/>
    </row>
    <row r="501" spans="1:27">
      <c r="A501" t="s">
        <v>3284</v>
      </c>
      <c r="B501" t="s">
        <v>1158</v>
      </c>
      <c r="C501" t="s">
        <v>3390</v>
      </c>
      <c r="D501" t="str">
        <f>TEXT(orders[[#This Row],[OrderDate]], "YYYY-MM")</f>
        <v>2024-05</v>
      </c>
      <c r="E501" t="s">
        <v>2809</v>
      </c>
      <c r="F501" s="1">
        <v>45428</v>
      </c>
      <c r="I501">
        <v>1</v>
      </c>
      <c r="J501">
        <v>54999</v>
      </c>
      <c r="K501">
        <v>5</v>
      </c>
      <c r="L501">
        <v>2749.95</v>
      </c>
      <c r="M501">
        <v>52249.05</v>
      </c>
      <c r="N501">
        <v>14249.05</v>
      </c>
      <c r="O501" t="s">
        <v>2781</v>
      </c>
      <c r="P501" t="s">
        <v>2750</v>
      </c>
      <c r="Q501" t="s">
        <v>2762</v>
      </c>
      <c r="R501" t="s">
        <v>24</v>
      </c>
      <c r="T501">
        <v>2024</v>
      </c>
      <c r="U501" t="s">
        <v>2766</v>
      </c>
      <c r="V501" t="s">
        <v>2767</v>
      </c>
      <c r="X501" t="e">
        <f>IF(orders[[#This Row],[Revenue]]&lt;=0,"❌ Zero/Negative Revenue",
 IF(orders[[#This Row],[CustomerID]]="","❌ Missing CustomerID",
 IF(#REF!="","❌ Missing ProductID",
 IF(AND(orders[[#This Row],[Status]]="Completed",ISBLANK(orders[[#This Row],[ShipDate]])),"❌ Completed but no ShipDate",
 IF(orders[[#This Row],[Quantity]]&lt;=0,"❌ Invalid Quantity",
 IF(orders[[#This Row],[Revenue]]&lt;orders[[#This Row],[Profit]],"❌ Profit exceeds Revenue",
 "✅ Valid"))))))</f>
        <v>#REF!</v>
      </c>
      <c r="Y501" t="str">
        <f>IF(orders[[#This Row],[Revenue]]&gt;AVERAGE(orders[Revenue])+3*STDEV(orders[Revenue]),"High Outlier",
 IF(orders[[#This Row],[Revenue]]&lt;AVERAGE(orders[Revenue])-3*STDEV(orders[Revenue]),"Low Outlier",
 "Normal"))</f>
        <v>Normal</v>
      </c>
      <c r="Z501">
        <f ca="1" xml:space="preserve"> _xlfn.DAYS(TODAY(), orders[[#This Row],[OrderDate]])</f>
        <v>714</v>
      </c>
      <c r="AA501"/>
    </row>
  </sheetData>
  <conditionalFormatting sqref="X2:X501">
    <cfRule type="containsText" dxfId="82" priority="1" operator="containsText" text="⚠️">
      <formula>NOT(ISERROR(SEARCH("⚠️",X2)))</formula>
    </cfRule>
    <cfRule type="containsText" dxfId="81" priority="2" operator="containsText" text="✅">
      <formula>NOT(ISERROR(SEARCH("✅",X2)))</formula>
    </cfRule>
    <cfRule type="containsText" dxfId="80" priority="3" operator="containsText" text="❌">
      <formula>NOT(ISERROR(SEARCH("❌",X2)))</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CB825-EF2B-42A3-BCFD-E2C7586FB5CE}">
  <sheetPr>
    <tabColor theme="5"/>
  </sheetPr>
  <dimension ref="A1:AA501"/>
  <sheetViews>
    <sheetView workbookViewId="0">
      <selection activeCell="I12" sqref="I12"/>
    </sheetView>
  </sheetViews>
  <sheetFormatPr defaultRowHeight="14.5"/>
  <cols>
    <col min="1" max="1" width="12.7265625" bestFit="1" customWidth="1"/>
    <col min="2" max="2" width="14.26953125" bestFit="1" customWidth="1"/>
    <col min="3" max="3" width="11.7265625" bestFit="1" customWidth="1"/>
    <col min="4" max="4" width="11.453125" bestFit="1" customWidth="1"/>
    <col min="5" max="5" width="30" bestFit="1" customWidth="1"/>
    <col min="6" max="6" width="10.81640625" bestFit="1" customWidth="1"/>
    <col min="7" max="7" width="8.81640625" bestFit="1" customWidth="1"/>
    <col min="8" max="8" width="13.90625" bestFit="1" customWidth="1"/>
    <col min="9" max="9" width="12.36328125" bestFit="1" customWidth="1"/>
    <col min="10" max="10" width="11.54296875" bestFit="1" customWidth="1"/>
    <col min="11" max="11" width="10.26953125" bestFit="1" customWidth="1"/>
    <col min="12" max="12" width="12.26953125" bestFit="1" customWidth="1"/>
    <col min="13" max="13" width="10.81640625" bestFit="1" customWidth="1"/>
    <col min="14" max="14" width="11.90625" bestFit="1" customWidth="1"/>
    <col min="15" max="15" width="11.6328125" bestFit="1" customWidth="1"/>
    <col min="16" max="16" width="17.54296875" bestFit="1" customWidth="1"/>
    <col min="17" max="17" width="19.6328125" bestFit="1" customWidth="1"/>
    <col min="18" max="18" width="13.90625" bestFit="1" customWidth="1"/>
    <col min="19" max="19" width="17.08984375" bestFit="1" customWidth="1"/>
    <col min="20" max="20" width="12.90625" bestFit="1" customWidth="1"/>
    <col min="21" max="21" width="14.7265625" bestFit="1" customWidth="1"/>
    <col min="22" max="22" width="14.90625" bestFit="1" customWidth="1"/>
    <col min="23" max="23" width="17.6328125" bestFit="1" customWidth="1"/>
    <col min="24" max="24" width="15.26953125" bestFit="1" customWidth="1"/>
    <col min="25" max="25" width="19.36328125" bestFit="1" customWidth="1"/>
    <col min="26" max="26" width="10.6328125" bestFit="1" customWidth="1"/>
    <col min="27" max="27" width="8.26953125" bestFit="1" customWidth="1"/>
    <col min="28" max="28" width="19.36328125" bestFit="1" customWidth="1"/>
  </cols>
  <sheetData>
    <row r="1" spans="1:27">
      <c r="A1" t="s">
        <v>2729</v>
      </c>
      <c r="B1" t="s">
        <v>4759</v>
      </c>
      <c r="C1" t="s">
        <v>2</v>
      </c>
      <c r="D1" t="s">
        <v>3</v>
      </c>
      <c r="E1" t="s">
        <v>4</v>
      </c>
      <c r="F1" t="s">
        <v>5</v>
      </c>
      <c r="G1" t="s">
        <v>10</v>
      </c>
      <c r="H1" t="s">
        <v>4760</v>
      </c>
      <c r="I1" t="s">
        <v>4761</v>
      </c>
      <c r="J1" t="s">
        <v>4762</v>
      </c>
      <c r="K1" t="s">
        <v>12</v>
      </c>
      <c r="L1" t="s">
        <v>4763</v>
      </c>
      <c r="M1" t="s">
        <v>4764</v>
      </c>
      <c r="N1" t="s">
        <v>4765</v>
      </c>
      <c r="O1" t="s">
        <v>4766</v>
      </c>
      <c r="P1" t="s">
        <v>4767</v>
      </c>
      <c r="Q1" t="s">
        <v>4768</v>
      </c>
      <c r="R1" t="s">
        <v>4769</v>
      </c>
      <c r="S1" t="s">
        <v>4770</v>
      </c>
      <c r="T1" t="s">
        <v>4954</v>
      </c>
      <c r="U1" t="s">
        <v>4771</v>
      </c>
      <c r="V1" t="s">
        <v>4772</v>
      </c>
      <c r="W1" t="s">
        <v>4773</v>
      </c>
      <c r="X1" t="s">
        <v>4774</v>
      </c>
      <c r="Y1" t="s">
        <v>4775</v>
      </c>
      <c r="Z1" t="s">
        <v>4955</v>
      </c>
      <c r="AA1" t="s">
        <v>4956</v>
      </c>
    </row>
    <row r="2" spans="1:27">
      <c r="A2" t="s">
        <v>4776</v>
      </c>
      <c r="B2" t="s">
        <v>4777</v>
      </c>
      <c r="C2" t="s">
        <v>4957</v>
      </c>
      <c r="D2" t="s">
        <v>71</v>
      </c>
      <c r="E2" t="s">
        <v>4778</v>
      </c>
      <c r="F2">
        <v>9925131445</v>
      </c>
      <c r="G2" t="s">
        <v>188</v>
      </c>
      <c r="H2" t="s">
        <v>4779</v>
      </c>
      <c r="I2" t="s">
        <v>4780</v>
      </c>
      <c r="J2" t="s">
        <v>4781</v>
      </c>
      <c r="K2" s="1">
        <v>44194</v>
      </c>
      <c r="L2">
        <v>62161</v>
      </c>
      <c r="M2" s="1">
        <v>44562</v>
      </c>
      <c r="N2" t="s">
        <v>4782</v>
      </c>
      <c r="O2">
        <v>178200</v>
      </c>
      <c r="P2">
        <v>4.2999999999999997E-2</v>
      </c>
      <c r="Q2">
        <v>7662.6</v>
      </c>
      <c r="R2" t="s">
        <v>4783</v>
      </c>
      <c r="S2" t="s">
        <v>3317</v>
      </c>
      <c r="T2">
        <v>50</v>
      </c>
      <c r="U2" t="s">
        <v>26</v>
      </c>
      <c r="V2">
        <v>40000</v>
      </c>
      <c r="W2">
        <v>120481.01</v>
      </c>
      <c r="X2">
        <v>3.012</v>
      </c>
      <c r="Y2" t="s">
        <v>4784</v>
      </c>
      <c r="Z2">
        <v>2022</v>
      </c>
      <c r="AA2">
        <v>1</v>
      </c>
    </row>
    <row r="3" spans="1:27">
      <c r="A3" t="s">
        <v>4776</v>
      </c>
      <c r="B3" t="s">
        <v>4777</v>
      </c>
      <c r="C3" t="s">
        <v>4957</v>
      </c>
      <c r="D3" t="s">
        <v>71</v>
      </c>
      <c r="E3" t="s">
        <v>4778</v>
      </c>
      <c r="F3">
        <v>9925131445</v>
      </c>
      <c r="G3" t="s">
        <v>188</v>
      </c>
      <c r="H3" t="s">
        <v>4779</v>
      </c>
      <c r="I3" t="s">
        <v>4780</v>
      </c>
      <c r="J3" t="s">
        <v>4781</v>
      </c>
      <c r="K3" s="1">
        <v>44194</v>
      </c>
      <c r="L3">
        <v>62161</v>
      </c>
      <c r="M3" s="1">
        <v>44578</v>
      </c>
      <c r="N3" t="s">
        <v>4785</v>
      </c>
      <c r="O3">
        <v>138800</v>
      </c>
      <c r="P3">
        <v>6.6000000000000003E-2</v>
      </c>
      <c r="Q3">
        <v>0</v>
      </c>
      <c r="R3" t="s">
        <v>4786</v>
      </c>
      <c r="S3" t="s">
        <v>3411</v>
      </c>
      <c r="T3">
        <v>38</v>
      </c>
      <c r="U3" t="s">
        <v>4787</v>
      </c>
      <c r="V3">
        <v>40000</v>
      </c>
      <c r="W3">
        <v>115523.32</v>
      </c>
      <c r="X3">
        <v>2.8879999999999999</v>
      </c>
      <c r="Y3" t="s">
        <v>4784</v>
      </c>
      <c r="Z3">
        <v>2022</v>
      </c>
      <c r="AA3">
        <v>0</v>
      </c>
    </row>
    <row r="4" spans="1:27">
      <c r="A4" t="s">
        <v>4776</v>
      </c>
      <c r="B4" t="s">
        <v>4777</v>
      </c>
      <c r="C4" t="s">
        <v>4957</v>
      </c>
      <c r="D4" t="s">
        <v>71</v>
      </c>
      <c r="E4" t="s">
        <v>4778</v>
      </c>
      <c r="F4">
        <v>9925131445</v>
      </c>
      <c r="G4" t="s">
        <v>188</v>
      </c>
      <c r="H4" t="s">
        <v>4779</v>
      </c>
      <c r="I4" t="s">
        <v>4780</v>
      </c>
      <c r="J4" t="s">
        <v>4781</v>
      </c>
      <c r="K4" s="1">
        <v>44194</v>
      </c>
      <c r="L4">
        <v>62161</v>
      </c>
      <c r="M4" s="1">
        <v>44670</v>
      </c>
      <c r="N4" t="s">
        <v>4782</v>
      </c>
      <c r="O4">
        <v>189400</v>
      </c>
      <c r="P4">
        <v>0.08</v>
      </c>
      <c r="Q4">
        <v>15152</v>
      </c>
      <c r="R4" t="s">
        <v>4788</v>
      </c>
      <c r="S4" t="s">
        <v>3302</v>
      </c>
      <c r="T4">
        <v>37</v>
      </c>
      <c r="U4" t="s">
        <v>4787</v>
      </c>
      <c r="V4">
        <v>40000</v>
      </c>
      <c r="W4">
        <v>134799.21</v>
      </c>
      <c r="X4">
        <v>3.37</v>
      </c>
      <c r="Y4" t="s">
        <v>4784</v>
      </c>
      <c r="Z4">
        <v>2022</v>
      </c>
      <c r="AA4">
        <v>1</v>
      </c>
    </row>
    <row r="5" spans="1:27">
      <c r="A5" t="s">
        <v>4776</v>
      </c>
      <c r="B5" t="s">
        <v>4777</v>
      </c>
      <c r="C5" t="s">
        <v>4957</v>
      </c>
      <c r="D5" t="s">
        <v>71</v>
      </c>
      <c r="E5" t="s">
        <v>4778</v>
      </c>
      <c r="F5">
        <v>9925131445</v>
      </c>
      <c r="G5" t="s">
        <v>188</v>
      </c>
      <c r="H5" t="s">
        <v>4779</v>
      </c>
      <c r="I5" t="s">
        <v>4780</v>
      </c>
      <c r="J5" t="s">
        <v>4781</v>
      </c>
      <c r="K5" s="1">
        <v>44194</v>
      </c>
      <c r="L5">
        <v>62161</v>
      </c>
      <c r="M5" s="1">
        <v>44761</v>
      </c>
      <c r="N5" t="s">
        <v>4789</v>
      </c>
      <c r="O5">
        <v>51200</v>
      </c>
      <c r="P5">
        <v>5.8000000000000003E-2</v>
      </c>
      <c r="Q5">
        <v>0</v>
      </c>
      <c r="R5" t="s">
        <v>4790</v>
      </c>
      <c r="S5" t="s">
        <v>3302</v>
      </c>
      <c r="T5">
        <v>77</v>
      </c>
      <c r="U5" t="s">
        <v>4787</v>
      </c>
      <c r="V5">
        <v>40000</v>
      </c>
      <c r="W5">
        <v>57188.24</v>
      </c>
      <c r="X5">
        <v>1.43</v>
      </c>
      <c r="Y5" t="s">
        <v>4784</v>
      </c>
      <c r="Z5">
        <v>2022</v>
      </c>
      <c r="AA5">
        <v>0</v>
      </c>
    </row>
    <row r="6" spans="1:27">
      <c r="A6" t="s">
        <v>4776</v>
      </c>
      <c r="B6" t="s">
        <v>4777</v>
      </c>
      <c r="C6" t="s">
        <v>4957</v>
      </c>
      <c r="D6" t="s">
        <v>71</v>
      </c>
      <c r="E6" t="s">
        <v>4778</v>
      </c>
      <c r="F6">
        <v>9925131445</v>
      </c>
      <c r="G6" t="s">
        <v>188</v>
      </c>
      <c r="H6" t="s">
        <v>4779</v>
      </c>
      <c r="I6" t="s">
        <v>4780</v>
      </c>
      <c r="J6" t="s">
        <v>4781</v>
      </c>
      <c r="K6" s="1">
        <v>44194</v>
      </c>
      <c r="L6">
        <v>62161</v>
      </c>
      <c r="M6" s="1">
        <v>44819</v>
      </c>
      <c r="N6" t="s">
        <v>4782</v>
      </c>
      <c r="O6">
        <v>8000</v>
      </c>
      <c r="P6">
        <v>3.5999999999999997E-2</v>
      </c>
      <c r="Q6">
        <v>288</v>
      </c>
      <c r="R6" t="s">
        <v>4791</v>
      </c>
      <c r="S6" t="s">
        <v>3310</v>
      </c>
      <c r="T6">
        <v>63</v>
      </c>
      <c r="U6" t="s">
        <v>26</v>
      </c>
      <c r="V6">
        <v>40000</v>
      </c>
      <c r="W6">
        <v>11019.82</v>
      </c>
      <c r="X6">
        <v>0.27500000000000002</v>
      </c>
      <c r="Y6" t="s">
        <v>4792</v>
      </c>
      <c r="Z6">
        <v>2022</v>
      </c>
      <c r="AA6">
        <v>1</v>
      </c>
    </row>
    <row r="7" spans="1:27">
      <c r="A7" t="s">
        <v>4776</v>
      </c>
      <c r="B7" t="s">
        <v>4777</v>
      </c>
      <c r="C7" t="s">
        <v>4957</v>
      </c>
      <c r="D7" t="s">
        <v>71</v>
      </c>
      <c r="E7" t="s">
        <v>4778</v>
      </c>
      <c r="F7">
        <v>9925131445</v>
      </c>
      <c r="G7" t="s">
        <v>188</v>
      </c>
      <c r="H7" t="s">
        <v>4779</v>
      </c>
      <c r="I7" t="s">
        <v>4780</v>
      </c>
      <c r="J7" t="s">
        <v>4781</v>
      </c>
      <c r="K7" s="1">
        <v>44194</v>
      </c>
      <c r="L7">
        <v>62161</v>
      </c>
      <c r="M7" s="1">
        <v>44840</v>
      </c>
      <c r="N7" t="s">
        <v>4782</v>
      </c>
      <c r="O7">
        <v>41000</v>
      </c>
      <c r="P7">
        <v>8.7999999999999995E-2</v>
      </c>
      <c r="Q7">
        <v>3608</v>
      </c>
      <c r="R7" t="s">
        <v>4790</v>
      </c>
      <c r="S7" t="s">
        <v>3411</v>
      </c>
      <c r="T7">
        <v>59</v>
      </c>
      <c r="U7" t="s">
        <v>26</v>
      </c>
      <c r="V7">
        <v>40000</v>
      </c>
      <c r="W7">
        <v>43497.87</v>
      </c>
      <c r="X7">
        <v>1.087</v>
      </c>
      <c r="Y7" t="s">
        <v>4793</v>
      </c>
      <c r="Z7">
        <v>2022</v>
      </c>
      <c r="AA7">
        <v>1</v>
      </c>
    </row>
    <row r="8" spans="1:27">
      <c r="A8" t="s">
        <v>4776</v>
      </c>
      <c r="B8" t="s">
        <v>4777</v>
      </c>
      <c r="C8" t="s">
        <v>4957</v>
      </c>
      <c r="D8" t="s">
        <v>71</v>
      </c>
      <c r="E8" t="s">
        <v>4778</v>
      </c>
      <c r="F8">
        <v>9925131445</v>
      </c>
      <c r="G8" t="s">
        <v>188</v>
      </c>
      <c r="H8" t="s">
        <v>4779</v>
      </c>
      <c r="I8" t="s">
        <v>4780</v>
      </c>
      <c r="J8" t="s">
        <v>4781</v>
      </c>
      <c r="K8" s="1">
        <v>44194</v>
      </c>
      <c r="L8">
        <v>62161</v>
      </c>
      <c r="M8" s="1">
        <v>45210</v>
      </c>
      <c r="N8" t="s">
        <v>4782</v>
      </c>
      <c r="O8">
        <v>154500</v>
      </c>
      <c r="P8">
        <v>0.10100000000000001</v>
      </c>
      <c r="Q8">
        <v>15604.5</v>
      </c>
      <c r="R8" t="s">
        <v>4794</v>
      </c>
      <c r="S8" t="s">
        <v>3317</v>
      </c>
      <c r="T8">
        <v>56</v>
      </c>
      <c r="U8" t="s">
        <v>4795</v>
      </c>
      <c r="V8">
        <v>40000</v>
      </c>
      <c r="W8">
        <v>214949.72</v>
      </c>
      <c r="X8">
        <v>5.3739999999999997</v>
      </c>
      <c r="Y8" t="s">
        <v>4784</v>
      </c>
      <c r="Z8">
        <v>2023</v>
      </c>
      <c r="AA8">
        <v>1</v>
      </c>
    </row>
    <row r="9" spans="1:27">
      <c r="A9" t="s">
        <v>4776</v>
      </c>
      <c r="B9" t="s">
        <v>4777</v>
      </c>
      <c r="C9" t="s">
        <v>4957</v>
      </c>
      <c r="D9" t="s">
        <v>71</v>
      </c>
      <c r="E9" t="s">
        <v>4778</v>
      </c>
      <c r="F9">
        <v>9925131445</v>
      </c>
      <c r="G9" t="s">
        <v>188</v>
      </c>
      <c r="H9" t="s">
        <v>4779</v>
      </c>
      <c r="I9" t="s">
        <v>4780</v>
      </c>
      <c r="J9" t="s">
        <v>4781</v>
      </c>
      <c r="K9" s="1">
        <v>44194</v>
      </c>
      <c r="L9">
        <v>62161</v>
      </c>
      <c r="M9" s="1">
        <v>45338</v>
      </c>
      <c r="N9" t="s">
        <v>4782</v>
      </c>
      <c r="O9">
        <v>134600</v>
      </c>
      <c r="P9">
        <v>8.7999999999999995E-2</v>
      </c>
      <c r="Q9">
        <v>11844.8</v>
      </c>
      <c r="R9" t="s">
        <v>4791</v>
      </c>
      <c r="S9" t="s">
        <v>3302</v>
      </c>
      <c r="T9">
        <v>28</v>
      </c>
      <c r="U9" t="s">
        <v>4796</v>
      </c>
      <c r="V9">
        <v>40000</v>
      </c>
      <c r="W9">
        <v>174782.86</v>
      </c>
      <c r="X9">
        <v>4.37</v>
      </c>
      <c r="Y9" t="s">
        <v>4784</v>
      </c>
      <c r="Z9">
        <v>2024</v>
      </c>
      <c r="AA9">
        <v>1</v>
      </c>
    </row>
    <row r="10" spans="1:27">
      <c r="A10" t="s">
        <v>4776</v>
      </c>
      <c r="B10" t="s">
        <v>4777</v>
      </c>
      <c r="C10" t="s">
        <v>4957</v>
      </c>
      <c r="D10" t="s">
        <v>71</v>
      </c>
      <c r="E10" t="s">
        <v>4778</v>
      </c>
      <c r="F10">
        <v>9925131445</v>
      </c>
      <c r="G10" t="s">
        <v>188</v>
      </c>
      <c r="H10" t="s">
        <v>4779</v>
      </c>
      <c r="I10" t="s">
        <v>4780</v>
      </c>
      <c r="J10" t="s">
        <v>4781</v>
      </c>
      <c r="K10" s="1">
        <v>44194</v>
      </c>
      <c r="L10">
        <v>62161</v>
      </c>
      <c r="M10" s="1">
        <v>45369</v>
      </c>
      <c r="N10" t="s">
        <v>4797</v>
      </c>
      <c r="O10">
        <v>88400</v>
      </c>
      <c r="P10">
        <v>9.4E-2</v>
      </c>
      <c r="Q10">
        <v>0</v>
      </c>
      <c r="R10" t="s">
        <v>4790</v>
      </c>
      <c r="S10" t="s">
        <v>3322</v>
      </c>
      <c r="T10">
        <v>56</v>
      </c>
      <c r="U10" t="s">
        <v>4796</v>
      </c>
      <c r="V10">
        <v>40000</v>
      </c>
      <c r="W10">
        <v>96907.51</v>
      </c>
      <c r="X10">
        <v>2.423</v>
      </c>
      <c r="Y10" t="s">
        <v>4784</v>
      </c>
      <c r="Z10">
        <v>2024</v>
      </c>
      <c r="AA10">
        <v>0</v>
      </c>
    </row>
    <row r="11" spans="1:27">
      <c r="A11" t="s">
        <v>4776</v>
      </c>
      <c r="B11" t="s">
        <v>4777</v>
      </c>
      <c r="C11" t="s">
        <v>4957</v>
      </c>
      <c r="D11" t="s">
        <v>71</v>
      </c>
      <c r="E11" t="s">
        <v>4778</v>
      </c>
      <c r="F11">
        <v>9925131445</v>
      </c>
      <c r="G11" t="s">
        <v>188</v>
      </c>
      <c r="H11" t="s">
        <v>4779</v>
      </c>
      <c r="I11" t="s">
        <v>4780</v>
      </c>
      <c r="J11" t="s">
        <v>4781</v>
      </c>
      <c r="K11" s="1">
        <v>44194</v>
      </c>
      <c r="L11">
        <v>62161</v>
      </c>
      <c r="M11" s="1">
        <v>45534</v>
      </c>
      <c r="N11" t="s">
        <v>4782</v>
      </c>
      <c r="O11">
        <v>54300</v>
      </c>
      <c r="P11">
        <v>0.08</v>
      </c>
      <c r="Q11">
        <v>4344</v>
      </c>
      <c r="R11" t="s">
        <v>4798</v>
      </c>
      <c r="S11" t="s">
        <v>3317</v>
      </c>
      <c r="T11">
        <v>54</v>
      </c>
      <c r="U11" t="s">
        <v>4796</v>
      </c>
      <c r="V11">
        <v>40000</v>
      </c>
      <c r="W11">
        <v>41247.57</v>
      </c>
      <c r="X11">
        <v>1.0309999999999999</v>
      </c>
      <c r="Y11" t="s">
        <v>4793</v>
      </c>
      <c r="Z11">
        <v>2024</v>
      </c>
      <c r="AA11">
        <v>1</v>
      </c>
    </row>
    <row r="12" spans="1:27">
      <c r="A12" t="s">
        <v>4799</v>
      </c>
      <c r="B12" t="s">
        <v>4800</v>
      </c>
      <c r="C12" t="s">
        <v>307</v>
      </c>
      <c r="D12" t="s">
        <v>440</v>
      </c>
      <c r="E12" t="s">
        <v>4801</v>
      </c>
      <c r="F12">
        <v>9671987208</v>
      </c>
      <c r="G12" t="s">
        <v>24</v>
      </c>
      <c r="H12" t="s">
        <v>4802</v>
      </c>
      <c r="I12" t="s">
        <v>4780</v>
      </c>
      <c r="J12" t="s">
        <v>4803</v>
      </c>
      <c r="K12" s="1">
        <v>45053</v>
      </c>
      <c r="L12">
        <v>57920</v>
      </c>
      <c r="M12" s="1">
        <v>45060</v>
      </c>
      <c r="N12" t="s">
        <v>4785</v>
      </c>
      <c r="O12">
        <v>135600</v>
      </c>
      <c r="P12">
        <v>0.106</v>
      </c>
      <c r="Q12">
        <v>0</v>
      </c>
      <c r="R12" t="s">
        <v>4786</v>
      </c>
      <c r="S12" t="s">
        <v>3348</v>
      </c>
      <c r="T12">
        <v>65</v>
      </c>
      <c r="U12" t="s">
        <v>4795</v>
      </c>
      <c r="V12">
        <v>37500</v>
      </c>
      <c r="W12">
        <v>117938.65</v>
      </c>
      <c r="X12">
        <v>3.145</v>
      </c>
      <c r="Y12" t="s">
        <v>4784</v>
      </c>
      <c r="Z12">
        <v>2023</v>
      </c>
      <c r="AA12">
        <v>0</v>
      </c>
    </row>
    <row r="13" spans="1:27">
      <c r="A13" t="s">
        <v>4799</v>
      </c>
      <c r="B13" t="s">
        <v>4800</v>
      </c>
      <c r="C13" t="s">
        <v>307</v>
      </c>
      <c r="D13" t="s">
        <v>440</v>
      </c>
      <c r="E13" t="s">
        <v>4801</v>
      </c>
      <c r="F13">
        <v>9671987208</v>
      </c>
      <c r="G13" t="s">
        <v>24</v>
      </c>
      <c r="H13" t="s">
        <v>4802</v>
      </c>
      <c r="I13" t="s">
        <v>4780</v>
      </c>
      <c r="J13" t="s">
        <v>4803</v>
      </c>
      <c r="K13" s="1">
        <v>45053</v>
      </c>
      <c r="L13">
        <v>57920</v>
      </c>
      <c r="M13" s="1">
        <v>45337</v>
      </c>
      <c r="N13" t="s">
        <v>4782</v>
      </c>
      <c r="O13">
        <v>39700</v>
      </c>
      <c r="P13">
        <v>8.5000000000000006E-2</v>
      </c>
      <c r="Q13">
        <v>3374.5</v>
      </c>
      <c r="R13" t="s">
        <v>4788</v>
      </c>
      <c r="S13" t="s">
        <v>3411</v>
      </c>
      <c r="T13">
        <v>33</v>
      </c>
      <c r="U13" t="s">
        <v>4787</v>
      </c>
      <c r="V13">
        <v>37500</v>
      </c>
      <c r="W13">
        <v>46341.26</v>
      </c>
      <c r="X13">
        <v>1.236</v>
      </c>
      <c r="Y13" t="s">
        <v>4784</v>
      </c>
      <c r="Z13">
        <v>2024</v>
      </c>
      <c r="AA13">
        <v>1</v>
      </c>
    </row>
    <row r="14" spans="1:27">
      <c r="A14" t="s">
        <v>4799</v>
      </c>
      <c r="B14" t="s">
        <v>4800</v>
      </c>
      <c r="C14" t="s">
        <v>307</v>
      </c>
      <c r="D14" t="s">
        <v>440</v>
      </c>
      <c r="E14" t="s">
        <v>4801</v>
      </c>
      <c r="F14">
        <v>9671987208</v>
      </c>
      <c r="G14" t="s">
        <v>24</v>
      </c>
      <c r="H14" t="s">
        <v>4802</v>
      </c>
      <c r="I14" t="s">
        <v>4780</v>
      </c>
      <c r="J14" t="s">
        <v>4803</v>
      </c>
      <c r="K14" s="1">
        <v>45053</v>
      </c>
      <c r="L14">
        <v>57920</v>
      </c>
      <c r="M14" s="1">
        <v>45351</v>
      </c>
      <c r="N14" t="s">
        <v>4797</v>
      </c>
      <c r="O14">
        <v>168700</v>
      </c>
      <c r="P14">
        <v>3.2000000000000001E-2</v>
      </c>
      <c r="Q14">
        <v>0</v>
      </c>
      <c r="R14" t="s">
        <v>4790</v>
      </c>
      <c r="S14" t="s">
        <v>3302</v>
      </c>
      <c r="T14">
        <v>17</v>
      </c>
      <c r="U14" t="s">
        <v>4787</v>
      </c>
      <c r="V14">
        <v>37500</v>
      </c>
      <c r="W14">
        <v>213624.93</v>
      </c>
      <c r="X14">
        <v>5.6970000000000001</v>
      </c>
      <c r="Y14" t="s">
        <v>4784</v>
      </c>
      <c r="Z14">
        <v>2024</v>
      </c>
      <c r="AA14">
        <v>0</v>
      </c>
    </row>
    <row r="15" spans="1:27">
      <c r="A15" t="s">
        <v>4799</v>
      </c>
      <c r="B15" t="s">
        <v>4800</v>
      </c>
      <c r="C15" t="s">
        <v>307</v>
      </c>
      <c r="D15" t="s">
        <v>440</v>
      </c>
      <c r="E15" t="s">
        <v>4801</v>
      </c>
      <c r="F15">
        <v>9671987208</v>
      </c>
      <c r="G15" t="s">
        <v>24</v>
      </c>
      <c r="H15" t="s">
        <v>4802</v>
      </c>
      <c r="I15" t="s">
        <v>4780</v>
      </c>
      <c r="J15" t="s">
        <v>4803</v>
      </c>
      <c r="K15" s="1">
        <v>45053</v>
      </c>
      <c r="L15">
        <v>57920</v>
      </c>
      <c r="M15" s="1">
        <v>45364</v>
      </c>
      <c r="N15" t="s">
        <v>4797</v>
      </c>
      <c r="O15">
        <v>210800</v>
      </c>
      <c r="P15">
        <v>8.1000000000000003E-2</v>
      </c>
      <c r="Q15">
        <v>0</v>
      </c>
      <c r="R15" t="s">
        <v>4791</v>
      </c>
      <c r="S15" t="s">
        <v>3348</v>
      </c>
      <c r="T15">
        <v>61</v>
      </c>
      <c r="U15" t="s">
        <v>4796</v>
      </c>
      <c r="V15">
        <v>37500</v>
      </c>
      <c r="W15">
        <v>214083</v>
      </c>
      <c r="X15">
        <v>5.7089999999999996</v>
      </c>
      <c r="Y15" t="s">
        <v>4784</v>
      </c>
      <c r="Z15">
        <v>2024</v>
      </c>
      <c r="AA15">
        <v>0</v>
      </c>
    </row>
    <row r="16" spans="1:27">
      <c r="A16" t="s">
        <v>4799</v>
      </c>
      <c r="B16" t="s">
        <v>4800</v>
      </c>
      <c r="C16" t="s">
        <v>307</v>
      </c>
      <c r="D16" t="s">
        <v>440</v>
      </c>
      <c r="E16" t="s">
        <v>4801</v>
      </c>
      <c r="F16">
        <v>9671987208</v>
      </c>
      <c r="G16" t="s">
        <v>24</v>
      </c>
      <c r="H16" t="s">
        <v>4802</v>
      </c>
      <c r="I16" t="s">
        <v>4780</v>
      </c>
      <c r="J16" t="s">
        <v>4803</v>
      </c>
      <c r="K16" s="1">
        <v>45053</v>
      </c>
      <c r="L16">
        <v>57920</v>
      </c>
      <c r="M16" s="1">
        <v>45518</v>
      </c>
      <c r="N16" t="s">
        <v>4785</v>
      </c>
      <c r="O16">
        <v>116200</v>
      </c>
      <c r="P16">
        <v>0.08</v>
      </c>
      <c r="Q16">
        <v>0</v>
      </c>
      <c r="R16" t="s">
        <v>4790</v>
      </c>
      <c r="S16" t="s">
        <v>3322</v>
      </c>
      <c r="T16">
        <v>46</v>
      </c>
      <c r="U16" t="s">
        <v>4796</v>
      </c>
      <c r="V16">
        <v>37500</v>
      </c>
      <c r="W16">
        <v>77530.03</v>
      </c>
      <c r="X16">
        <v>2.0670000000000002</v>
      </c>
      <c r="Y16" t="s">
        <v>4784</v>
      </c>
      <c r="Z16">
        <v>2024</v>
      </c>
      <c r="AA16">
        <v>0</v>
      </c>
    </row>
    <row r="17" spans="1:27">
      <c r="A17" t="s">
        <v>4799</v>
      </c>
      <c r="B17" t="s">
        <v>4800</v>
      </c>
      <c r="C17" t="s">
        <v>307</v>
      </c>
      <c r="D17" t="s">
        <v>440</v>
      </c>
      <c r="E17" t="s">
        <v>4801</v>
      </c>
      <c r="F17">
        <v>9671987208</v>
      </c>
      <c r="G17" t="s">
        <v>24</v>
      </c>
      <c r="H17" t="s">
        <v>4802</v>
      </c>
      <c r="I17" t="s">
        <v>4780</v>
      </c>
      <c r="J17" t="s">
        <v>4803</v>
      </c>
      <c r="K17" s="1">
        <v>45053</v>
      </c>
      <c r="L17">
        <v>57920</v>
      </c>
      <c r="M17" s="1">
        <v>45533</v>
      </c>
      <c r="N17" t="s">
        <v>4785</v>
      </c>
      <c r="O17">
        <v>197400</v>
      </c>
      <c r="P17">
        <v>0.06</v>
      </c>
      <c r="Q17">
        <v>0</v>
      </c>
      <c r="R17" t="s">
        <v>4788</v>
      </c>
      <c r="S17" t="s">
        <v>3411</v>
      </c>
      <c r="T17">
        <v>38</v>
      </c>
      <c r="U17" t="s">
        <v>4795</v>
      </c>
      <c r="V17">
        <v>37500</v>
      </c>
      <c r="W17">
        <v>128459.5</v>
      </c>
      <c r="X17">
        <v>3.4260000000000002</v>
      </c>
      <c r="Y17" t="s">
        <v>4784</v>
      </c>
      <c r="Z17">
        <v>2024</v>
      </c>
      <c r="AA17">
        <v>0</v>
      </c>
    </row>
    <row r="18" spans="1:27">
      <c r="A18" t="s">
        <v>4799</v>
      </c>
      <c r="B18" t="s">
        <v>4800</v>
      </c>
      <c r="C18" t="s">
        <v>307</v>
      </c>
      <c r="D18" t="s">
        <v>440</v>
      </c>
      <c r="E18" t="s">
        <v>4801</v>
      </c>
      <c r="F18">
        <v>9671987208</v>
      </c>
      <c r="G18" t="s">
        <v>24</v>
      </c>
      <c r="H18" t="s">
        <v>4802</v>
      </c>
      <c r="I18" t="s">
        <v>4780</v>
      </c>
      <c r="J18" t="s">
        <v>4803</v>
      </c>
      <c r="K18" s="1">
        <v>45053</v>
      </c>
      <c r="L18">
        <v>57920</v>
      </c>
      <c r="M18" s="1">
        <v>45546</v>
      </c>
      <c r="N18" t="s">
        <v>4797</v>
      </c>
      <c r="O18">
        <v>26000</v>
      </c>
      <c r="P18">
        <v>4.2999999999999997E-2</v>
      </c>
      <c r="Q18">
        <v>0</v>
      </c>
      <c r="R18" t="s">
        <v>4794</v>
      </c>
      <c r="S18" t="s">
        <v>3416</v>
      </c>
      <c r="T18">
        <v>36</v>
      </c>
      <c r="U18" t="s">
        <v>26</v>
      </c>
      <c r="V18">
        <v>37500</v>
      </c>
      <c r="W18">
        <v>25096.62</v>
      </c>
      <c r="X18">
        <v>0.66900000000000004</v>
      </c>
      <c r="Y18" t="s">
        <v>4792</v>
      </c>
      <c r="Z18">
        <v>2024</v>
      </c>
      <c r="AA18">
        <v>0</v>
      </c>
    </row>
    <row r="19" spans="1:27">
      <c r="A19" t="s">
        <v>4799</v>
      </c>
      <c r="B19" t="s">
        <v>4800</v>
      </c>
      <c r="C19" t="s">
        <v>307</v>
      </c>
      <c r="D19" t="s">
        <v>440</v>
      </c>
      <c r="E19" t="s">
        <v>4801</v>
      </c>
      <c r="F19">
        <v>9671987208</v>
      </c>
      <c r="G19" t="s">
        <v>24</v>
      </c>
      <c r="H19" t="s">
        <v>4802</v>
      </c>
      <c r="I19" t="s">
        <v>4780</v>
      </c>
      <c r="J19" t="s">
        <v>4803</v>
      </c>
      <c r="K19" s="1">
        <v>45053</v>
      </c>
      <c r="L19">
        <v>57920</v>
      </c>
      <c r="M19" s="1">
        <v>45588</v>
      </c>
      <c r="N19" t="s">
        <v>4785</v>
      </c>
      <c r="O19">
        <v>28200</v>
      </c>
      <c r="P19">
        <v>5.1999999999999998E-2</v>
      </c>
      <c r="Q19">
        <v>0</v>
      </c>
      <c r="R19" t="s">
        <v>4794</v>
      </c>
      <c r="S19" t="s">
        <v>3348</v>
      </c>
      <c r="T19">
        <v>85</v>
      </c>
      <c r="U19" t="s">
        <v>4787</v>
      </c>
      <c r="V19">
        <v>37500</v>
      </c>
      <c r="W19">
        <v>31461.8</v>
      </c>
      <c r="X19">
        <v>0.83899999999999997</v>
      </c>
      <c r="Y19" t="s">
        <v>4792</v>
      </c>
      <c r="Z19">
        <v>2024</v>
      </c>
      <c r="AA19">
        <v>0</v>
      </c>
    </row>
    <row r="20" spans="1:27">
      <c r="A20" t="s">
        <v>4799</v>
      </c>
      <c r="B20" t="s">
        <v>4800</v>
      </c>
      <c r="C20" t="s">
        <v>307</v>
      </c>
      <c r="D20" t="s">
        <v>440</v>
      </c>
      <c r="E20" t="s">
        <v>4801</v>
      </c>
      <c r="F20">
        <v>9671987208</v>
      </c>
      <c r="G20" t="s">
        <v>24</v>
      </c>
      <c r="H20" t="s">
        <v>4802</v>
      </c>
      <c r="I20" t="s">
        <v>4780</v>
      </c>
      <c r="J20" t="s">
        <v>4803</v>
      </c>
      <c r="K20" s="1">
        <v>45053</v>
      </c>
      <c r="L20">
        <v>57920</v>
      </c>
      <c r="M20" s="1">
        <v>45605</v>
      </c>
      <c r="N20" t="s">
        <v>4785</v>
      </c>
      <c r="O20">
        <v>86900</v>
      </c>
      <c r="P20">
        <v>8.5000000000000006E-2</v>
      </c>
      <c r="Q20">
        <v>0</v>
      </c>
      <c r="R20" t="s">
        <v>4788</v>
      </c>
      <c r="S20" t="s">
        <v>3416</v>
      </c>
      <c r="T20">
        <v>2</v>
      </c>
      <c r="U20" t="s">
        <v>26</v>
      </c>
      <c r="V20">
        <v>37500</v>
      </c>
      <c r="W20">
        <v>78960.06</v>
      </c>
      <c r="X20">
        <v>2.1059999999999999</v>
      </c>
      <c r="Y20" t="s">
        <v>4784</v>
      </c>
      <c r="Z20">
        <v>2024</v>
      </c>
      <c r="AA20">
        <v>0</v>
      </c>
    </row>
    <row r="21" spans="1:27">
      <c r="A21" t="s">
        <v>4799</v>
      </c>
      <c r="B21" t="s">
        <v>4800</v>
      </c>
      <c r="C21" t="s">
        <v>307</v>
      </c>
      <c r="D21" t="s">
        <v>440</v>
      </c>
      <c r="E21" t="s">
        <v>4801</v>
      </c>
      <c r="F21">
        <v>9671987208</v>
      </c>
      <c r="G21" t="s">
        <v>24</v>
      </c>
      <c r="H21" t="s">
        <v>4802</v>
      </c>
      <c r="I21" t="s">
        <v>4780</v>
      </c>
      <c r="J21" t="s">
        <v>4803</v>
      </c>
      <c r="K21" s="1">
        <v>45053</v>
      </c>
      <c r="L21">
        <v>57920</v>
      </c>
      <c r="M21" s="1">
        <v>45612</v>
      </c>
      <c r="N21" t="s">
        <v>4785</v>
      </c>
      <c r="O21">
        <v>101200</v>
      </c>
      <c r="P21">
        <v>3.3000000000000002E-2</v>
      </c>
      <c r="Q21">
        <v>0</v>
      </c>
      <c r="R21" t="s">
        <v>4791</v>
      </c>
      <c r="S21" t="s">
        <v>3416</v>
      </c>
      <c r="T21">
        <v>62</v>
      </c>
      <c r="U21" t="s">
        <v>4795</v>
      </c>
      <c r="V21">
        <v>37500</v>
      </c>
      <c r="W21">
        <v>60907.01</v>
      </c>
      <c r="X21">
        <v>1.6240000000000001</v>
      </c>
      <c r="Y21" t="s">
        <v>4784</v>
      </c>
      <c r="Z21">
        <v>2024</v>
      </c>
      <c r="AA21">
        <v>0</v>
      </c>
    </row>
    <row r="22" spans="1:27">
      <c r="A22" t="s">
        <v>4804</v>
      </c>
      <c r="B22" t="s">
        <v>4805</v>
      </c>
      <c r="C22" t="s">
        <v>897</v>
      </c>
      <c r="D22" t="s">
        <v>217</v>
      </c>
      <c r="E22" t="s">
        <v>4806</v>
      </c>
      <c r="F22">
        <v>9703755583</v>
      </c>
      <c r="G22" t="s">
        <v>46</v>
      </c>
      <c r="H22" t="s">
        <v>4807</v>
      </c>
      <c r="I22" t="s">
        <v>4808</v>
      </c>
      <c r="J22" t="s">
        <v>4809</v>
      </c>
      <c r="K22" s="1">
        <v>43771</v>
      </c>
      <c r="L22">
        <v>39829</v>
      </c>
      <c r="M22" s="1">
        <v>44763</v>
      </c>
      <c r="N22" t="s">
        <v>4782</v>
      </c>
      <c r="O22">
        <v>176500</v>
      </c>
      <c r="P22">
        <v>8.3000000000000004E-2</v>
      </c>
      <c r="Q22">
        <v>14649.5</v>
      </c>
      <c r="R22" t="s">
        <v>4790</v>
      </c>
      <c r="S22" t="s">
        <v>3411</v>
      </c>
      <c r="T22">
        <v>87</v>
      </c>
      <c r="U22" t="s">
        <v>4796</v>
      </c>
      <c r="V22">
        <v>41666.67</v>
      </c>
      <c r="W22">
        <v>204895.69</v>
      </c>
      <c r="X22">
        <v>4.9169999999999998</v>
      </c>
      <c r="Y22" t="s">
        <v>4784</v>
      </c>
      <c r="Z22">
        <v>2022</v>
      </c>
      <c r="AA22">
        <v>1</v>
      </c>
    </row>
    <row r="23" spans="1:27">
      <c r="A23" t="s">
        <v>4804</v>
      </c>
      <c r="B23" t="s">
        <v>4805</v>
      </c>
      <c r="C23" t="s">
        <v>897</v>
      </c>
      <c r="D23" t="s">
        <v>217</v>
      </c>
      <c r="E23" t="s">
        <v>4806</v>
      </c>
      <c r="F23">
        <v>9703755583</v>
      </c>
      <c r="G23" t="s">
        <v>46</v>
      </c>
      <c r="H23" t="s">
        <v>4807</v>
      </c>
      <c r="I23" t="s">
        <v>4808</v>
      </c>
      <c r="J23" t="s">
        <v>4809</v>
      </c>
      <c r="K23" s="1">
        <v>43771</v>
      </c>
      <c r="L23">
        <v>39829</v>
      </c>
      <c r="M23" s="1">
        <v>44799</v>
      </c>
      <c r="N23" t="s">
        <v>4782</v>
      </c>
      <c r="O23">
        <v>48900</v>
      </c>
      <c r="P23">
        <v>7.1999999999999995E-2</v>
      </c>
      <c r="Q23">
        <v>3520.8</v>
      </c>
      <c r="R23" t="s">
        <v>4790</v>
      </c>
      <c r="S23" t="s">
        <v>3317</v>
      </c>
      <c r="T23">
        <v>61</v>
      </c>
      <c r="U23" t="s">
        <v>4796</v>
      </c>
      <c r="V23">
        <v>41666.67</v>
      </c>
      <c r="W23">
        <v>41165.03</v>
      </c>
      <c r="X23">
        <v>0.98799999999999999</v>
      </c>
      <c r="Y23" t="s">
        <v>4793</v>
      </c>
      <c r="Z23">
        <v>2022</v>
      </c>
      <c r="AA23">
        <v>1</v>
      </c>
    </row>
    <row r="24" spans="1:27">
      <c r="A24" t="s">
        <v>4804</v>
      </c>
      <c r="B24" t="s">
        <v>4805</v>
      </c>
      <c r="C24" t="s">
        <v>897</v>
      </c>
      <c r="D24" t="s">
        <v>217</v>
      </c>
      <c r="E24" t="s">
        <v>4806</v>
      </c>
      <c r="F24">
        <v>9703755583</v>
      </c>
      <c r="G24" t="s">
        <v>46</v>
      </c>
      <c r="H24" t="s">
        <v>4807</v>
      </c>
      <c r="I24" t="s">
        <v>4808</v>
      </c>
      <c r="J24" t="s">
        <v>4809</v>
      </c>
      <c r="K24" s="1">
        <v>43771</v>
      </c>
      <c r="L24">
        <v>39829</v>
      </c>
      <c r="M24" s="1">
        <v>44877</v>
      </c>
      <c r="N24" t="s">
        <v>4789</v>
      </c>
      <c r="O24">
        <v>202300</v>
      </c>
      <c r="P24">
        <v>0.11899999999999999</v>
      </c>
      <c r="Q24">
        <v>0</v>
      </c>
      <c r="R24" t="s">
        <v>4798</v>
      </c>
      <c r="S24" t="s">
        <v>3322</v>
      </c>
      <c r="T24">
        <v>31</v>
      </c>
      <c r="U24" t="s">
        <v>26</v>
      </c>
      <c r="V24">
        <v>41666.67</v>
      </c>
      <c r="W24">
        <v>233332.65</v>
      </c>
      <c r="X24">
        <v>5.6</v>
      </c>
      <c r="Y24" t="s">
        <v>4784</v>
      </c>
      <c r="Z24">
        <v>2022</v>
      </c>
      <c r="AA24">
        <v>0</v>
      </c>
    </row>
    <row r="25" spans="1:27">
      <c r="A25" t="s">
        <v>4804</v>
      </c>
      <c r="B25" t="s">
        <v>4805</v>
      </c>
      <c r="C25" t="s">
        <v>897</v>
      </c>
      <c r="D25" t="s">
        <v>217</v>
      </c>
      <c r="E25" t="s">
        <v>4806</v>
      </c>
      <c r="F25">
        <v>9703755583</v>
      </c>
      <c r="G25" t="s">
        <v>46</v>
      </c>
      <c r="H25" t="s">
        <v>4807</v>
      </c>
      <c r="I25" t="s">
        <v>4808</v>
      </c>
      <c r="J25" t="s">
        <v>4809</v>
      </c>
      <c r="K25" s="1">
        <v>43771</v>
      </c>
      <c r="L25">
        <v>39829</v>
      </c>
      <c r="M25" s="1">
        <v>44904</v>
      </c>
      <c r="N25" t="s">
        <v>4782</v>
      </c>
      <c r="O25">
        <v>156500</v>
      </c>
      <c r="P25">
        <v>9.6000000000000002E-2</v>
      </c>
      <c r="Q25">
        <v>15024</v>
      </c>
      <c r="R25" t="s">
        <v>4788</v>
      </c>
      <c r="S25" t="s">
        <v>3302</v>
      </c>
      <c r="T25">
        <v>83</v>
      </c>
      <c r="U25" t="s">
        <v>4795</v>
      </c>
      <c r="V25">
        <v>41666.67</v>
      </c>
      <c r="W25">
        <v>184659.91</v>
      </c>
      <c r="X25">
        <v>4.4320000000000004</v>
      </c>
      <c r="Y25" t="s">
        <v>4784</v>
      </c>
      <c r="Z25">
        <v>2022</v>
      </c>
      <c r="AA25">
        <v>1</v>
      </c>
    </row>
    <row r="26" spans="1:27">
      <c r="A26" t="s">
        <v>4804</v>
      </c>
      <c r="B26" t="s">
        <v>4805</v>
      </c>
      <c r="C26" t="s">
        <v>897</v>
      </c>
      <c r="D26" t="s">
        <v>217</v>
      </c>
      <c r="E26" t="s">
        <v>4806</v>
      </c>
      <c r="F26">
        <v>9703755583</v>
      </c>
      <c r="G26" t="s">
        <v>46</v>
      </c>
      <c r="H26" t="s">
        <v>4807</v>
      </c>
      <c r="I26" t="s">
        <v>4808</v>
      </c>
      <c r="J26" t="s">
        <v>4809</v>
      </c>
      <c r="K26" s="1">
        <v>43771</v>
      </c>
      <c r="L26">
        <v>39829</v>
      </c>
      <c r="M26" s="1">
        <v>44919</v>
      </c>
      <c r="N26" t="s">
        <v>4785</v>
      </c>
      <c r="O26">
        <v>198700</v>
      </c>
      <c r="P26">
        <v>4.3999999999999997E-2</v>
      </c>
      <c r="Q26">
        <v>0</v>
      </c>
      <c r="R26" t="s">
        <v>4790</v>
      </c>
      <c r="S26" t="s">
        <v>3317</v>
      </c>
      <c r="T26">
        <v>23</v>
      </c>
      <c r="U26" t="s">
        <v>4795</v>
      </c>
      <c r="V26">
        <v>41666.67</v>
      </c>
      <c r="W26">
        <v>239289.43</v>
      </c>
      <c r="X26">
        <v>5.7430000000000003</v>
      </c>
      <c r="Y26" t="s">
        <v>4784</v>
      </c>
      <c r="Z26">
        <v>2022</v>
      </c>
      <c r="AA26">
        <v>0</v>
      </c>
    </row>
    <row r="27" spans="1:27">
      <c r="A27" t="s">
        <v>4804</v>
      </c>
      <c r="B27" t="s">
        <v>4805</v>
      </c>
      <c r="C27" t="s">
        <v>897</v>
      </c>
      <c r="D27" t="s">
        <v>217</v>
      </c>
      <c r="E27" t="s">
        <v>4806</v>
      </c>
      <c r="F27">
        <v>9703755583</v>
      </c>
      <c r="G27" t="s">
        <v>46</v>
      </c>
      <c r="H27" t="s">
        <v>4807</v>
      </c>
      <c r="I27" t="s">
        <v>4808</v>
      </c>
      <c r="J27" t="s">
        <v>4809</v>
      </c>
      <c r="K27" s="1">
        <v>43771</v>
      </c>
      <c r="L27">
        <v>39829</v>
      </c>
      <c r="M27" s="1">
        <v>44961</v>
      </c>
      <c r="N27" t="s">
        <v>4785</v>
      </c>
      <c r="O27">
        <v>93400</v>
      </c>
      <c r="P27">
        <v>9.0999999999999998E-2</v>
      </c>
      <c r="Q27">
        <v>0</v>
      </c>
      <c r="R27" t="s">
        <v>4786</v>
      </c>
      <c r="S27" t="s">
        <v>3317</v>
      </c>
      <c r="T27">
        <v>71</v>
      </c>
      <c r="U27" t="s">
        <v>4787</v>
      </c>
      <c r="V27">
        <v>41666.67</v>
      </c>
      <c r="W27">
        <v>103255.72</v>
      </c>
      <c r="X27">
        <v>2.4780000000000002</v>
      </c>
      <c r="Y27" t="s">
        <v>4784</v>
      </c>
      <c r="Z27">
        <v>2023</v>
      </c>
      <c r="AA27">
        <v>0</v>
      </c>
    </row>
    <row r="28" spans="1:27">
      <c r="A28" t="s">
        <v>4804</v>
      </c>
      <c r="B28" t="s">
        <v>4805</v>
      </c>
      <c r="C28" t="s">
        <v>897</v>
      </c>
      <c r="D28" t="s">
        <v>217</v>
      </c>
      <c r="E28" t="s">
        <v>4806</v>
      </c>
      <c r="F28">
        <v>9703755583</v>
      </c>
      <c r="G28" t="s">
        <v>46</v>
      </c>
      <c r="H28" t="s">
        <v>4807</v>
      </c>
      <c r="I28" t="s">
        <v>4808</v>
      </c>
      <c r="J28" t="s">
        <v>4809</v>
      </c>
      <c r="K28" s="1">
        <v>43771</v>
      </c>
      <c r="L28">
        <v>39829</v>
      </c>
      <c r="M28" s="1">
        <v>45045</v>
      </c>
      <c r="N28" t="s">
        <v>4789</v>
      </c>
      <c r="O28">
        <v>52400</v>
      </c>
      <c r="P28">
        <v>0.10199999999999999</v>
      </c>
      <c r="Q28">
        <v>0</v>
      </c>
      <c r="R28" t="s">
        <v>4798</v>
      </c>
      <c r="S28" t="s">
        <v>3302</v>
      </c>
      <c r="T28">
        <v>44</v>
      </c>
      <c r="U28" t="s">
        <v>4787</v>
      </c>
      <c r="V28">
        <v>41666.67</v>
      </c>
      <c r="W28">
        <v>71820.02</v>
      </c>
      <c r="X28">
        <v>1.724</v>
      </c>
      <c r="Y28" t="s">
        <v>4784</v>
      </c>
      <c r="Z28">
        <v>2023</v>
      </c>
      <c r="AA28">
        <v>0</v>
      </c>
    </row>
    <row r="29" spans="1:27">
      <c r="A29" t="s">
        <v>4804</v>
      </c>
      <c r="B29" t="s">
        <v>4805</v>
      </c>
      <c r="C29" t="s">
        <v>897</v>
      </c>
      <c r="D29" t="s">
        <v>217</v>
      </c>
      <c r="E29" t="s">
        <v>4806</v>
      </c>
      <c r="F29">
        <v>9703755583</v>
      </c>
      <c r="G29" t="s">
        <v>46</v>
      </c>
      <c r="H29" t="s">
        <v>4807</v>
      </c>
      <c r="I29" t="s">
        <v>4808</v>
      </c>
      <c r="J29" t="s">
        <v>4809</v>
      </c>
      <c r="K29" s="1">
        <v>43771</v>
      </c>
      <c r="L29">
        <v>39829</v>
      </c>
      <c r="M29" s="1">
        <v>45286</v>
      </c>
      <c r="N29" t="s">
        <v>4789</v>
      </c>
      <c r="O29">
        <v>165000</v>
      </c>
      <c r="P29">
        <v>0.113</v>
      </c>
      <c r="Q29">
        <v>0</v>
      </c>
      <c r="R29" t="s">
        <v>4798</v>
      </c>
      <c r="S29" t="s">
        <v>3317</v>
      </c>
      <c r="T29">
        <v>43</v>
      </c>
      <c r="U29" t="s">
        <v>4795</v>
      </c>
      <c r="V29">
        <v>41666.67</v>
      </c>
      <c r="W29">
        <v>122162.54</v>
      </c>
      <c r="X29">
        <v>2.9319999999999999</v>
      </c>
      <c r="Y29" t="s">
        <v>4784</v>
      </c>
      <c r="Z29">
        <v>2023</v>
      </c>
      <c r="AA29">
        <v>0</v>
      </c>
    </row>
    <row r="30" spans="1:27">
      <c r="A30" t="s">
        <v>4804</v>
      </c>
      <c r="B30" t="s">
        <v>4805</v>
      </c>
      <c r="C30" t="s">
        <v>897</v>
      </c>
      <c r="D30" t="s">
        <v>217</v>
      </c>
      <c r="E30" t="s">
        <v>4806</v>
      </c>
      <c r="F30">
        <v>9703755583</v>
      </c>
      <c r="G30" t="s">
        <v>46</v>
      </c>
      <c r="H30" t="s">
        <v>4807</v>
      </c>
      <c r="I30" t="s">
        <v>4808</v>
      </c>
      <c r="J30" t="s">
        <v>4809</v>
      </c>
      <c r="K30" s="1">
        <v>43771</v>
      </c>
      <c r="L30">
        <v>39829</v>
      </c>
      <c r="M30" s="1">
        <v>45360</v>
      </c>
      <c r="N30" t="s">
        <v>4789</v>
      </c>
      <c r="O30">
        <v>73800</v>
      </c>
      <c r="P30">
        <v>4.2999999999999997E-2</v>
      </c>
      <c r="Q30">
        <v>0</v>
      </c>
      <c r="R30" t="s">
        <v>4798</v>
      </c>
      <c r="S30" t="s">
        <v>3322</v>
      </c>
      <c r="T30">
        <v>2</v>
      </c>
      <c r="U30" t="s">
        <v>4795</v>
      </c>
      <c r="V30">
        <v>41666.67</v>
      </c>
      <c r="W30">
        <v>98486.12</v>
      </c>
      <c r="X30">
        <v>2.3639999999999999</v>
      </c>
      <c r="Y30" t="s">
        <v>4784</v>
      </c>
      <c r="Z30">
        <v>2024</v>
      </c>
      <c r="AA30">
        <v>0</v>
      </c>
    </row>
    <row r="31" spans="1:27">
      <c r="A31" t="s">
        <v>4804</v>
      </c>
      <c r="B31" t="s">
        <v>4805</v>
      </c>
      <c r="C31" t="s">
        <v>897</v>
      </c>
      <c r="D31" t="s">
        <v>217</v>
      </c>
      <c r="E31" t="s">
        <v>4806</v>
      </c>
      <c r="F31">
        <v>9703755583</v>
      </c>
      <c r="G31" t="s">
        <v>46</v>
      </c>
      <c r="H31" t="s">
        <v>4807</v>
      </c>
      <c r="I31" t="s">
        <v>4808</v>
      </c>
      <c r="J31" t="s">
        <v>4809</v>
      </c>
      <c r="K31" s="1">
        <v>43771</v>
      </c>
      <c r="L31">
        <v>39829</v>
      </c>
      <c r="M31" s="1">
        <v>45481</v>
      </c>
      <c r="N31" t="s">
        <v>4789</v>
      </c>
      <c r="O31">
        <v>182900</v>
      </c>
      <c r="P31">
        <v>5.8000000000000003E-2</v>
      </c>
      <c r="Q31">
        <v>0</v>
      </c>
      <c r="R31" t="s">
        <v>4783</v>
      </c>
      <c r="S31" t="s">
        <v>3348</v>
      </c>
      <c r="T31">
        <v>6</v>
      </c>
      <c r="U31" t="s">
        <v>4787</v>
      </c>
      <c r="V31">
        <v>41666.67</v>
      </c>
      <c r="W31">
        <v>242514.6</v>
      </c>
      <c r="X31">
        <v>5.82</v>
      </c>
      <c r="Y31" t="s">
        <v>4784</v>
      </c>
      <c r="Z31">
        <v>2024</v>
      </c>
      <c r="AA31">
        <v>0</v>
      </c>
    </row>
    <row r="32" spans="1:27">
      <c r="A32" t="s">
        <v>4810</v>
      </c>
      <c r="B32" t="s">
        <v>4811</v>
      </c>
      <c r="C32" t="s">
        <v>1084</v>
      </c>
      <c r="D32" t="s">
        <v>924</v>
      </c>
      <c r="E32" t="s">
        <v>4812</v>
      </c>
      <c r="F32">
        <v>9709823445</v>
      </c>
      <c r="G32" t="s">
        <v>24</v>
      </c>
      <c r="H32" t="s">
        <v>4802</v>
      </c>
      <c r="I32" t="s">
        <v>4808</v>
      </c>
      <c r="J32" t="s">
        <v>4809</v>
      </c>
      <c r="K32" s="1">
        <v>43931</v>
      </c>
      <c r="L32">
        <v>29334</v>
      </c>
      <c r="M32" s="1">
        <v>44600</v>
      </c>
      <c r="N32" t="s">
        <v>4789</v>
      </c>
      <c r="O32">
        <v>44000</v>
      </c>
      <c r="P32">
        <v>8.8999999999999996E-2</v>
      </c>
      <c r="Q32">
        <v>0</v>
      </c>
      <c r="R32" t="s">
        <v>4791</v>
      </c>
      <c r="S32" t="s">
        <v>3302</v>
      </c>
      <c r="T32">
        <v>86</v>
      </c>
      <c r="U32" t="s">
        <v>26</v>
      </c>
      <c r="V32">
        <v>37500</v>
      </c>
      <c r="W32">
        <v>32550.880000000001</v>
      </c>
      <c r="X32">
        <v>0.86799999999999999</v>
      </c>
      <c r="Y32" t="s">
        <v>4792</v>
      </c>
      <c r="Z32">
        <v>2022</v>
      </c>
      <c r="AA32">
        <v>0</v>
      </c>
    </row>
    <row r="33" spans="1:27">
      <c r="A33" t="s">
        <v>4810</v>
      </c>
      <c r="B33" t="s">
        <v>4811</v>
      </c>
      <c r="C33" t="s">
        <v>1084</v>
      </c>
      <c r="D33" t="s">
        <v>924</v>
      </c>
      <c r="E33" t="s">
        <v>4812</v>
      </c>
      <c r="F33">
        <v>9709823445</v>
      </c>
      <c r="G33" t="s">
        <v>24</v>
      </c>
      <c r="H33" t="s">
        <v>4802</v>
      </c>
      <c r="I33" t="s">
        <v>4808</v>
      </c>
      <c r="J33" t="s">
        <v>4809</v>
      </c>
      <c r="K33" s="1">
        <v>43931</v>
      </c>
      <c r="L33">
        <v>29334</v>
      </c>
      <c r="M33" s="1">
        <v>44685</v>
      </c>
      <c r="N33" t="s">
        <v>4782</v>
      </c>
      <c r="O33">
        <v>218100</v>
      </c>
      <c r="P33">
        <v>5.3999999999999999E-2</v>
      </c>
      <c r="Q33">
        <v>11777.4</v>
      </c>
      <c r="R33" t="s">
        <v>4790</v>
      </c>
      <c r="S33" t="s">
        <v>3302</v>
      </c>
      <c r="T33">
        <v>63</v>
      </c>
      <c r="U33" t="s">
        <v>4796</v>
      </c>
      <c r="V33">
        <v>37500</v>
      </c>
      <c r="W33">
        <v>228846.16</v>
      </c>
      <c r="X33">
        <v>6.1029999999999998</v>
      </c>
      <c r="Y33" t="s">
        <v>4784</v>
      </c>
      <c r="Z33">
        <v>2022</v>
      </c>
      <c r="AA33">
        <v>1</v>
      </c>
    </row>
    <row r="34" spans="1:27">
      <c r="A34" t="s">
        <v>4810</v>
      </c>
      <c r="B34" t="s">
        <v>4811</v>
      </c>
      <c r="C34" t="s">
        <v>1084</v>
      </c>
      <c r="D34" t="s">
        <v>924</v>
      </c>
      <c r="E34" t="s">
        <v>4812</v>
      </c>
      <c r="F34">
        <v>9709823445</v>
      </c>
      <c r="G34" t="s">
        <v>24</v>
      </c>
      <c r="H34" t="s">
        <v>4802</v>
      </c>
      <c r="I34" t="s">
        <v>4808</v>
      </c>
      <c r="J34" t="s">
        <v>4809</v>
      </c>
      <c r="K34" s="1">
        <v>43931</v>
      </c>
      <c r="L34">
        <v>29334</v>
      </c>
      <c r="M34" s="1">
        <v>44701</v>
      </c>
      <c r="N34" t="s">
        <v>4782</v>
      </c>
      <c r="O34">
        <v>112800</v>
      </c>
      <c r="P34">
        <v>3.9E-2</v>
      </c>
      <c r="Q34">
        <v>4399.2</v>
      </c>
      <c r="R34" t="s">
        <v>4791</v>
      </c>
      <c r="S34" t="s">
        <v>3348</v>
      </c>
      <c r="T34">
        <v>58</v>
      </c>
      <c r="U34" t="s">
        <v>4795</v>
      </c>
      <c r="V34">
        <v>37500</v>
      </c>
      <c r="W34">
        <v>78675.149999999994</v>
      </c>
      <c r="X34">
        <v>2.0979999999999999</v>
      </c>
      <c r="Y34" t="s">
        <v>4784</v>
      </c>
      <c r="Z34">
        <v>2022</v>
      </c>
      <c r="AA34">
        <v>1</v>
      </c>
    </row>
    <row r="35" spans="1:27">
      <c r="A35" t="s">
        <v>4810</v>
      </c>
      <c r="B35" t="s">
        <v>4811</v>
      </c>
      <c r="C35" t="s">
        <v>1084</v>
      </c>
      <c r="D35" t="s">
        <v>924</v>
      </c>
      <c r="E35" t="s">
        <v>4812</v>
      </c>
      <c r="F35">
        <v>9709823445</v>
      </c>
      <c r="G35" t="s">
        <v>24</v>
      </c>
      <c r="H35" t="s">
        <v>4802</v>
      </c>
      <c r="I35" t="s">
        <v>4808</v>
      </c>
      <c r="J35" t="s">
        <v>4809</v>
      </c>
      <c r="K35" s="1">
        <v>43931</v>
      </c>
      <c r="L35">
        <v>29334</v>
      </c>
      <c r="M35" s="1">
        <v>44779</v>
      </c>
      <c r="N35" t="s">
        <v>4789</v>
      </c>
      <c r="O35">
        <v>192500</v>
      </c>
      <c r="P35">
        <v>5.2999999999999999E-2</v>
      </c>
      <c r="Q35">
        <v>0</v>
      </c>
      <c r="R35" t="s">
        <v>4791</v>
      </c>
      <c r="S35" t="s">
        <v>3302</v>
      </c>
      <c r="T35">
        <v>10</v>
      </c>
      <c r="U35" t="s">
        <v>4795</v>
      </c>
      <c r="V35">
        <v>37500</v>
      </c>
      <c r="W35">
        <v>230906.34</v>
      </c>
      <c r="X35">
        <v>6.1580000000000004</v>
      </c>
      <c r="Y35" t="s">
        <v>4784</v>
      </c>
      <c r="Z35">
        <v>2022</v>
      </c>
      <c r="AA35">
        <v>0</v>
      </c>
    </row>
    <row r="36" spans="1:27">
      <c r="A36" t="s">
        <v>4810</v>
      </c>
      <c r="B36" t="s">
        <v>4811</v>
      </c>
      <c r="C36" t="s">
        <v>1084</v>
      </c>
      <c r="D36" t="s">
        <v>924</v>
      </c>
      <c r="E36" t="s">
        <v>4812</v>
      </c>
      <c r="F36">
        <v>9709823445</v>
      </c>
      <c r="G36" t="s">
        <v>24</v>
      </c>
      <c r="H36" t="s">
        <v>4802</v>
      </c>
      <c r="I36" t="s">
        <v>4808</v>
      </c>
      <c r="J36" t="s">
        <v>4809</v>
      </c>
      <c r="K36" s="1">
        <v>43931</v>
      </c>
      <c r="L36">
        <v>29334</v>
      </c>
      <c r="M36" s="1">
        <v>44811</v>
      </c>
      <c r="N36" t="s">
        <v>4797</v>
      </c>
      <c r="O36">
        <v>36500</v>
      </c>
      <c r="P36">
        <v>3.7999999999999999E-2</v>
      </c>
      <c r="Q36">
        <v>0</v>
      </c>
      <c r="R36" t="s">
        <v>4783</v>
      </c>
      <c r="S36" t="s">
        <v>3310</v>
      </c>
      <c r="T36">
        <v>49</v>
      </c>
      <c r="U36" t="s">
        <v>4796</v>
      </c>
      <c r="V36">
        <v>37500</v>
      </c>
      <c r="W36">
        <v>47683.65</v>
      </c>
      <c r="X36">
        <v>1.272</v>
      </c>
      <c r="Y36" t="s">
        <v>4784</v>
      </c>
      <c r="Z36">
        <v>2022</v>
      </c>
      <c r="AA36">
        <v>0</v>
      </c>
    </row>
    <row r="37" spans="1:27">
      <c r="A37" t="s">
        <v>4810</v>
      </c>
      <c r="B37" t="s">
        <v>4811</v>
      </c>
      <c r="C37" t="s">
        <v>1084</v>
      </c>
      <c r="D37" t="s">
        <v>924</v>
      </c>
      <c r="E37" t="s">
        <v>4812</v>
      </c>
      <c r="F37">
        <v>9709823445</v>
      </c>
      <c r="G37" t="s">
        <v>24</v>
      </c>
      <c r="H37" t="s">
        <v>4802</v>
      </c>
      <c r="I37" t="s">
        <v>4808</v>
      </c>
      <c r="J37" t="s">
        <v>4809</v>
      </c>
      <c r="K37" s="1">
        <v>43931</v>
      </c>
      <c r="L37">
        <v>29334</v>
      </c>
      <c r="M37" s="1">
        <v>44927</v>
      </c>
      <c r="N37" t="s">
        <v>4797</v>
      </c>
      <c r="O37">
        <v>134000</v>
      </c>
      <c r="P37">
        <v>0.04</v>
      </c>
      <c r="Q37">
        <v>0</v>
      </c>
      <c r="R37" t="s">
        <v>4783</v>
      </c>
      <c r="S37" t="s">
        <v>3411</v>
      </c>
      <c r="T37">
        <v>56</v>
      </c>
      <c r="U37" t="s">
        <v>4796</v>
      </c>
      <c r="V37">
        <v>37500</v>
      </c>
      <c r="W37">
        <v>141044.32999999999</v>
      </c>
      <c r="X37">
        <v>3.7610000000000001</v>
      </c>
      <c r="Y37" t="s">
        <v>4784</v>
      </c>
      <c r="Z37">
        <v>2023</v>
      </c>
      <c r="AA37">
        <v>0</v>
      </c>
    </row>
    <row r="38" spans="1:27">
      <c r="A38" t="s">
        <v>4810</v>
      </c>
      <c r="B38" t="s">
        <v>4811</v>
      </c>
      <c r="C38" t="s">
        <v>1084</v>
      </c>
      <c r="D38" t="s">
        <v>924</v>
      </c>
      <c r="E38" t="s">
        <v>4812</v>
      </c>
      <c r="F38">
        <v>9709823445</v>
      </c>
      <c r="G38" t="s">
        <v>24</v>
      </c>
      <c r="H38" t="s">
        <v>4802</v>
      </c>
      <c r="I38" t="s">
        <v>4808</v>
      </c>
      <c r="J38" t="s">
        <v>4809</v>
      </c>
      <c r="K38" s="1">
        <v>43931</v>
      </c>
      <c r="L38">
        <v>29334</v>
      </c>
      <c r="M38" s="1">
        <v>44939</v>
      </c>
      <c r="N38" t="s">
        <v>4782</v>
      </c>
      <c r="O38">
        <v>82200</v>
      </c>
      <c r="P38">
        <v>7.1999999999999995E-2</v>
      </c>
      <c r="Q38">
        <v>5918.4</v>
      </c>
      <c r="R38" t="s">
        <v>4791</v>
      </c>
      <c r="S38" t="s">
        <v>3348</v>
      </c>
      <c r="T38">
        <v>59</v>
      </c>
      <c r="U38" t="s">
        <v>4795</v>
      </c>
      <c r="V38">
        <v>37500</v>
      </c>
      <c r="W38">
        <v>98017.19</v>
      </c>
      <c r="X38">
        <v>2.6139999999999999</v>
      </c>
      <c r="Y38" t="s">
        <v>4784</v>
      </c>
      <c r="Z38">
        <v>2023</v>
      </c>
      <c r="AA38">
        <v>1</v>
      </c>
    </row>
    <row r="39" spans="1:27">
      <c r="A39" t="s">
        <v>4810</v>
      </c>
      <c r="B39" t="s">
        <v>4811</v>
      </c>
      <c r="C39" t="s">
        <v>1084</v>
      </c>
      <c r="D39" t="s">
        <v>924</v>
      </c>
      <c r="E39" t="s">
        <v>4812</v>
      </c>
      <c r="F39">
        <v>9709823445</v>
      </c>
      <c r="G39" t="s">
        <v>24</v>
      </c>
      <c r="H39" t="s">
        <v>4802</v>
      </c>
      <c r="I39" t="s">
        <v>4808</v>
      </c>
      <c r="J39" t="s">
        <v>4809</v>
      </c>
      <c r="K39" s="1">
        <v>43931</v>
      </c>
      <c r="L39">
        <v>29334</v>
      </c>
      <c r="M39" s="1">
        <v>45142</v>
      </c>
      <c r="N39" t="s">
        <v>4782</v>
      </c>
      <c r="O39">
        <v>55600</v>
      </c>
      <c r="P39">
        <v>3.3000000000000002E-2</v>
      </c>
      <c r="Q39">
        <v>1834.8</v>
      </c>
      <c r="R39" t="s">
        <v>4783</v>
      </c>
      <c r="S39" t="s">
        <v>3302</v>
      </c>
      <c r="T39">
        <v>8</v>
      </c>
      <c r="U39" t="s">
        <v>4796</v>
      </c>
      <c r="V39">
        <v>37500</v>
      </c>
      <c r="W39">
        <v>75362.47</v>
      </c>
      <c r="X39">
        <v>2.0099999999999998</v>
      </c>
      <c r="Y39" t="s">
        <v>4784</v>
      </c>
      <c r="Z39">
        <v>2023</v>
      </c>
      <c r="AA39">
        <v>1</v>
      </c>
    </row>
    <row r="40" spans="1:27">
      <c r="A40" t="s">
        <v>4810</v>
      </c>
      <c r="B40" t="s">
        <v>4811</v>
      </c>
      <c r="C40" t="s">
        <v>1084</v>
      </c>
      <c r="D40" t="s">
        <v>924</v>
      </c>
      <c r="E40" t="s">
        <v>4812</v>
      </c>
      <c r="F40">
        <v>9709823445</v>
      </c>
      <c r="G40" t="s">
        <v>24</v>
      </c>
      <c r="H40" t="s">
        <v>4802</v>
      </c>
      <c r="I40" t="s">
        <v>4808</v>
      </c>
      <c r="J40" t="s">
        <v>4809</v>
      </c>
      <c r="K40" s="1">
        <v>43931</v>
      </c>
      <c r="L40">
        <v>29334</v>
      </c>
      <c r="M40" s="1">
        <v>45224</v>
      </c>
      <c r="N40" t="s">
        <v>4782</v>
      </c>
      <c r="O40">
        <v>47500</v>
      </c>
      <c r="P40">
        <v>0.1</v>
      </c>
      <c r="Q40">
        <v>4750</v>
      </c>
      <c r="R40" t="s">
        <v>4788</v>
      </c>
      <c r="S40" t="s">
        <v>3411</v>
      </c>
      <c r="T40">
        <v>8</v>
      </c>
      <c r="U40" t="s">
        <v>26</v>
      </c>
      <c r="V40">
        <v>37500</v>
      </c>
      <c r="W40">
        <v>40362.239999999998</v>
      </c>
      <c r="X40">
        <v>1.0760000000000001</v>
      </c>
      <c r="Y40" t="s">
        <v>4793</v>
      </c>
      <c r="Z40">
        <v>2023</v>
      </c>
      <c r="AA40">
        <v>1</v>
      </c>
    </row>
    <row r="41" spans="1:27">
      <c r="A41" t="s">
        <v>4810</v>
      </c>
      <c r="B41" t="s">
        <v>4811</v>
      </c>
      <c r="C41" t="s">
        <v>1084</v>
      </c>
      <c r="D41" t="s">
        <v>924</v>
      </c>
      <c r="E41" t="s">
        <v>4812</v>
      </c>
      <c r="F41">
        <v>9709823445</v>
      </c>
      <c r="G41" t="s">
        <v>24</v>
      </c>
      <c r="H41" t="s">
        <v>4802</v>
      </c>
      <c r="I41" t="s">
        <v>4808</v>
      </c>
      <c r="J41" t="s">
        <v>4809</v>
      </c>
      <c r="K41" s="1">
        <v>43931</v>
      </c>
      <c r="L41">
        <v>29334</v>
      </c>
      <c r="M41" s="1">
        <v>45237</v>
      </c>
      <c r="N41" t="s">
        <v>4789</v>
      </c>
      <c r="O41">
        <v>155600</v>
      </c>
      <c r="P41">
        <v>0.03</v>
      </c>
      <c r="Q41">
        <v>0</v>
      </c>
      <c r="R41" t="s">
        <v>4794</v>
      </c>
      <c r="S41" t="s">
        <v>3411</v>
      </c>
      <c r="T41">
        <v>63</v>
      </c>
      <c r="U41" t="s">
        <v>26</v>
      </c>
      <c r="V41">
        <v>37500</v>
      </c>
      <c r="W41">
        <v>138865.51999999999</v>
      </c>
      <c r="X41">
        <v>3.7029999999999998</v>
      </c>
      <c r="Y41" t="s">
        <v>4784</v>
      </c>
      <c r="Z41">
        <v>2023</v>
      </c>
      <c r="AA41">
        <v>0</v>
      </c>
    </row>
    <row r="42" spans="1:27">
      <c r="A42" t="s">
        <v>4813</v>
      </c>
      <c r="B42" t="s">
        <v>4814</v>
      </c>
      <c r="C42" t="s">
        <v>61</v>
      </c>
      <c r="D42" t="s">
        <v>816</v>
      </c>
      <c r="E42" t="s">
        <v>4815</v>
      </c>
      <c r="F42">
        <v>9817361190</v>
      </c>
      <c r="G42" t="s">
        <v>46</v>
      </c>
      <c r="H42" t="s">
        <v>4802</v>
      </c>
      <c r="I42" t="s">
        <v>4808</v>
      </c>
      <c r="J42" t="s">
        <v>4809</v>
      </c>
      <c r="K42" s="1">
        <v>44852</v>
      </c>
      <c r="L42">
        <v>75870</v>
      </c>
      <c r="M42" s="1">
        <v>44892</v>
      </c>
      <c r="N42" t="s">
        <v>4789</v>
      </c>
      <c r="O42">
        <v>178200</v>
      </c>
      <c r="P42">
        <v>4.7E-2</v>
      </c>
      <c r="Q42">
        <v>0</v>
      </c>
      <c r="R42" t="s">
        <v>4794</v>
      </c>
      <c r="S42" t="s">
        <v>3322</v>
      </c>
      <c r="T42">
        <v>14</v>
      </c>
      <c r="U42" t="s">
        <v>4795</v>
      </c>
      <c r="V42">
        <v>41666.67</v>
      </c>
      <c r="W42">
        <v>167125.44</v>
      </c>
      <c r="X42">
        <v>4.0110000000000001</v>
      </c>
      <c r="Y42" t="s">
        <v>4784</v>
      </c>
      <c r="Z42">
        <v>2022</v>
      </c>
      <c r="AA42">
        <v>0</v>
      </c>
    </row>
    <row r="43" spans="1:27">
      <c r="A43" t="s">
        <v>4813</v>
      </c>
      <c r="B43" t="s">
        <v>4814</v>
      </c>
      <c r="C43" t="s">
        <v>61</v>
      </c>
      <c r="D43" t="s">
        <v>816</v>
      </c>
      <c r="E43" t="s">
        <v>4815</v>
      </c>
      <c r="F43">
        <v>9817361190</v>
      </c>
      <c r="G43" t="s">
        <v>46</v>
      </c>
      <c r="H43" t="s">
        <v>4802</v>
      </c>
      <c r="I43" t="s">
        <v>4808</v>
      </c>
      <c r="J43" t="s">
        <v>4809</v>
      </c>
      <c r="K43" s="1">
        <v>44852</v>
      </c>
      <c r="L43">
        <v>75870</v>
      </c>
      <c r="M43" s="1">
        <v>44909</v>
      </c>
      <c r="N43" t="s">
        <v>4782</v>
      </c>
      <c r="O43">
        <v>211500</v>
      </c>
      <c r="P43">
        <v>9.5000000000000001E-2</v>
      </c>
      <c r="Q43">
        <v>20092.5</v>
      </c>
      <c r="R43" t="s">
        <v>4790</v>
      </c>
      <c r="S43" t="s">
        <v>3302</v>
      </c>
      <c r="T43">
        <v>28</v>
      </c>
      <c r="U43" t="s">
        <v>26</v>
      </c>
      <c r="V43">
        <v>41666.67</v>
      </c>
      <c r="W43">
        <v>284696.09000000003</v>
      </c>
      <c r="X43">
        <v>6.8330000000000002</v>
      </c>
      <c r="Y43" t="s">
        <v>4784</v>
      </c>
      <c r="Z43">
        <v>2022</v>
      </c>
      <c r="AA43">
        <v>1</v>
      </c>
    </row>
    <row r="44" spans="1:27">
      <c r="A44" t="s">
        <v>4813</v>
      </c>
      <c r="B44" t="s">
        <v>4814</v>
      </c>
      <c r="C44" t="s">
        <v>61</v>
      </c>
      <c r="D44" t="s">
        <v>816</v>
      </c>
      <c r="E44" t="s">
        <v>4815</v>
      </c>
      <c r="F44">
        <v>9817361190</v>
      </c>
      <c r="G44" t="s">
        <v>46</v>
      </c>
      <c r="H44" t="s">
        <v>4802</v>
      </c>
      <c r="I44" t="s">
        <v>4808</v>
      </c>
      <c r="J44" t="s">
        <v>4809</v>
      </c>
      <c r="K44" s="1">
        <v>44852</v>
      </c>
      <c r="L44">
        <v>75870</v>
      </c>
      <c r="M44" s="1">
        <v>44916</v>
      </c>
      <c r="N44" t="s">
        <v>4785</v>
      </c>
      <c r="O44">
        <v>173700</v>
      </c>
      <c r="P44">
        <v>5.8000000000000003E-2</v>
      </c>
      <c r="Q44">
        <v>0</v>
      </c>
      <c r="R44" t="s">
        <v>4783</v>
      </c>
      <c r="S44" t="s">
        <v>3411</v>
      </c>
      <c r="T44">
        <v>58</v>
      </c>
      <c r="U44" t="s">
        <v>4787</v>
      </c>
      <c r="V44">
        <v>41666.67</v>
      </c>
      <c r="W44">
        <v>92640.88</v>
      </c>
      <c r="X44">
        <v>2.2229999999999999</v>
      </c>
      <c r="Y44" t="s">
        <v>4784</v>
      </c>
      <c r="Z44">
        <v>2022</v>
      </c>
      <c r="AA44">
        <v>0</v>
      </c>
    </row>
    <row r="45" spans="1:27">
      <c r="A45" t="s">
        <v>4813</v>
      </c>
      <c r="B45" t="s">
        <v>4814</v>
      </c>
      <c r="C45" t="s">
        <v>61</v>
      </c>
      <c r="D45" t="s">
        <v>816</v>
      </c>
      <c r="E45" t="s">
        <v>4815</v>
      </c>
      <c r="F45">
        <v>9817361190</v>
      </c>
      <c r="G45" t="s">
        <v>46</v>
      </c>
      <c r="H45" t="s">
        <v>4802</v>
      </c>
      <c r="I45" t="s">
        <v>4808</v>
      </c>
      <c r="J45" t="s">
        <v>4809</v>
      </c>
      <c r="K45" s="1">
        <v>44852</v>
      </c>
      <c r="L45">
        <v>75870</v>
      </c>
      <c r="M45" s="1">
        <v>45166</v>
      </c>
      <c r="N45" t="s">
        <v>4782</v>
      </c>
      <c r="O45">
        <v>124600</v>
      </c>
      <c r="P45">
        <v>8.5000000000000006E-2</v>
      </c>
      <c r="Q45">
        <v>10591</v>
      </c>
      <c r="R45" t="s">
        <v>4798</v>
      </c>
      <c r="S45" t="s">
        <v>3416</v>
      </c>
      <c r="T45">
        <v>9</v>
      </c>
      <c r="U45" t="s">
        <v>4787</v>
      </c>
      <c r="V45">
        <v>41666.67</v>
      </c>
      <c r="W45">
        <v>75104.11</v>
      </c>
      <c r="X45">
        <v>1.802</v>
      </c>
      <c r="Y45" t="s">
        <v>4784</v>
      </c>
      <c r="Z45">
        <v>2023</v>
      </c>
      <c r="AA45">
        <v>1</v>
      </c>
    </row>
    <row r="46" spans="1:27">
      <c r="A46" t="s">
        <v>4813</v>
      </c>
      <c r="B46" t="s">
        <v>4814</v>
      </c>
      <c r="C46" t="s">
        <v>61</v>
      </c>
      <c r="D46" t="s">
        <v>816</v>
      </c>
      <c r="E46" t="s">
        <v>4815</v>
      </c>
      <c r="F46">
        <v>9817361190</v>
      </c>
      <c r="G46" t="s">
        <v>46</v>
      </c>
      <c r="H46" t="s">
        <v>4802</v>
      </c>
      <c r="I46" t="s">
        <v>4808</v>
      </c>
      <c r="J46" t="s">
        <v>4809</v>
      </c>
      <c r="K46" s="1">
        <v>44852</v>
      </c>
      <c r="L46">
        <v>75870</v>
      </c>
      <c r="M46" s="1">
        <v>45200</v>
      </c>
      <c r="N46" t="s">
        <v>4782</v>
      </c>
      <c r="O46">
        <v>225500</v>
      </c>
      <c r="P46">
        <v>7.0999999999999994E-2</v>
      </c>
      <c r="Q46">
        <v>16010.5</v>
      </c>
      <c r="R46" t="s">
        <v>4798</v>
      </c>
      <c r="S46" t="s">
        <v>3317</v>
      </c>
      <c r="T46">
        <v>83</v>
      </c>
      <c r="U46" t="s">
        <v>4796</v>
      </c>
      <c r="V46">
        <v>41666.67</v>
      </c>
      <c r="W46">
        <v>148594.68</v>
      </c>
      <c r="X46">
        <v>3.5659999999999998</v>
      </c>
      <c r="Y46" t="s">
        <v>4784</v>
      </c>
      <c r="Z46">
        <v>2023</v>
      </c>
      <c r="AA46">
        <v>1</v>
      </c>
    </row>
    <row r="47" spans="1:27">
      <c r="A47" t="s">
        <v>4813</v>
      </c>
      <c r="B47" t="s">
        <v>4814</v>
      </c>
      <c r="C47" t="s">
        <v>61</v>
      </c>
      <c r="D47" t="s">
        <v>816</v>
      </c>
      <c r="E47" t="s">
        <v>4815</v>
      </c>
      <c r="F47">
        <v>9817361190</v>
      </c>
      <c r="G47" t="s">
        <v>46</v>
      </c>
      <c r="H47" t="s">
        <v>4802</v>
      </c>
      <c r="I47" t="s">
        <v>4808</v>
      </c>
      <c r="J47" t="s">
        <v>4809</v>
      </c>
      <c r="K47" s="1">
        <v>44852</v>
      </c>
      <c r="L47">
        <v>75870</v>
      </c>
      <c r="M47" s="1">
        <v>45219</v>
      </c>
      <c r="N47" t="s">
        <v>4782</v>
      </c>
      <c r="O47">
        <v>183700</v>
      </c>
      <c r="P47">
        <v>5.7000000000000002E-2</v>
      </c>
      <c r="Q47">
        <v>10470.9</v>
      </c>
      <c r="R47" t="s">
        <v>4791</v>
      </c>
      <c r="S47" t="s">
        <v>3348</v>
      </c>
      <c r="T47">
        <v>83</v>
      </c>
      <c r="U47" t="s">
        <v>4787</v>
      </c>
      <c r="V47">
        <v>41666.67</v>
      </c>
      <c r="W47">
        <v>152254.20000000001</v>
      </c>
      <c r="X47">
        <v>3.6539999999999999</v>
      </c>
      <c r="Y47" t="s">
        <v>4784</v>
      </c>
      <c r="Z47">
        <v>2023</v>
      </c>
      <c r="AA47">
        <v>1</v>
      </c>
    </row>
    <row r="48" spans="1:27">
      <c r="A48" t="s">
        <v>4813</v>
      </c>
      <c r="B48" t="s">
        <v>4814</v>
      </c>
      <c r="C48" t="s">
        <v>61</v>
      </c>
      <c r="D48" t="s">
        <v>816</v>
      </c>
      <c r="E48" t="s">
        <v>4815</v>
      </c>
      <c r="F48">
        <v>9817361190</v>
      </c>
      <c r="G48" t="s">
        <v>46</v>
      </c>
      <c r="H48" t="s">
        <v>4802</v>
      </c>
      <c r="I48" t="s">
        <v>4808</v>
      </c>
      <c r="J48" t="s">
        <v>4809</v>
      </c>
      <c r="K48" s="1">
        <v>44852</v>
      </c>
      <c r="L48">
        <v>75870</v>
      </c>
      <c r="M48" s="1">
        <v>45334</v>
      </c>
      <c r="N48" t="s">
        <v>4785</v>
      </c>
      <c r="O48">
        <v>17000</v>
      </c>
      <c r="P48">
        <v>5.1999999999999998E-2</v>
      </c>
      <c r="Q48">
        <v>0</v>
      </c>
      <c r="R48" t="s">
        <v>4794</v>
      </c>
      <c r="S48" t="s">
        <v>3310</v>
      </c>
      <c r="T48">
        <v>2</v>
      </c>
      <c r="U48" t="s">
        <v>4796</v>
      </c>
      <c r="V48">
        <v>41666.67</v>
      </c>
      <c r="W48">
        <v>18179.72</v>
      </c>
      <c r="X48">
        <v>0.436</v>
      </c>
      <c r="Y48" t="s">
        <v>4792</v>
      </c>
      <c r="Z48">
        <v>2024</v>
      </c>
      <c r="AA48">
        <v>0</v>
      </c>
    </row>
    <row r="49" spans="1:27">
      <c r="A49" t="s">
        <v>4813</v>
      </c>
      <c r="B49" t="s">
        <v>4814</v>
      </c>
      <c r="C49" t="s">
        <v>61</v>
      </c>
      <c r="D49" t="s">
        <v>816</v>
      </c>
      <c r="E49" t="s">
        <v>4815</v>
      </c>
      <c r="F49">
        <v>9817361190</v>
      </c>
      <c r="G49" t="s">
        <v>46</v>
      </c>
      <c r="H49" t="s">
        <v>4802</v>
      </c>
      <c r="I49" t="s">
        <v>4808</v>
      </c>
      <c r="J49" t="s">
        <v>4809</v>
      </c>
      <c r="K49" s="1">
        <v>44852</v>
      </c>
      <c r="L49">
        <v>75870</v>
      </c>
      <c r="M49" s="1">
        <v>45401</v>
      </c>
      <c r="N49" t="s">
        <v>4782</v>
      </c>
      <c r="O49">
        <v>199300</v>
      </c>
      <c r="P49">
        <v>8.2000000000000003E-2</v>
      </c>
      <c r="Q49">
        <v>16342.6</v>
      </c>
      <c r="R49" t="s">
        <v>4791</v>
      </c>
      <c r="S49" t="s">
        <v>3302</v>
      </c>
      <c r="T49">
        <v>19</v>
      </c>
      <c r="U49" t="s">
        <v>26</v>
      </c>
      <c r="V49">
        <v>41666.67</v>
      </c>
      <c r="W49">
        <v>216927.76</v>
      </c>
      <c r="X49">
        <v>5.2060000000000004</v>
      </c>
      <c r="Y49" t="s">
        <v>4784</v>
      </c>
      <c r="Z49">
        <v>2024</v>
      </c>
      <c r="AA49">
        <v>1</v>
      </c>
    </row>
    <row r="50" spans="1:27">
      <c r="A50" t="s">
        <v>4813</v>
      </c>
      <c r="B50" t="s">
        <v>4814</v>
      </c>
      <c r="C50" t="s">
        <v>61</v>
      </c>
      <c r="D50" t="s">
        <v>816</v>
      </c>
      <c r="E50" t="s">
        <v>4815</v>
      </c>
      <c r="F50">
        <v>9817361190</v>
      </c>
      <c r="G50" t="s">
        <v>46</v>
      </c>
      <c r="H50" t="s">
        <v>4802</v>
      </c>
      <c r="I50" t="s">
        <v>4808</v>
      </c>
      <c r="J50" t="s">
        <v>4809</v>
      </c>
      <c r="K50" s="1">
        <v>44852</v>
      </c>
      <c r="L50">
        <v>75870</v>
      </c>
      <c r="M50" s="1">
        <v>45499</v>
      </c>
      <c r="N50" t="s">
        <v>4789</v>
      </c>
      <c r="O50">
        <v>197800</v>
      </c>
      <c r="P50">
        <v>4.7E-2</v>
      </c>
      <c r="Q50">
        <v>0</v>
      </c>
      <c r="R50" t="s">
        <v>4791</v>
      </c>
      <c r="S50" t="s">
        <v>3310</v>
      </c>
      <c r="T50">
        <v>4</v>
      </c>
      <c r="U50" t="s">
        <v>4796</v>
      </c>
      <c r="V50">
        <v>41666.67</v>
      </c>
      <c r="W50">
        <v>185993.18</v>
      </c>
      <c r="X50">
        <v>4.4640000000000004</v>
      </c>
      <c r="Y50" t="s">
        <v>4784</v>
      </c>
      <c r="Z50">
        <v>2024</v>
      </c>
      <c r="AA50">
        <v>0</v>
      </c>
    </row>
    <row r="51" spans="1:27">
      <c r="A51" t="s">
        <v>4813</v>
      </c>
      <c r="B51" t="s">
        <v>4814</v>
      </c>
      <c r="C51" t="s">
        <v>61</v>
      </c>
      <c r="D51" t="s">
        <v>816</v>
      </c>
      <c r="E51" t="s">
        <v>4815</v>
      </c>
      <c r="F51">
        <v>9817361190</v>
      </c>
      <c r="G51" t="s">
        <v>46</v>
      </c>
      <c r="H51" t="s">
        <v>4802</v>
      </c>
      <c r="I51" t="s">
        <v>4808</v>
      </c>
      <c r="J51" t="s">
        <v>4809</v>
      </c>
      <c r="K51" s="1">
        <v>44852</v>
      </c>
      <c r="L51">
        <v>75870</v>
      </c>
      <c r="M51" s="1">
        <v>45597</v>
      </c>
      <c r="N51" t="s">
        <v>4782</v>
      </c>
      <c r="O51">
        <v>146600</v>
      </c>
      <c r="P51">
        <v>0.05</v>
      </c>
      <c r="Q51">
        <v>7330</v>
      </c>
      <c r="R51" t="s">
        <v>4790</v>
      </c>
      <c r="S51" t="s">
        <v>3348</v>
      </c>
      <c r="T51">
        <v>62</v>
      </c>
      <c r="U51" t="s">
        <v>4787</v>
      </c>
      <c r="V51">
        <v>41666.67</v>
      </c>
      <c r="W51">
        <v>148142.16</v>
      </c>
      <c r="X51">
        <v>3.5550000000000002</v>
      </c>
      <c r="Y51" t="s">
        <v>4784</v>
      </c>
      <c r="Z51">
        <v>2024</v>
      </c>
      <c r="AA51">
        <v>1</v>
      </c>
    </row>
    <row r="52" spans="1:27">
      <c r="A52" t="s">
        <v>4816</v>
      </c>
      <c r="B52" t="s">
        <v>4817</v>
      </c>
      <c r="C52" t="s">
        <v>1084</v>
      </c>
      <c r="D52" t="s">
        <v>246</v>
      </c>
      <c r="E52" t="s">
        <v>4818</v>
      </c>
      <c r="F52">
        <v>9944345686</v>
      </c>
      <c r="G52" t="s">
        <v>35</v>
      </c>
      <c r="H52" t="s">
        <v>4807</v>
      </c>
      <c r="I52" t="s">
        <v>4819</v>
      </c>
      <c r="J52" t="s">
        <v>4803</v>
      </c>
      <c r="K52" s="1">
        <v>45252</v>
      </c>
      <c r="L52">
        <v>71144</v>
      </c>
      <c r="M52" s="1">
        <v>45260</v>
      </c>
      <c r="N52" t="s">
        <v>4789</v>
      </c>
      <c r="O52">
        <v>26200</v>
      </c>
      <c r="P52">
        <v>3.1E-2</v>
      </c>
      <c r="Q52">
        <v>0</v>
      </c>
      <c r="R52" t="s">
        <v>4786</v>
      </c>
      <c r="S52" t="s">
        <v>3302</v>
      </c>
      <c r="T52">
        <v>84</v>
      </c>
      <c r="U52" t="s">
        <v>4795</v>
      </c>
      <c r="V52">
        <v>35000</v>
      </c>
      <c r="W52">
        <v>22914.52</v>
      </c>
      <c r="X52">
        <v>0.65500000000000003</v>
      </c>
      <c r="Y52" t="s">
        <v>4792</v>
      </c>
      <c r="Z52">
        <v>2023</v>
      </c>
      <c r="AA52">
        <v>0</v>
      </c>
    </row>
    <row r="53" spans="1:27">
      <c r="A53" t="s">
        <v>4816</v>
      </c>
      <c r="B53" t="s">
        <v>4817</v>
      </c>
      <c r="C53" t="s">
        <v>1084</v>
      </c>
      <c r="D53" t="s">
        <v>246</v>
      </c>
      <c r="E53" t="s">
        <v>4818</v>
      </c>
      <c r="F53">
        <v>9944345686</v>
      </c>
      <c r="G53" t="s">
        <v>35</v>
      </c>
      <c r="H53" t="s">
        <v>4807</v>
      </c>
      <c r="I53" t="s">
        <v>4819</v>
      </c>
      <c r="J53" t="s">
        <v>4803</v>
      </c>
      <c r="K53" s="1">
        <v>45252</v>
      </c>
      <c r="L53">
        <v>71144</v>
      </c>
      <c r="M53" s="1">
        <v>45300</v>
      </c>
      <c r="N53" t="s">
        <v>4785</v>
      </c>
      <c r="O53">
        <v>99900</v>
      </c>
      <c r="P53">
        <v>0.108</v>
      </c>
      <c r="Q53">
        <v>0</v>
      </c>
      <c r="R53" t="s">
        <v>4783</v>
      </c>
      <c r="S53" t="s">
        <v>3416</v>
      </c>
      <c r="T53">
        <v>29</v>
      </c>
      <c r="U53" t="s">
        <v>26</v>
      </c>
      <c r="V53">
        <v>35000</v>
      </c>
      <c r="W53">
        <v>119210.49</v>
      </c>
      <c r="X53">
        <v>3.4060000000000001</v>
      </c>
      <c r="Y53" t="s">
        <v>4784</v>
      </c>
      <c r="Z53">
        <v>2024</v>
      </c>
      <c r="AA53">
        <v>0</v>
      </c>
    </row>
    <row r="54" spans="1:27">
      <c r="A54" t="s">
        <v>4816</v>
      </c>
      <c r="B54" t="s">
        <v>4817</v>
      </c>
      <c r="C54" t="s">
        <v>1084</v>
      </c>
      <c r="D54" t="s">
        <v>246</v>
      </c>
      <c r="E54" t="s">
        <v>4818</v>
      </c>
      <c r="F54">
        <v>9944345686</v>
      </c>
      <c r="G54" t="s">
        <v>35</v>
      </c>
      <c r="H54" t="s">
        <v>4807</v>
      </c>
      <c r="I54" t="s">
        <v>4819</v>
      </c>
      <c r="J54" t="s">
        <v>4803</v>
      </c>
      <c r="K54" s="1">
        <v>45252</v>
      </c>
      <c r="L54">
        <v>71144</v>
      </c>
      <c r="M54" s="1">
        <v>45341</v>
      </c>
      <c r="N54" t="s">
        <v>4785</v>
      </c>
      <c r="O54">
        <v>186300</v>
      </c>
      <c r="P54">
        <v>3.3000000000000002E-2</v>
      </c>
      <c r="Q54">
        <v>0</v>
      </c>
      <c r="R54" t="s">
        <v>4786</v>
      </c>
      <c r="S54" t="s">
        <v>3348</v>
      </c>
      <c r="T54">
        <v>64</v>
      </c>
      <c r="U54" t="s">
        <v>4787</v>
      </c>
      <c r="V54">
        <v>35000</v>
      </c>
      <c r="W54">
        <v>198311.22</v>
      </c>
      <c r="X54">
        <v>5.6660000000000004</v>
      </c>
      <c r="Y54" t="s">
        <v>4784</v>
      </c>
      <c r="Z54">
        <v>2024</v>
      </c>
      <c r="AA54">
        <v>0</v>
      </c>
    </row>
    <row r="55" spans="1:27">
      <c r="A55" t="s">
        <v>4816</v>
      </c>
      <c r="B55" t="s">
        <v>4817</v>
      </c>
      <c r="C55" t="s">
        <v>1084</v>
      </c>
      <c r="D55" t="s">
        <v>246</v>
      </c>
      <c r="E55" t="s">
        <v>4818</v>
      </c>
      <c r="F55">
        <v>9944345686</v>
      </c>
      <c r="G55" t="s">
        <v>35</v>
      </c>
      <c r="H55" t="s">
        <v>4807</v>
      </c>
      <c r="I55" t="s">
        <v>4819</v>
      </c>
      <c r="J55" t="s">
        <v>4803</v>
      </c>
      <c r="K55" s="1">
        <v>45252</v>
      </c>
      <c r="L55">
        <v>71144</v>
      </c>
      <c r="M55" s="1">
        <v>45423</v>
      </c>
      <c r="N55" t="s">
        <v>4782</v>
      </c>
      <c r="O55">
        <v>36700</v>
      </c>
      <c r="P55">
        <v>5.5E-2</v>
      </c>
      <c r="Q55">
        <v>2018.5</v>
      </c>
      <c r="R55" t="s">
        <v>4798</v>
      </c>
      <c r="S55" t="s">
        <v>3322</v>
      </c>
      <c r="T55">
        <v>22</v>
      </c>
      <c r="U55" t="s">
        <v>4795</v>
      </c>
      <c r="V55">
        <v>35000</v>
      </c>
      <c r="W55">
        <v>36629.06</v>
      </c>
      <c r="X55">
        <v>1.0469999999999999</v>
      </c>
      <c r="Y55" t="s">
        <v>4793</v>
      </c>
      <c r="Z55">
        <v>2024</v>
      </c>
      <c r="AA55">
        <v>1</v>
      </c>
    </row>
    <row r="56" spans="1:27">
      <c r="A56" t="s">
        <v>4816</v>
      </c>
      <c r="B56" t="s">
        <v>4817</v>
      </c>
      <c r="C56" t="s">
        <v>1084</v>
      </c>
      <c r="D56" t="s">
        <v>246</v>
      </c>
      <c r="E56" t="s">
        <v>4818</v>
      </c>
      <c r="F56">
        <v>9944345686</v>
      </c>
      <c r="G56" t="s">
        <v>35</v>
      </c>
      <c r="H56" t="s">
        <v>4807</v>
      </c>
      <c r="I56" t="s">
        <v>4819</v>
      </c>
      <c r="J56" t="s">
        <v>4803</v>
      </c>
      <c r="K56" s="1">
        <v>45252</v>
      </c>
      <c r="L56">
        <v>71144</v>
      </c>
      <c r="M56" s="1">
        <v>45476</v>
      </c>
      <c r="N56" t="s">
        <v>4782</v>
      </c>
      <c r="O56">
        <v>247700</v>
      </c>
      <c r="P56">
        <v>8.2000000000000003E-2</v>
      </c>
      <c r="Q56">
        <v>20311.400000000001</v>
      </c>
      <c r="R56" t="s">
        <v>4786</v>
      </c>
      <c r="S56" t="s">
        <v>3302</v>
      </c>
      <c r="T56">
        <v>81</v>
      </c>
      <c r="U56" t="s">
        <v>26</v>
      </c>
      <c r="V56">
        <v>35000</v>
      </c>
      <c r="W56">
        <v>297214.11</v>
      </c>
      <c r="X56">
        <v>8.4920000000000009</v>
      </c>
      <c r="Y56" t="s">
        <v>4784</v>
      </c>
      <c r="Z56">
        <v>2024</v>
      </c>
      <c r="AA56">
        <v>1</v>
      </c>
    </row>
    <row r="57" spans="1:27">
      <c r="A57" t="s">
        <v>4816</v>
      </c>
      <c r="B57" t="s">
        <v>4817</v>
      </c>
      <c r="C57" t="s">
        <v>1084</v>
      </c>
      <c r="D57" t="s">
        <v>246</v>
      </c>
      <c r="E57" t="s">
        <v>4818</v>
      </c>
      <c r="F57">
        <v>9944345686</v>
      </c>
      <c r="G57" t="s">
        <v>35</v>
      </c>
      <c r="H57" t="s">
        <v>4807</v>
      </c>
      <c r="I57" t="s">
        <v>4819</v>
      </c>
      <c r="J57" t="s">
        <v>4803</v>
      </c>
      <c r="K57" s="1">
        <v>45252</v>
      </c>
      <c r="L57">
        <v>71144</v>
      </c>
      <c r="M57" s="1">
        <v>45556</v>
      </c>
      <c r="N57" t="s">
        <v>4785</v>
      </c>
      <c r="O57">
        <v>62800</v>
      </c>
      <c r="P57">
        <v>3.5999999999999997E-2</v>
      </c>
      <c r="Q57">
        <v>0</v>
      </c>
      <c r="R57" t="s">
        <v>4786</v>
      </c>
      <c r="S57" t="s">
        <v>3322</v>
      </c>
      <c r="T57">
        <v>44</v>
      </c>
      <c r="U57" t="s">
        <v>26</v>
      </c>
      <c r="V57">
        <v>35000</v>
      </c>
      <c r="W57">
        <v>49725.760000000002</v>
      </c>
      <c r="X57">
        <v>1.421</v>
      </c>
      <c r="Y57" t="s">
        <v>4784</v>
      </c>
      <c r="Z57">
        <v>2024</v>
      </c>
      <c r="AA57">
        <v>0</v>
      </c>
    </row>
    <row r="58" spans="1:27">
      <c r="A58" t="s">
        <v>4816</v>
      </c>
      <c r="B58" t="s">
        <v>4817</v>
      </c>
      <c r="C58" t="s">
        <v>1084</v>
      </c>
      <c r="D58" t="s">
        <v>246</v>
      </c>
      <c r="E58" t="s">
        <v>4818</v>
      </c>
      <c r="F58">
        <v>9944345686</v>
      </c>
      <c r="G58" t="s">
        <v>35</v>
      </c>
      <c r="H58" t="s">
        <v>4807</v>
      </c>
      <c r="I58" t="s">
        <v>4819</v>
      </c>
      <c r="J58" t="s">
        <v>4803</v>
      </c>
      <c r="K58" s="1">
        <v>45252</v>
      </c>
      <c r="L58">
        <v>71144</v>
      </c>
      <c r="M58" s="1">
        <v>45589</v>
      </c>
      <c r="N58" t="s">
        <v>4782</v>
      </c>
      <c r="O58">
        <v>77500</v>
      </c>
      <c r="P58">
        <v>3.5000000000000003E-2</v>
      </c>
      <c r="Q58">
        <v>2712.5</v>
      </c>
      <c r="R58" t="s">
        <v>4791</v>
      </c>
      <c r="S58" t="s">
        <v>3411</v>
      </c>
      <c r="T58">
        <v>20</v>
      </c>
      <c r="U58" t="s">
        <v>26</v>
      </c>
      <c r="V58">
        <v>35000</v>
      </c>
      <c r="W58">
        <v>73451.66</v>
      </c>
      <c r="X58">
        <v>2.0990000000000002</v>
      </c>
      <c r="Y58" t="s">
        <v>4784</v>
      </c>
      <c r="Z58">
        <v>2024</v>
      </c>
      <c r="AA58">
        <v>1</v>
      </c>
    </row>
    <row r="59" spans="1:27">
      <c r="A59" t="s">
        <v>4816</v>
      </c>
      <c r="B59" t="s">
        <v>4817</v>
      </c>
      <c r="C59" t="s">
        <v>1084</v>
      </c>
      <c r="D59" t="s">
        <v>246</v>
      </c>
      <c r="E59" t="s">
        <v>4818</v>
      </c>
      <c r="F59">
        <v>9944345686</v>
      </c>
      <c r="G59" t="s">
        <v>35</v>
      </c>
      <c r="H59" t="s">
        <v>4807</v>
      </c>
      <c r="I59" t="s">
        <v>4819</v>
      </c>
      <c r="J59" t="s">
        <v>4803</v>
      </c>
      <c r="K59" s="1">
        <v>45252</v>
      </c>
      <c r="L59">
        <v>71144</v>
      </c>
      <c r="M59" s="1">
        <v>45602</v>
      </c>
      <c r="N59" t="s">
        <v>4785</v>
      </c>
      <c r="O59">
        <v>148100</v>
      </c>
      <c r="P59">
        <v>4.2000000000000003E-2</v>
      </c>
      <c r="Q59">
        <v>0</v>
      </c>
      <c r="R59" t="s">
        <v>4798</v>
      </c>
      <c r="S59" t="s">
        <v>3411</v>
      </c>
      <c r="T59">
        <v>28</v>
      </c>
      <c r="U59" t="s">
        <v>4787</v>
      </c>
      <c r="V59">
        <v>35000</v>
      </c>
      <c r="W59">
        <v>153102.32999999999</v>
      </c>
      <c r="X59">
        <v>4.3739999999999997</v>
      </c>
      <c r="Y59" t="s">
        <v>4784</v>
      </c>
      <c r="Z59">
        <v>2024</v>
      </c>
      <c r="AA59">
        <v>0</v>
      </c>
    </row>
    <row r="60" spans="1:27">
      <c r="A60" t="s">
        <v>4816</v>
      </c>
      <c r="B60" t="s">
        <v>4817</v>
      </c>
      <c r="C60" t="s">
        <v>1084</v>
      </c>
      <c r="D60" t="s">
        <v>246</v>
      </c>
      <c r="E60" t="s">
        <v>4818</v>
      </c>
      <c r="F60">
        <v>9944345686</v>
      </c>
      <c r="G60" t="s">
        <v>35</v>
      </c>
      <c r="H60" t="s">
        <v>4807</v>
      </c>
      <c r="I60" t="s">
        <v>4819</v>
      </c>
      <c r="J60" t="s">
        <v>4803</v>
      </c>
      <c r="K60" s="1">
        <v>45252</v>
      </c>
      <c r="L60">
        <v>71144</v>
      </c>
      <c r="M60" s="1">
        <v>45652</v>
      </c>
      <c r="N60" t="s">
        <v>4782</v>
      </c>
      <c r="O60">
        <v>96200</v>
      </c>
      <c r="P60">
        <v>6.8000000000000005E-2</v>
      </c>
      <c r="Q60">
        <v>6541.6</v>
      </c>
      <c r="R60" t="s">
        <v>4783</v>
      </c>
      <c r="S60" t="s">
        <v>3310</v>
      </c>
      <c r="T60">
        <v>25</v>
      </c>
      <c r="U60" t="s">
        <v>4787</v>
      </c>
      <c r="V60">
        <v>35000</v>
      </c>
      <c r="W60">
        <v>133520.13</v>
      </c>
      <c r="X60">
        <v>3.8149999999999999</v>
      </c>
      <c r="Y60" t="s">
        <v>4784</v>
      </c>
      <c r="Z60">
        <v>2024</v>
      </c>
      <c r="AA60">
        <v>1</v>
      </c>
    </row>
    <row r="61" spans="1:27">
      <c r="A61" t="s">
        <v>4816</v>
      </c>
      <c r="B61" t="s">
        <v>4817</v>
      </c>
      <c r="C61" t="s">
        <v>1084</v>
      </c>
      <c r="D61" t="s">
        <v>246</v>
      </c>
      <c r="E61" t="s">
        <v>4818</v>
      </c>
      <c r="F61">
        <v>9944345686</v>
      </c>
      <c r="G61" t="s">
        <v>35</v>
      </c>
      <c r="H61" t="s">
        <v>4807</v>
      </c>
      <c r="I61" t="s">
        <v>4819</v>
      </c>
      <c r="J61" t="s">
        <v>4803</v>
      </c>
      <c r="K61" s="1">
        <v>45252</v>
      </c>
      <c r="L61">
        <v>71144</v>
      </c>
      <c r="M61" s="1">
        <v>45657</v>
      </c>
      <c r="N61" t="s">
        <v>4789</v>
      </c>
      <c r="O61">
        <v>186500</v>
      </c>
      <c r="P61">
        <v>4.1000000000000002E-2</v>
      </c>
      <c r="Q61">
        <v>0</v>
      </c>
      <c r="R61" t="s">
        <v>4786</v>
      </c>
      <c r="S61" t="s">
        <v>3348</v>
      </c>
      <c r="T61">
        <v>35</v>
      </c>
      <c r="U61" t="s">
        <v>26</v>
      </c>
      <c r="V61">
        <v>35000</v>
      </c>
      <c r="W61">
        <v>162409.46</v>
      </c>
      <c r="X61">
        <v>4.6399999999999997</v>
      </c>
      <c r="Y61" t="s">
        <v>4784</v>
      </c>
      <c r="Z61">
        <v>2024</v>
      </c>
      <c r="AA61">
        <v>0</v>
      </c>
    </row>
    <row r="62" spans="1:27">
      <c r="A62" t="s">
        <v>4820</v>
      </c>
      <c r="B62" t="s">
        <v>4821</v>
      </c>
      <c r="C62" t="s">
        <v>1084</v>
      </c>
      <c r="D62" t="s">
        <v>193</v>
      </c>
      <c r="E62" t="s">
        <v>4822</v>
      </c>
      <c r="F62">
        <v>9994691433</v>
      </c>
      <c r="G62" t="s">
        <v>46</v>
      </c>
      <c r="H62" t="s">
        <v>4823</v>
      </c>
      <c r="I62" t="s">
        <v>4824</v>
      </c>
      <c r="J62" t="s">
        <v>4825</v>
      </c>
      <c r="K62" s="1">
        <v>44721</v>
      </c>
      <c r="L62">
        <v>27572</v>
      </c>
      <c r="M62" s="1">
        <v>44753</v>
      </c>
      <c r="N62" t="s">
        <v>4797</v>
      </c>
      <c r="O62">
        <v>154100</v>
      </c>
      <c r="P62">
        <v>3.5000000000000003E-2</v>
      </c>
      <c r="Q62">
        <v>0</v>
      </c>
      <c r="R62" t="s">
        <v>4786</v>
      </c>
      <c r="S62" t="s">
        <v>3302</v>
      </c>
      <c r="T62">
        <v>60</v>
      </c>
      <c r="U62" t="s">
        <v>26</v>
      </c>
      <c r="V62">
        <v>41666.67</v>
      </c>
      <c r="W62">
        <v>135053.46</v>
      </c>
      <c r="X62">
        <v>3.2410000000000001</v>
      </c>
      <c r="Y62" t="s">
        <v>4784</v>
      </c>
      <c r="Z62">
        <v>2022</v>
      </c>
      <c r="AA62">
        <v>0</v>
      </c>
    </row>
    <row r="63" spans="1:27">
      <c r="A63" t="s">
        <v>4820</v>
      </c>
      <c r="B63" t="s">
        <v>4821</v>
      </c>
      <c r="C63" t="s">
        <v>1084</v>
      </c>
      <c r="D63" t="s">
        <v>193</v>
      </c>
      <c r="E63" t="s">
        <v>4822</v>
      </c>
      <c r="F63">
        <v>9994691433</v>
      </c>
      <c r="G63" t="s">
        <v>46</v>
      </c>
      <c r="H63" t="s">
        <v>4823</v>
      </c>
      <c r="I63" t="s">
        <v>4824</v>
      </c>
      <c r="J63" t="s">
        <v>4825</v>
      </c>
      <c r="K63" s="1">
        <v>44721</v>
      </c>
      <c r="L63">
        <v>27572</v>
      </c>
      <c r="M63" s="1">
        <v>44796</v>
      </c>
      <c r="N63" t="s">
        <v>4789</v>
      </c>
      <c r="O63">
        <v>158400</v>
      </c>
      <c r="P63">
        <v>7.3999999999999996E-2</v>
      </c>
      <c r="Q63">
        <v>0</v>
      </c>
      <c r="R63" t="s">
        <v>4790</v>
      </c>
      <c r="S63" t="s">
        <v>3310</v>
      </c>
      <c r="T63">
        <v>28</v>
      </c>
      <c r="U63" t="s">
        <v>26</v>
      </c>
      <c r="V63">
        <v>41666.67</v>
      </c>
      <c r="W63">
        <v>104584.34</v>
      </c>
      <c r="X63">
        <v>2.5099999999999998</v>
      </c>
      <c r="Y63" t="s">
        <v>4784</v>
      </c>
      <c r="Z63">
        <v>2022</v>
      </c>
      <c r="AA63">
        <v>0</v>
      </c>
    </row>
    <row r="64" spans="1:27">
      <c r="A64" t="s">
        <v>4820</v>
      </c>
      <c r="B64" t="s">
        <v>4821</v>
      </c>
      <c r="C64" t="s">
        <v>1084</v>
      </c>
      <c r="D64" t="s">
        <v>193</v>
      </c>
      <c r="E64" t="s">
        <v>4822</v>
      </c>
      <c r="F64">
        <v>9994691433</v>
      </c>
      <c r="G64" t="s">
        <v>46</v>
      </c>
      <c r="H64" t="s">
        <v>4823</v>
      </c>
      <c r="I64" t="s">
        <v>4824</v>
      </c>
      <c r="J64" t="s">
        <v>4825</v>
      </c>
      <c r="K64" s="1">
        <v>44721</v>
      </c>
      <c r="L64">
        <v>27572</v>
      </c>
      <c r="M64" s="1">
        <v>44884</v>
      </c>
      <c r="N64" t="s">
        <v>4797</v>
      </c>
      <c r="O64">
        <v>246900</v>
      </c>
      <c r="P64">
        <v>3.4000000000000002E-2</v>
      </c>
      <c r="Q64">
        <v>0</v>
      </c>
      <c r="R64" t="s">
        <v>4794</v>
      </c>
      <c r="S64" t="s">
        <v>3317</v>
      </c>
      <c r="T64">
        <v>37</v>
      </c>
      <c r="U64" t="s">
        <v>4796</v>
      </c>
      <c r="V64">
        <v>41666.67</v>
      </c>
      <c r="W64">
        <v>220038.39</v>
      </c>
      <c r="X64">
        <v>5.2809999999999997</v>
      </c>
      <c r="Y64" t="s">
        <v>4784</v>
      </c>
      <c r="Z64">
        <v>2022</v>
      </c>
      <c r="AA64">
        <v>0</v>
      </c>
    </row>
    <row r="65" spans="1:27">
      <c r="A65" t="s">
        <v>4820</v>
      </c>
      <c r="B65" t="s">
        <v>4821</v>
      </c>
      <c r="C65" t="s">
        <v>1084</v>
      </c>
      <c r="D65" t="s">
        <v>193</v>
      </c>
      <c r="E65" t="s">
        <v>4822</v>
      </c>
      <c r="F65">
        <v>9994691433</v>
      </c>
      <c r="G65" t="s">
        <v>46</v>
      </c>
      <c r="H65" t="s">
        <v>4823</v>
      </c>
      <c r="I65" t="s">
        <v>4824</v>
      </c>
      <c r="J65" t="s">
        <v>4825</v>
      </c>
      <c r="K65" s="1">
        <v>44721</v>
      </c>
      <c r="L65">
        <v>27572</v>
      </c>
      <c r="M65" s="1">
        <v>44901</v>
      </c>
      <c r="N65" t="s">
        <v>4782</v>
      </c>
      <c r="O65">
        <v>210900</v>
      </c>
      <c r="P65">
        <v>3.3000000000000002E-2</v>
      </c>
      <c r="Q65">
        <v>6959.7</v>
      </c>
      <c r="R65" t="s">
        <v>4783</v>
      </c>
      <c r="S65" t="s">
        <v>3302</v>
      </c>
      <c r="T65">
        <v>10</v>
      </c>
      <c r="U65" t="s">
        <v>4796</v>
      </c>
      <c r="V65">
        <v>41666.67</v>
      </c>
      <c r="W65">
        <v>242379.51999999999</v>
      </c>
      <c r="X65">
        <v>5.8170000000000002</v>
      </c>
      <c r="Y65" t="s">
        <v>4784</v>
      </c>
      <c r="Z65">
        <v>2022</v>
      </c>
      <c r="AA65">
        <v>1</v>
      </c>
    </row>
    <row r="66" spans="1:27">
      <c r="A66" t="s">
        <v>4820</v>
      </c>
      <c r="B66" t="s">
        <v>4821</v>
      </c>
      <c r="C66" t="s">
        <v>1084</v>
      </c>
      <c r="D66" t="s">
        <v>193</v>
      </c>
      <c r="E66" t="s">
        <v>4822</v>
      </c>
      <c r="F66">
        <v>9994691433</v>
      </c>
      <c r="G66" t="s">
        <v>46</v>
      </c>
      <c r="H66" t="s">
        <v>4823</v>
      </c>
      <c r="I66" t="s">
        <v>4824</v>
      </c>
      <c r="J66" t="s">
        <v>4825</v>
      </c>
      <c r="K66" s="1">
        <v>44721</v>
      </c>
      <c r="L66">
        <v>27572</v>
      </c>
      <c r="M66" s="1">
        <v>45054</v>
      </c>
      <c r="N66" t="s">
        <v>4782</v>
      </c>
      <c r="O66">
        <v>30700</v>
      </c>
      <c r="P66">
        <v>5.0999999999999997E-2</v>
      </c>
      <c r="Q66">
        <v>1565.7</v>
      </c>
      <c r="R66" t="s">
        <v>4790</v>
      </c>
      <c r="S66" t="s">
        <v>3411</v>
      </c>
      <c r="T66">
        <v>26</v>
      </c>
      <c r="U66" t="s">
        <v>26</v>
      </c>
      <c r="V66">
        <v>41666.67</v>
      </c>
      <c r="W66">
        <v>39978.42</v>
      </c>
      <c r="X66">
        <v>0.95899999999999996</v>
      </c>
      <c r="Y66" t="s">
        <v>4793</v>
      </c>
      <c r="Z66">
        <v>2023</v>
      </c>
      <c r="AA66">
        <v>1</v>
      </c>
    </row>
    <row r="67" spans="1:27">
      <c r="A67" t="s">
        <v>4820</v>
      </c>
      <c r="B67" t="s">
        <v>4821</v>
      </c>
      <c r="C67" t="s">
        <v>1084</v>
      </c>
      <c r="D67" t="s">
        <v>193</v>
      </c>
      <c r="E67" t="s">
        <v>4822</v>
      </c>
      <c r="F67">
        <v>9994691433</v>
      </c>
      <c r="G67" t="s">
        <v>46</v>
      </c>
      <c r="H67" t="s">
        <v>4823</v>
      </c>
      <c r="I67" t="s">
        <v>4824</v>
      </c>
      <c r="J67" t="s">
        <v>4825</v>
      </c>
      <c r="K67" s="1">
        <v>44721</v>
      </c>
      <c r="L67">
        <v>27572</v>
      </c>
      <c r="M67" s="1">
        <v>45063</v>
      </c>
      <c r="N67" t="s">
        <v>4785</v>
      </c>
      <c r="O67">
        <v>216100</v>
      </c>
      <c r="P67">
        <v>0.11</v>
      </c>
      <c r="Q67">
        <v>0</v>
      </c>
      <c r="R67" t="s">
        <v>4790</v>
      </c>
      <c r="S67" t="s">
        <v>3302</v>
      </c>
      <c r="T67">
        <v>14</v>
      </c>
      <c r="U67" t="s">
        <v>4787</v>
      </c>
      <c r="V67">
        <v>41666.67</v>
      </c>
      <c r="W67">
        <v>287926.28000000003</v>
      </c>
      <c r="X67">
        <v>6.91</v>
      </c>
      <c r="Y67" t="s">
        <v>4784</v>
      </c>
      <c r="Z67">
        <v>2023</v>
      </c>
      <c r="AA67">
        <v>0</v>
      </c>
    </row>
    <row r="68" spans="1:27">
      <c r="A68" t="s">
        <v>4820</v>
      </c>
      <c r="B68" t="s">
        <v>4821</v>
      </c>
      <c r="C68" t="s">
        <v>1084</v>
      </c>
      <c r="D68" t="s">
        <v>193</v>
      </c>
      <c r="E68" t="s">
        <v>4822</v>
      </c>
      <c r="F68">
        <v>9994691433</v>
      </c>
      <c r="G68" t="s">
        <v>46</v>
      </c>
      <c r="H68" t="s">
        <v>4823</v>
      </c>
      <c r="I68" t="s">
        <v>4824</v>
      </c>
      <c r="J68" t="s">
        <v>4825</v>
      </c>
      <c r="K68" s="1">
        <v>44721</v>
      </c>
      <c r="L68">
        <v>27572</v>
      </c>
      <c r="M68" s="1">
        <v>45103</v>
      </c>
      <c r="N68" t="s">
        <v>4782</v>
      </c>
      <c r="O68">
        <v>125000</v>
      </c>
      <c r="P68">
        <v>9.5000000000000001E-2</v>
      </c>
      <c r="Q68">
        <v>11875</v>
      </c>
      <c r="R68" t="s">
        <v>4794</v>
      </c>
      <c r="S68" t="s">
        <v>3317</v>
      </c>
      <c r="T68">
        <v>35</v>
      </c>
      <c r="U68" t="s">
        <v>4796</v>
      </c>
      <c r="V68">
        <v>41666.67</v>
      </c>
      <c r="W68">
        <v>100287.78</v>
      </c>
      <c r="X68">
        <v>2.407</v>
      </c>
      <c r="Y68" t="s">
        <v>4784</v>
      </c>
      <c r="Z68">
        <v>2023</v>
      </c>
      <c r="AA68">
        <v>1</v>
      </c>
    </row>
    <row r="69" spans="1:27">
      <c r="A69" t="s">
        <v>4820</v>
      </c>
      <c r="B69" t="s">
        <v>4821</v>
      </c>
      <c r="C69" t="s">
        <v>1084</v>
      </c>
      <c r="D69" t="s">
        <v>193</v>
      </c>
      <c r="E69" t="s">
        <v>4822</v>
      </c>
      <c r="F69">
        <v>9994691433</v>
      </c>
      <c r="G69" t="s">
        <v>46</v>
      </c>
      <c r="H69" t="s">
        <v>4823</v>
      </c>
      <c r="I69" t="s">
        <v>4824</v>
      </c>
      <c r="J69" t="s">
        <v>4825</v>
      </c>
      <c r="K69" s="1">
        <v>44721</v>
      </c>
      <c r="L69">
        <v>27572</v>
      </c>
      <c r="M69" s="1">
        <v>45287</v>
      </c>
      <c r="N69" t="s">
        <v>4782</v>
      </c>
      <c r="O69">
        <v>27700</v>
      </c>
      <c r="P69">
        <v>6.7000000000000004E-2</v>
      </c>
      <c r="Q69">
        <v>1855.9</v>
      </c>
      <c r="R69" t="s">
        <v>4783</v>
      </c>
      <c r="S69" t="s">
        <v>3322</v>
      </c>
      <c r="T69">
        <v>28</v>
      </c>
      <c r="U69" t="s">
        <v>26</v>
      </c>
      <c r="V69">
        <v>41666.67</v>
      </c>
      <c r="W69">
        <v>34716.14</v>
      </c>
      <c r="X69">
        <v>0.83299999999999996</v>
      </c>
      <c r="Y69" t="s">
        <v>4792</v>
      </c>
      <c r="Z69">
        <v>2023</v>
      </c>
      <c r="AA69">
        <v>1</v>
      </c>
    </row>
    <row r="70" spans="1:27">
      <c r="A70" t="s">
        <v>4820</v>
      </c>
      <c r="B70" t="s">
        <v>4821</v>
      </c>
      <c r="C70" t="s">
        <v>1084</v>
      </c>
      <c r="D70" t="s">
        <v>193</v>
      </c>
      <c r="E70" t="s">
        <v>4822</v>
      </c>
      <c r="F70">
        <v>9994691433</v>
      </c>
      <c r="G70" t="s">
        <v>46</v>
      </c>
      <c r="H70" t="s">
        <v>4823</v>
      </c>
      <c r="I70" t="s">
        <v>4824</v>
      </c>
      <c r="J70" t="s">
        <v>4825</v>
      </c>
      <c r="K70" s="1">
        <v>44721</v>
      </c>
      <c r="L70">
        <v>27572</v>
      </c>
      <c r="M70" s="1">
        <v>45327</v>
      </c>
      <c r="N70" t="s">
        <v>4785</v>
      </c>
      <c r="O70">
        <v>90500</v>
      </c>
      <c r="P70">
        <v>6.8000000000000005E-2</v>
      </c>
      <c r="Q70">
        <v>0</v>
      </c>
      <c r="R70" t="s">
        <v>4794</v>
      </c>
      <c r="S70" t="s">
        <v>3348</v>
      </c>
      <c r="T70">
        <v>42</v>
      </c>
      <c r="U70" t="s">
        <v>4796</v>
      </c>
      <c r="V70">
        <v>41666.67</v>
      </c>
      <c r="W70">
        <v>108697.54</v>
      </c>
      <c r="X70">
        <v>2.609</v>
      </c>
      <c r="Y70" t="s">
        <v>4784</v>
      </c>
      <c r="Z70">
        <v>2024</v>
      </c>
      <c r="AA70">
        <v>0</v>
      </c>
    </row>
    <row r="71" spans="1:27">
      <c r="A71" t="s">
        <v>4820</v>
      </c>
      <c r="B71" t="s">
        <v>4821</v>
      </c>
      <c r="C71" t="s">
        <v>1084</v>
      </c>
      <c r="D71" t="s">
        <v>193</v>
      </c>
      <c r="E71" t="s">
        <v>4822</v>
      </c>
      <c r="F71">
        <v>9994691433</v>
      </c>
      <c r="G71" t="s">
        <v>46</v>
      </c>
      <c r="H71" t="s">
        <v>4823</v>
      </c>
      <c r="I71" t="s">
        <v>4824</v>
      </c>
      <c r="J71" t="s">
        <v>4825</v>
      </c>
      <c r="K71" s="1">
        <v>44721</v>
      </c>
      <c r="L71">
        <v>27572</v>
      </c>
      <c r="M71" s="1">
        <v>45499</v>
      </c>
      <c r="N71" t="s">
        <v>4782</v>
      </c>
      <c r="O71">
        <v>62600</v>
      </c>
      <c r="P71">
        <v>0.11</v>
      </c>
      <c r="Q71">
        <v>6886</v>
      </c>
      <c r="R71" t="s">
        <v>4783</v>
      </c>
      <c r="S71" t="s">
        <v>3310</v>
      </c>
      <c r="T71">
        <v>82</v>
      </c>
      <c r="U71" t="s">
        <v>4796</v>
      </c>
      <c r="V71">
        <v>41666.67</v>
      </c>
      <c r="W71">
        <v>63871.360000000001</v>
      </c>
      <c r="X71">
        <v>1.5329999999999999</v>
      </c>
      <c r="Y71" t="s">
        <v>4784</v>
      </c>
      <c r="Z71">
        <v>2024</v>
      </c>
      <c r="AA71">
        <v>1</v>
      </c>
    </row>
    <row r="72" spans="1:27">
      <c r="A72" t="s">
        <v>4826</v>
      </c>
      <c r="B72" t="s">
        <v>4827</v>
      </c>
      <c r="C72" t="s">
        <v>834</v>
      </c>
      <c r="D72" t="s">
        <v>112</v>
      </c>
      <c r="E72" t="s">
        <v>4828</v>
      </c>
      <c r="F72">
        <v>9847683874</v>
      </c>
      <c r="G72" t="s">
        <v>35</v>
      </c>
      <c r="H72" t="s">
        <v>4807</v>
      </c>
      <c r="I72" t="s">
        <v>4808</v>
      </c>
      <c r="J72" t="s">
        <v>4829</v>
      </c>
      <c r="K72" s="1">
        <v>44272</v>
      </c>
      <c r="L72">
        <v>35910</v>
      </c>
      <c r="M72" s="1">
        <v>44727</v>
      </c>
      <c r="N72" t="s">
        <v>4785</v>
      </c>
      <c r="O72">
        <v>235900</v>
      </c>
      <c r="P72">
        <v>0.06</v>
      </c>
      <c r="Q72">
        <v>0</v>
      </c>
      <c r="R72" t="s">
        <v>4791</v>
      </c>
      <c r="S72" t="s">
        <v>3416</v>
      </c>
      <c r="T72">
        <v>87</v>
      </c>
      <c r="U72" t="s">
        <v>4795</v>
      </c>
      <c r="V72">
        <v>35000</v>
      </c>
      <c r="W72">
        <v>306476.59000000003</v>
      </c>
      <c r="X72">
        <v>8.7560000000000002</v>
      </c>
      <c r="Y72" t="s">
        <v>4784</v>
      </c>
      <c r="Z72">
        <v>2022</v>
      </c>
      <c r="AA72">
        <v>0</v>
      </c>
    </row>
    <row r="73" spans="1:27">
      <c r="A73" t="s">
        <v>4826</v>
      </c>
      <c r="B73" t="s">
        <v>4827</v>
      </c>
      <c r="C73" t="s">
        <v>834</v>
      </c>
      <c r="D73" t="s">
        <v>112</v>
      </c>
      <c r="E73" t="s">
        <v>4828</v>
      </c>
      <c r="F73">
        <v>9847683874</v>
      </c>
      <c r="G73" t="s">
        <v>35</v>
      </c>
      <c r="H73" t="s">
        <v>4807</v>
      </c>
      <c r="I73" t="s">
        <v>4808</v>
      </c>
      <c r="J73" t="s">
        <v>4829</v>
      </c>
      <c r="K73" s="1">
        <v>44272</v>
      </c>
      <c r="L73">
        <v>35910</v>
      </c>
      <c r="M73" s="1">
        <v>44789</v>
      </c>
      <c r="N73" t="s">
        <v>4789</v>
      </c>
      <c r="O73">
        <v>100800</v>
      </c>
      <c r="P73">
        <v>7.1999999999999995E-2</v>
      </c>
      <c r="Q73">
        <v>0</v>
      </c>
      <c r="R73" t="s">
        <v>4791</v>
      </c>
      <c r="S73" t="s">
        <v>3317</v>
      </c>
      <c r="T73">
        <v>47</v>
      </c>
      <c r="U73" t="s">
        <v>4796</v>
      </c>
      <c r="V73">
        <v>35000</v>
      </c>
      <c r="W73">
        <v>109202.22</v>
      </c>
      <c r="X73">
        <v>3.12</v>
      </c>
      <c r="Y73" t="s">
        <v>4784</v>
      </c>
      <c r="Z73">
        <v>2022</v>
      </c>
      <c r="AA73">
        <v>0</v>
      </c>
    </row>
    <row r="74" spans="1:27">
      <c r="A74" t="s">
        <v>4826</v>
      </c>
      <c r="B74" t="s">
        <v>4827</v>
      </c>
      <c r="C74" t="s">
        <v>834</v>
      </c>
      <c r="D74" t="s">
        <v>112</v>
      </c>
      <c r="E74" t="s">
        <v>4828</v>
      </c>
      <c r="F74">
        <v>9847683874</v>
      </c>
      <c r="G74" t="s">
        <v>35</v>
      </c>
      <c r="H74" t="s">
        <v>4807</v>
      </c>
      <c r="I74" t="s">
        <v>4808</v>
      </c>
      <c r="J74" t="s">
        <v>4829</v>
      </c>
      <c r="K74" s="1">
        <v>44272</v>
      </c>
      <c r="L74">
        <v>35910</v>
      </c>
      <c r="M74" s="1">
        <v>45017</v>
      </c>
      <c r="N74" t="s">
        <v>4785</v>
      </c>
      <c r="O74">
        <v>44100</v>
      </c>
      <c r="P74">
        <v>0.112</v>
      </c>
      <c r="Q74">
        <v>0</v>
      </c>
      <c r="R74" t="s">
        <v>4791</v>
      </c>
      <c r="S74" t="s">
        <v>3322</v>
      </c>
      <c r="T74">
        <v>6</v>
      </c>
      <c r="U74" t="s">
        <v>4787</v>
      </c>
      <c r="V74">
        <v>35000</v>
      </c>
      <c r="W74">
        <v>61393.65</v>
      </c>
      <c r="X74">
        <v>1.754</v>
      </c>
      <c r="Y74" t="s">
        <v>4784</v>
      </c>
      <c r="Z74">
        <v>2023</v>
      </c>
      <c r="AA74">
        <v>0</v>
      </c>
    </row>
    <row r="75" spans="1:27">
      <c r="A75" t="s">
        <v>4826</v>
      </c>
      <c r="B75" t="s">
        <v>4827</v>
      </c>
      <c r="C75" t="s">
        <v>834</v>
      </c>
      <c r="D75" t="s">
        <v>112</v>
      </c>
      <c r="E75" t="s">
        <v>4828</v>
      </c>
      <c r="F75">
        <v>9847683874</v>
      </c>
      <c r="G75" t="s">
        <v>35</v>
      </c>
      <c r="H75" t="s">
        <v>4807</v>
      </c>
      <c r="I75" t="s">
        <v>4808</v>
      </c>
      <c r="J75" t="s">
        <v>4829</v>
      </c>
      <c r="K75" s="1">
        <v>44272</v>
      </c>
      <c r="L75">
        <v>35910</v>
      </c>
      <c r="M75" s="1">
        <v>45054</v>
      </c>
      <c r="N75" t="s">
        <v>4782</v>
      </c>
      <c r="O75">
        <v>151400</v>
      </c>
      <c r="P75">
        <v>9.8000000000000004E-2</v>
      </c>
      <c r="Q75">
        <v>14837.2</v>
      </c>
      <c r="R75" t="s">
        <v>4794</v>
      </c>
      <c r="S75" t="s">
        <v>3348</v>
      </c>
      <c r="T75">
        <v>53</v>
      </c>
      <c r="U75" t="s">
        <v>4796</v>
      </c>
      <c r="V75">
        <v>35000</v>
      </c>
      <c r="W75">
        <v>93783.34</v>
      </c>
      <c r="X75">
        <v>2.68</v>
      </c>
      <c r="Y75" t="s">
        <v>4784</v>
      </c>
      <c r="Z75">
        <v>2023</v>
      </c>
      <c r="AA75">
        <v>1</v>
      </c>
    </row>
    <row r="76" spans="1:27">
      <c r="A76" t="s">
        <v>4826</v>
      </c>
      <c r="B76" t="s">
        <v>4827</v>
      </c>
      <c r="C76" t="s">
        <v>834</v>
      </c>
      <c r="D76" t="s">
        <v>112</v>
      </c>
      <c r="E76" t="s">
        <v>4828</v>
      </c>
      <c r="F76">
        <v>9847683874</v>
      </c>
      <c r="G76" t="s">
        <v>35</v>
      </c>
      <c r="H76" t="s">
        <v>4807</v>
      </c>
      <c r="I76" t="s">
        <v>4808</v>
      </c>
      <c r="J76" t="s">
        <v>4829</v>
      </c>
      <c r="K76" s="1">
        <v>44272</v>
      </c>
      <c r="L76">
        <v>35910</v>
      </c>
      <c r="M76" s="1">
        <v>45133</v>
      </c>
      <c r="N76" t="s">
        <v>4782</v>
      </c>
      <c r="O76">
        <v>196400</v>
      </c>
      <c r="P76">
        <v>6.9000000000000006E-2</v>
      </c>
      <c r="Q76">
        <v>13551.6</v>
      </c>
      <c r="R76" t="s">
        <v>4798</v>
      </c>
      <c r="S76" t="s">
        <v>3310</v>
      </c>
      <c r="T76">
        <v>32</v>
      </c>
      <c r="U76" t="s">
        <v>4795</v>
      </c>
      <c r="V76">
        <v>35000</v>
      </c>
      <c r="W76">
        <v>174957.8</v>
      </c>
      <c r="X76">
        <v>4.9989999999999997</v>
      </c>
      <c r="Y76" t="s">
        <v>4784</v>
      </c>
      <c r="Z76">
        <v>2023</v>
      </c>
      <c r="AA76">
        <v>1</v>
      </c>
    </row>
    <row r="77" spans="1:27">
      <c r="A77" t="s">
        <v>4826</v>
      </c>
      <c r="B77" t="s">
        <v>4827</v>
      </c>
      <c r="C77" t="s">
        <v>834</v>
      </c>
      <c r="D77" t="s">
        <v>112</v>
      </c>
      <c r="E77" t="s">
        <v>4828</v>
      </c>
      <c r="F77">
        <v>9847683874</v>
      </c>
      <c r="G77" t="s">
        <v>35</v>
      </c>
      <c r="H77" t="s">
        <v>4807</v>
      </c>
      <c r="I77" t="s">
        <v>4808</v>
      </c>
      <c r="J77" t="s">
        <v>4829</v>
      </c>
      <c r="K77" s="1">
        <v>44272</v>
      </c>
      <c r="L77">
        <v>35910</v>
      </c>
      <c r="M77" s="1">
        <v>45167</v>
      </c>
      <c r="N77" t="s">
        <v>4782</v>
      </c>
      <c r="O77">
        <v>174800</v>
      </c>
      <c r="P77">
        <v>0.12</v>
      </c>
      <c r="Q77">
        <v>20976</v>
      </c>
      <c r="R77" t="s">
        <v>4791</v>
      </c>
      <c r="S77" t="s">
        <v>3322</v>
      </c>
      <c r="T77">
        <v>86</v>
      </c>
      <c r="U77" t="s">
        <v>4795</v>
      </c>
      <c r="V77">
        <v>35000</v>
      </c>
      <c r="W77">
        <v>112854.82</v>
      </c>
      <c r="X77">
        <v>3.2240000000000002</v>
      </c>
      <c r="Y77" t="s">
        <v>4784</v>
      </c>
      <c r="Z77">
        <v>2023</v>
      </c>
      <c r="AA77">
        <v>1</v>
      </c>
    </row>
    <row r="78" spans="1:27">
      <c r="A78" t="s">
        <v>4826</v>
      </c>
      <c r="B78" t="s">
        <v>4827</v>
      </c>
      <c r="C78" t="s">
        <v>834</v>
      </c>
      <c r="D78" t="s">
        <v>112</v>
      </c>
      <c r="E78" t="s">
        <v>4828</v>
      </c>
      <c r="F78">
        <v>9847683874</v>
      </c>
      <c r="G78" t="s">
        <v>35</v>
      </c>
      <c r="H78" t="s">
        <v>4807</v>
      </c>
      <c r="I78" t="s">
        <v>4808</v>
      </c>
      <c r="J78" t="s">
        <v>4829</v>
      </c>
      <c r="K78" s="1">
        <v>44272</v>
      </c>
      <c r="L78">
        <v>35910</v>
      </c>
      <c r="M78" s="1">
        <v>45243</v>
      </c>
      <c r="N78" t="s">
        <v>4785</v>
      </c>
      <c r="O78">
        <v>13600</v>
      </c>
      <c r="P78">
        <v>5.7000000000000002E-2</v>
      </c>
      <c r="Q78">
        <v>0</v>
      </c>
      <c r="R78" t="s">
        <v>4798</v>
      </c>
      <c r="S78" t="s">
        <v>3317</v>
      </c>
      <c r="T78">
        <v>90</v>
      </c>
      <c r="U78" t="s">
        <v>4796</v>
      </c>
      <c r="V78">
        <v>35000</v>
      </c>
      <c r="W78">
        <v>16441.349999999999</v>
      </c>
      <c r="X78">
        <v>0.47</v>
      </c>
      <c r="Y78" t="s">
        <v>4792</v>
      </c>
      <c r="Z78">
        <v>2023</v>
      </c>
      <c r="AA78">
        <v>0</v>
      </c>
    </row>
    <row r="79" spans="1:27">
      <c r="A79" t="s">
        <v>4826</v>
      </c>
      <c r="B79" t="s">
        <v>4827</v>
      </c>
      <c r="C79" t="s">
        <v>834</v>
      </c>
      <c r="D79" t="s">
        <v>112</v>
      </c>
      <c r="E79" t="s">
        <v>4828</v>
      </c>
      <c r="F79">
        <v>9847683874</v>
      </c>
      <c r="G79" t="s">
        <v>35</v>
      </c>
      <c r="H79" t="s">
        <v>4807</v>
      </c>
      <c r="I79" t="s">
        <v>4808</v>
      </c>
      <c r="J79" t="s">
        <v>4829</v>
      </c>
      <c r="K79" s="1">
        <v>44272</v>
      </c>
      <c r="L79">
        <v>35910</v>
      </c>
      <c r="M79" s="1">
        <v>45320</v>
      </c>
      <c r="N79" t="s">
        <v>4797</v>
      </c>
      <c r="O79">
        <v>126700</v>
      </c>
      <c r="P79">
        <v>9.2999999999999999E-2</v>
      </c>
      <c r="Q79">
        <v>0</v>
      </c>
      <c r="R79" t="s">
        <v>4791</v>
      </c>
      <c r="S79" t="s">
        <v>3411</v>
      </c>
      <c r="T79">
        <v>81</v>
      </c>
      <c r="U79" t="s">
        <v>4787</v>
      </c>
      <c r="V79">
        <v>35000</v>
      </c>
      <c r="W79">
        <v>107237.78</v>
      </c>
      <c r="X79">
        <v>3.0640000000000001</v>
      </c>
      <c r="Y79" t="s">
        <v>4784</v>
      </c>
      <c r="Z79">
        <v>2024</v>
      </c>
      <c r="AA79">
        <v>0</v>
      </c>
    </row>
    <row r="80" spans="1:27">
      <c r="A80" t="s">
        <v>4826</v>
      </c>
      <c r="B80" t="s">
        <v>4827</v>
      </c>
      <c r="C80" t="s">
        <v>834</v>
      </c>
      <c r="D80" t="s">
        <v>112</v>
      </c>
      <c r="E80" t="s">
        <v>4828</v>
      </c>
      <c r="F80">
        <v>9847683874</v>
      </c>
      <c r="G80" t="s">
        <v>35</v>
      </c>
      <c r="H80" t="s">
        <v>4807</v>
      </c>
      <c r="I80" t="s">
        <v>4808</v>
      </c>
      <c r="J80" t="s">
        <v>4829</v>
      </c>
      <c r="K80" s="1">
        <v>44272</v>
      </c>
      <c r="L80">
        <v>35910</v>
      </c>
      <c r="M80" s="1">
        <v>45502</v>
      </c>
      <c r="N80" t="s">
        <v>4785</v>
      </c>
      <c r="O80">
        <v>200900</v>
      </c>
      <c r="P80">
        <v>8.3000000000000004E-2</v>
      </c>
      <c r="Q80">
        <v>0</v>
      </c>
      <c r="R80" t="s">
        <v>4790</v>
      </c>
      <c r="S80" t="s">
        <v>3322</v>
      </c>
      <c r="T80">
        <v>18</v>
      </c>
      <c r="U80" t="s">
        <v>26</v>
      </c>
      <c r="V80">
        <v>35000</v>
      </c>
      <c r="W80">
        <v>133890.04</v>
      </c>
      <c r="X80">
        <v>3.8250000000000002</v>
      </c>
      <c r="Y80" t="s">
        <v>4784</v>
      </c>
      <c r="Z80">
        <v>2024</v>
      </c>
      <c r="AA80">
        <v>0</v>
      </c>
    </row>
    <row r="81" spans="1:27">
      <c r="A81" t="s">
        <v>4826</v>
      </c>
      <c r="B81" t="s">
        <v>4827</v>
      </c>
      <c r="C81" t="s">
        <v>834</v>
      </c>
      <c r="D81" t="s">
        <v>112</v>
      </c>
      <c r="E81" t="s">
        <v>4828</v>
      </c>
      <c r="F81">
        <v>9847683874</v>
      </c>
      <c r="G81" t="s">
        <v>35</v>
      </c>
      <c r="H81" t="s">
        <v>4807</v>
      </c>
      <c r="I81" t="s">
        <v>4808</v>
      </c>
      <c r="J81" t="s">
        <v>4829</v>
      </c>
      <c r="K81" s="1">
        <v>44272</v>
      </c>
      <c r="L81">
        <v>35910</v>
      </c>
      <c r="M81" s="1">
        <v>45594</v>
      </c>
      <c r="N81" t="s">
        <v>4782</v>
      </c>
      <c r="O81">
        <v>116600</v>
      </c>
      <c r="P81">
        <v>7.8E-2</v>
      </c>
      <c r="Q81">
        <v>9094.7999999999993</v>
      </c>
      <c r="R81" t="s">
        <v>4790</v>
      </c>
      <c r="S81" t="s">
        <v>3411</v>
      </c>
      <c r="T81">
        <v>90</v>
      </c>
      <c r="U81" t="s">
        <v>4787</v>
      </c>
      <c r="V81">
        <v>35000</v>
      </c>
      <c r="W81">
        <v>105779.2</v>
      </c>
      <c r="X81">
        <v>3.0219999999999998</v>
      </c>
      <c r="Y81" t="s">
        <v>4784</v>
      </c>
      <c r="Z81">
        <v>2024</v>
      </c>
      <c r="AA81">
        <v>1</v>
      </c>
    </row>
    <row r="82" spans="1:27">
      <c r="A82" t="s">
        <v>4830</v>
      </c>
      <c r="B82" t="s">
        <v>4831</v>
      </c>
      <c r="C82" t="s">
        <v>639</v>
      </c>
      <c r="D82" t="s">
        <v>275</v>
      </c>
      <c r="E82" t="s">
        <v>4832</v>
      </c>
      <c r="F82">
        <v>9648555039</v>
      </c>
      <c r="G82" t="s">
        <v>24</v>
      </c>
      <c r="H82" t="s">
        <v>4833</v>
      </c>
      <c r="I82" t="s">
        <v>4824</v>
      </c>
      <c r="J82" t="s">
        <v>4834</v>
      </c>
      <c r="K82" s="1">
        <v>44951</v>
      </c>
      <c r="L82">
        <v>72359</v>
      </c>
      <c r="M82" s="1">
        <v>45019</v>
      </c>
      <c r="N82" t="s">
        <v>4785</v>
      </c>
      <c r="O82">
        <v>190900</v>
      </c>
      <c r="P82">
        <v>0.1</v>
      </c>
      <c r="Q82">
        <v>0</v>
      </c>
      <c r="R82" t="s">
        <v>4786</v>
      </c>
      <c r="S82" t="s">
        <v>3317</v>
      </c>
      <c r="T82">
        <v>31</v>
      </c>
      <c r="U82" t="s">
        <v>4787</v>
      </c>
      <c r="V82">
        <v>37500</v>
      </c>
      <c r="W82">
        <v>206961.29</v>
      </c>
      <c r="X82">
        <v>5.5190000000000001</v>
      </c>
      <c r="Y82" t="s">
        <v>4784</v>
      </c>
      <c r="Z82">
        <v>2023</v>
      </c>
      <c r="AA82">
        <v>0</v>
      </c>
    </row>
    <row r="83" spans="1:27">
      <c r="A83" t="s">
        <v>4830</v>
      </c>
      <c r="B83" t="s">
        <v>4831</v>
      </c>
      <c r="C83" t="s">
        <v>639</v>
      </c>
      <c r="D83" t="s">
        <v>275</v>
      </c>
      <c r="E83" t="s">
        <v>4832</v>
      </c>
      <c r="F83">
        <v>9648555039</v>
      </c>
      <c r="G83" t="s">
        <v>24</v>
      </c>
      <c r="H83" t="s">
        <v>4833</v>
      </c>
      <c r="I83" t="s">
        <v>4824</v>
      </c>
      <c r="J83" t="s">
        <v>4834</v>
      </c>
      <c r="K83" s="1">
        <v>44951</v>
      </c>
      <c r="L83">
        <v>72359</v>
      </c>
      <c r="M83" s="1">
        <v>45134</v>
      </c>
      <c r="N83" t="s">
        <v>4782</v>
      </c>
      <c r="O83">
        <v>25200</v>
      </c>
      <c r="P83">
        <v>0.04</v>
      </c>
      <c r="Q83">
        <v>1008</v>
      </c>
      <c r="R83" t="s">
        <v>4788</v>
      </c>
      <c r="S83" t="s">
        <v>3302</v>
      </c>
      <c r="T83">
        <v>90</v>
      </c>
      <c r="U83" t="s">
        <v>4796</v>
      </c>
      <c r="V83">
        <v>37500</v>
      </c>
      <c r="W83">
        <v>23856.74</v>
      </c>
      <c r="X83">
        <v>0.63600000000000001</v>
      </c>
      <c r="Y83" t="s">
        <v>4792</v>
      </c>
      <c r="Z83">
        <v>2023</v>
      </c>
      <c r="AA83">
        <v>1</v>
      </c>
    </row>
    <row r="84" spans="1:27">
      <c r="A84" t="s">
        <v>4830</v>
      </c>
      <c r="B84" t="s">
        <v>4831</v>
      </c>
      <c r="C84" t="s">
        <v>639</v>
      </c>
      <c r="D84" t="s">
        <v>275</v>
      </c>
      <c r="E84" t="s">
        <v>4832</v>
      </c>
      <c r="F84">
        <v>9648555039</v>
      </c>
      <c r="G84" t="s">
        <v>24</v>
      </c>
      <c r="H84" t="s">
        <v>4833</v>
      </c>
      <c r="I84" t="s">
        <v>4824</v>
      </c>
      <c r="J84" t="s">
        <v>4834</v>
      </c>
      <c r="K84" s="1">
        <v>44951</v>
      </c>
      <c r="L84">
        <v>72359</v>
      </c>
      <c r="M84" s="1">
        <v>45160</v>
      </c>
      <c r="N84" t="s">
        <v>4785</v>
      </c>
      <c r="O84">
        <v>169400</v>
      </c>
      <c r="P84">
        <v>3.2000000000000001E-2</v>
      </c>
      <c r="Q84">
        <v>0</v>
      </c>
      <c r="R84" t="s">
        <v>4790</v>
      </c>
      <c r="S84" t="s">
        <v>3348</v>
      </c>
      <c r="T84">
        <v>70</v>
      </c>
      <c r="U84" t="s">
        <v>4796</v>
      </c>
      <c r="V84">
        <v>37500</v>
      </c>
      <c r="W84">
        <v>156951.54</v>
      </c>
      <c r="X84">
        <v>4.1849999999999996</v>
      </c>
      <c r="Y84" t="s">
        <v>4784</v>
      </c>
      <c r="Z84">
        <v>2023</v>
      </c>
      <c r="AA84">
        <v>0</v>
      </c>
    </row>
    <row r="85" spans="1:27">
      <c r="A85" t="s">
        <v>4830</v>
      </c>
      <c r="B85" t="s">
        <v>4831</v>
      </c>
      <c r="C85" t="s">
        <v>639</v>
      </c>
      <c r="D85" t="s">
        <v>275</v>
      </c>
      <c r="E85" t="s">
        <v>4832</v>
      </c>
      <c r="F85">
        <v>9648555039</v>
      </c>
      <c r="G85" t="s">
        <v>24</v>
      </c>
      <c r="H85" t="s">
        <v>4833</v>
      </c>
      <c r="I85" t="s">
        <v>4824</v>
      </c>
      <c r="J85" t="s">
        <v>4834</v>
      </c>
      <c r="K85" s="1">
        <v>44951</v>
      </c>
      <c r="L85">
        <v>72359</v>
      </c>
      <c r="M85" s="1">
        <v>45188</v>
      </c>
      <c r="N85" t="s">
        <v>4785</v>
      </c>
      <c r="O85">
        <v>174000</v>
      </c>
      <c r="P85">
        <v>0.06</v>
      </c>
      <c r="Q85">
        <v>0</v>
      </c>
      <c r="R85" t="s">
        <v>4783</v>
      </c>
      <c r="S85" t="s">
        <v>3317</v>
      </c>
      <c r="T85">
        <v>84</v>
      </c>
      <c r="U85" t="s">
        <v>4795</v>
      </c>
      <c r="V85">
        <v>37500</v>
      </c>
      <c r="W85">
        <v>163130.84</v>
      </c>
      <c r="X85">
        <v>4.3499999999999996</v>
      </c>
      <c r="Y85" t="s">
        <v>4784</v>
      </c>
      <c r="Z85">
        <v>2023</v>
      </c>
      <c r="AA85">
        <v>0</v>
      </c>
    </row>
    <row r="86" spans="1:27">
      <c r="A86" t="s">
        <v>4830</v>
      </c>
      <c r="B86" t="s">
        <v>4831</v>
      </c>
      <c r="C86" t="s">
        <v>639</v>
      </c>
      <c r="D86" t="s">
        <v>275</v>
      </c>
      <c r="E86" t="s">
        <v>4832</v>
      </c>
      <c r="F86">
        <v>9648555039</v>
      </c>
      <c r="G86" t="s">
        <v>24</v>
      </c>
      <c r="H86" t="s">
        <v>4833</v>
      </c>
      <c r="I86" t="s">
        <v>4824</v>
      </c>
      <c r="J86" t="s">
        <v>4834</v>
      </c>
      <c r="K86" s="1">
        <v>44951</v>
      </c>
      <c r="L86">
        <v>72359</v>
      </c>
      <c r="M86" s="1">
        <v>45327</v>
      </c>
      <c r="N86" t="s">
        <v>4797</v>
      </c>
      <c r="O86">
        <v>186700</v>
      </c>
      <c r="P86">
        <v>0.10299999999999999</v>
      </c>
      <c r="Q86">
        <v>0</v>
      </c>
      <c r="R86" t="s">
        <v>4791</v>
      </c>
      <c r="S86" t="s">
        <v>3310</v>
      </c>
      <c r="T86">
        <v>59</v>
      </c>
      <c r="U86" t="s">
        <v>4787</v>
      </c>
      <c r="V86">
        <v>37500</v>
      </c>
      <c r="W86">
        <v>106821.03</v>
      </c>
      <c r="X86">
        <v>2.8490000000000002</v>
      </c>
      <c r="Y86" t="s">
        <v>4784</v>
      </c>
      <c r="Z86">
        <v>2024</v>
      </c>
      <c r="AA86">
        <v>0</v>
      </c>
    </row>
    <row r="87" spans="1:27">
      <c r="A87" t="s">
        <v>4830</v>
      </c>
      <c r="B87" t="s">
        <v>4831</v>
      </c>
      <c r="C87" t="s">
        <v>639</v>
      </c>
      <c r="D87" t="s">
        <v>275</v>
      </c>
      <c r="E87" t="s">
        <v>4832</v>
      </c>
      <c r="F87">
        <v>9648555039</v>
      </c>
      <c r="G87" t="s">
        <v>24</v>
      </c>
      <c r="H87" t="s">
        <v>4833</v>
      </c>
      <c r="I87" t="s">
        <v>4824</v>
      </c>
      <c r="J87" t="s">
        <v>4834</v>
      </c>
      <c r="K87" s="1">
        <v>44951</v>
      </c>
      <c r="L87">
        <v>72359</v>
      </c>
      <c r="M87" s="1">
        <v>45381</v>
      </c>
      <c r="N87" t="s">
        <v>4789</v>
      </c>
      <c r="O87">
        <v>198400</v>
      </c>
      <c r="P87">
        <v>8.7999999999999995E-2</v>
      </c>
      <c r="Q87">
        <v>0</v>
      </c>
      <c r="R87" t="s">
        <v>4788</v>
      </c>
      <c r="S87" t="s">
        <v>3310</v>
      </c>
      <c r="T87">
        <v>9</v>
      </c>
      <c r="U87" t="s">
        <v>4787</v>
      </c>
      <c r="V87">
        <v>37500</v>
      </c>
      <c r="W87">
        <v>254867.48</v>
      </c>
      <c r="X87">
        <v>6.7960000000000003</v>
      </c>
      <c r="Y87" t="s">
        <v>4784</v>
      </c>
      <c r="Z87">
        <v>2024</v>
      </c>
      <c r="AA87">
        <v>0</v>
      </c>
    </row>
    <row r="88" spans="1:27">
      <c r="A88" t="s">
        <v>4830</v>
      </c>
      <c r="B88" t="s">
        <v>4831</v>
      </c>
      <c r="C88" t="s">
        <v>639</v>
      </c>
      <c r="D88" t="s">
        <v>275</v>
      </c>
      <c r="E88" t="s">
        <v>4832</v>
      </c>
      <c r="F88">
        <v>9648555039</v>
      </c>
      <c r="G88" t="s">
        <v>24</v>
      </c>
      <c r="H88" t="s">
        <v>4833</v>
      </c>
      <c r="I88" t="s">
        <v>4824</v>
      </c>
      <c r="J88" t="s">
        <v>4834</v>
      </c>
      <c r="K88" s="1">
        <v>44951</v>
      </c>
      <c r="L88">
        <v>72359</v>
      </c>
      <c r="M88" s="1">
        <v>45466</v>
      </c>
      <c r="N88" t="s">
        <v>4797</v>
      </c>
      <c r="O88">
        <v>115900</v>
      </c>
      <c r="P88">
        <v>5.5E-2</v>
      </c>
      <c r="Q88">
        <v>0</v>
      </c>
      <c r="R88" t="s">
        <v>4791</v>
      </c>
      <c r="S88" t="s">
        <v>3317</v>
      </c>
      <c r="T88">
        <v>45</v>
      </c>
      <c r="U88" t="s">
        <v>26</v>
      </c>
      <c r="V88">
        <v>37500</v>
      </c>
      <c r="W88">
        <v>108668.33</v>
      </c>
      <c r="X88">
        <v>2.8980000000000001</v>
      </c>
      <c r="Y88" t="s">
        <v>4784</v>
      </c>
      <c r="Z88">
        <v>2024</v>
      </c>
      <c r="AA88">
        <v>0</v>
      </c>
    </row>
    <row r="89" spans="1:27">
      <c r="A89" t="s">
        <v>4830</v>
      </c>
      <c r="B89" t="s">
        <v>4831</v>
      </c>
      <c r="C89" t="s">
        <v>639</v>
      </c>
      <c r="D89" t="s">
        <v>275</v>
      </c>
      <c r="E89" t="s">
        <v>4832</v>
      </c>
      <c r="F89">
        <v>9648555039</v>
      </c>
      <c r="G89" t="s">
        <v>24</v>
      </c>
      <c r="H89" t="s">
        <v>4833</v>
      </c>
      <c r="I89" t="s">
        <v>4824</v>
      </c>
      <c r="J89" t="s">
        <v>4834</v>
      </c>
      <c r="K89" s="1">
        <v>44951</v>
      </c>
      <c r="L89">
        <v>72359</v>
      </c>
      <c r="M89" s="1">
        <v>45490</v>
      </c>
      <c r="N89" t="s">
        <v>4782</v>
      </c>
      <c r="O89">
        <v>128200</v>
      </c>
      <c r="P89">
        <v>9.4E-2</v>
      </c>
      <c r="Q89">
        <v>12050.8</v>
      </c>
      <c r="R89" t="s">
        <v>4794</v>
      </c>
      <c r="S89" t="s">
        <v>3411</v>
      </c>
      <c r="T89">
        <v>69</v>
      </c>
      <c r="U89" t="s">
        <v>4795</v>
      </c>
      <c r="V89">
        <v>37500</v>
      </c>
      <c r="W89">
        <v>116249.27</v>
      </c>
      <c r="X89">
        <v>3.1</v>
      </c>
      <c r="Y89" t="s">
        <v>4784</v>
      </c>
      <c r="Z89">
        <v>2024</v>
      </c>
      <c r="AA89">
        <v>1</v>
      </c>
    </row>
    <row r="90" spans="1:27">
      <c r="A90" t="s">
        <v>4830</v>
      </c>
      <c r="B90" t="s">
        <v>4831</v>
      </c>
      <c r="C90" t="s">
        <v>639</v>
      </c>
      <c r="D90" t="s">
        <v>275</v>
      </c>
      <c r="E90" t="s">
        <v>4832</v>
      </c>
      <c r="F90">
        <v>9648555039</v>
      </c>
      <c r="G90" t="s">
        <v>24</v>
      </c>
      <c r="H90" t="s">
        <v>4833</v>
      </c>
      <c r="I90" t="s">
        <v>4824</v>
      </c>
      <c r="J90" t="s">
        <v>4834</v>
      </c>
      <c r="K90" s="1">
        <v>44951</v>
      </c>
      <c r="L90">
        <v>72359</v>
      </c>
      <c r="M90" s="1">
        <v>45545</v>
      </c>
      <c r="N90" t="s">
        <v>4797</v>
      </c>
      <c r="O90">
        <v>60000</v>
      </c>
      <c r="P90">
        <v>9.8000000000000004E-2</v>
      </c>
      <c r="Q90">
        <v>0</v>
      </c>
      <c r="R90" t="s">
        <v>4798</v>
      </c>
      <c r="S90" t="s">
        <v>3310</v>
      </c>
      <c r="T90">
        <v>42</v>
      </c>
      <c r="U90" t="s">
        <v>4795</v>
      </c>
      <c r="V90">
        <v>37500</v>
      </c>
      <c r="W90">
        <v>78488.38</v>
      </c>
      <c r="X90">
        <v>2.093</v>
      </c>
      <c r="Y90" t="s">
        <v>4784</v>
      </c>
      <c r="Z90">
        <v>2024</v>
      </c>
      <c r="AA90">
        <v>0</v>
      </c>
    </row>
    <row r="91" spans="1:27">
      <c r="A91" t="s">
        <v>4830</v>
      </c>
      <c r="B91" t="s">
        <v>4831</v>
      </c>
      <c r="C91" t="s">
        <v>639</v>
      </c>
      <c r="D91" t="s">
        <v>275</v>
      </c>
      <c r="E91" t="s">
        <v>4832</v>
      </c>
      <c r="F91">
        <v>9648555039</v>
      </c>
      <c r="G91" t="s">
        <v>24</v>
      </c>
      <c r="H91" t="s">
        <v>4833</v>
      </c>
      <c r="I91" t="s">
        <v>4824</v>
      </c>
      <c r="J91" t="s">
        <v>4834</v>
      </c>
      <c r="K91" s="1">
        <v>44951</v>
      </c>
      <c r="L91">
        <v>72359</v>
      </c>
      <c r="M91" s="1">
        <v>45632</v>
      </c>
      <c r="N91" t="s">
        <v>4797</v>
      </c>
      <c r="O91">
        <v>144000</v>
      </c>
      <c r="P91">
        <v>0.106</v>
      </c>
      <c r="Q91">
        <v>0</v>
      </c>
      <c r="R91" t="s">
        <v>4790</v>
      </c>
      <c r="S91" t="s">
        <v>3322</v>
      </c>
      <c r="T91">
        <v>39</v>
      </c>
      <c r="U91" t="s">
        <v>4796</v>
      </c>
      <c r="V91">
        <v>37500</v>
      </c>
      <c r="W91">
        <v>188417.34</v>
      </c>
      <c r="X91">
        <v>5.024</v>
      </c>
      <c r="Y91" t="s">
        <v>4784</v>
      </c>
      <c r="Z91">
        <v>2024</v>
      </c>
      <c r="AA91">
        <v>0</v>
      </c>
    </row>
    <row r="92" spans="1:27">
      <c r="A92" t="s">
        <v>4835</v>
      </c>
      <c r="B92" t="s">
        <v>4836</v>
      </c>
      <c r="C92" t="s">
        <v>1180</v>
      </c>
      <c r="D92" t="s">
        <v>352</v>
      </c>
      <c r="E92" t="s">
        <v>4837</v>
      </c>
      <c r="F92">
        <v>9842067503</v>
      </c>
      <c r="G92" t="s">
        <v>76</v>
      </c>
      <c r="H92" t="s">
        <v>4779</v>
      </c>
      <c r="I92" t="s">
        <v>4808</v>
      </c>
      <c r="J92" t="s">
        <v>4834</v>
      </c>
      <c r="K92" s="1">
        <v>44425</v>
      </c>
      <c r="L92">
        <v>26632</v>
      </c>
      <c r="M92" s="1">
        <v>44921</v>
      </c>
      <c r="N92" t="s">
        <v>4797</v>
      </c>
      <c r="O92">
        <v>186600</v>
      </c>
      <c r="P92">
        <v>0.111</v>
      </c>
      <c r="Q92">
        <v>0</v>
      </c>
      <c r="R92" t="s">
        <v>4798</v>
      </c>
      <c r="S92" t="s">
        <v>3310</v>
      </c>
      <c r="T92">
        <v>21</v>
      </c>
      <c r="U92" t="s">
        <v>4796</v>
      </c>
      <c r="V92">
        <v>33333.33</v>
      </c>
      <c r="W92">
        <v>112935.1</v>
      </c>
      <c r="X92">
        <v>3.3879999999999999</v>
      </c>
      <c r="Y92" t="s">
        <v>4784</v>
      </c>
      <c r="Z92">
        <v>2022</v>
      </c>
      <c r="AA92">
        <v>0</v>
      </c>
    </row>
    <row r="93" spans="1:27">
      <c r="A93" t="s">
        <v>4835</v>
      </c>
      <c r="B93" t="s">
        <v>4836</v>
      </c>
      <c r="C93" t="s">
        <v>1180</v>
      </c>
      <c r="D93" t="s">
        <v>352</v>
      </c>
      <c r="E93" t="s">
        <v>4837</v>
      </c>
      <c r="F93">
        <v>9842067503</v>
      </c>
      <c r="G93" t="s">
        <v>76</v>
      </c>
      <c r="H93" t="s">
        <v>4779</v>
      </c>
      <c r="I93" t="s">
        <v>4808</v>
      </c>
      <c r="J93" t="s">
        <v>4834</v>
      </c>
      <c r="K93" s="1">
        <v>44425</v>
      </c>
      <c r="L93">
        <v>26632</v>
      </c>
      <c r="M93" s="1">
        <v>44961</v>
      </c>
      <c r="N93" t="s">
        <v>4785</v>
      </c>
      <c r="O93">
        <v>143000</v>
      </c>
      <c r="P93">
        <v>0.05</v>
      </c>
      <c r="Q93">
        <v>0</v>
      </c>
      <c r="R93" t="s">
        <v>4798</v>
      </c>
      <c r="S93" t="s">
        <v>3317</v>
      </c>
      <c r="T93">
        <v>26</v>
      </c>
      <c r="U93" t="s">
        <v>4787</v>
      </c>
      <c r="V93">
        <v>33333.33</v>
      </c>
      <c r="W93">
        <v>82257.98</v>
      </c>
      <c r="X93">
        <v>2.468</v>
      </c>
      <c r="Y93" t="s">
        <v>4784</v>
      </c>
      <c r="Z93">
        <v>2023</v>
      </c>
      <c r="AA93">
        <v>0</v>
      </c>
    </row>
    <row r="94" spans="1:27">
      <c r="A94" t="s">
        <v>4835</v>
      </c>
      <c r="B94" t="s">
        <v>4836</v>
      </c>
      <c r="C94" t="s">
        <v>1180</v>
      </c>
      <c r="D94" t="s">
        <v>352</v>
      </c>
      <c r="E94" t="s">
        <v>4837</v>
      </c>
      <c r="F94">
        <v>9842067503</v>
      </c>
      <c r="G94" t="s">
        <v>76</v>
      </c>
      <c r="H94" t="s">
        <v>4779</v>
      </c>
      <c r="I94" t="s">
        <v>4808</v>
      </c>
      <c r="J94" t="s">
        <v>4834</v>
      </c>
      <c r="K94" s="1">
        <v>44425</v>
      </c>
      <c r="L94">
        <v>26632</v>
      </c>
      <c r="M94" s="1">
        <v>45144</v>
      </c>
      <c r="N94" t="s">
        <v>4789</v>
      </c>
      <c r="O94">
        <v>48600</v>
      </c>
      <c r="P94">
        <v>8.5999999999999993E-2</v>
      </c>
      <c r="Q94">
        <v>0</v>
      </c>
      <c r="R94" t="s">
        <v>4786</v>
      </c>
      <c r="S94" t="s">
        <v>3348</v>
      </c>
      <c r="T94">
        <v>69</v>
      </c>
      <c r="U94" t="s">
        <v>4795</v>
      </c>
      <c r="V94">
        <v>33333.33</v>
      </c>
      <c r="W94">
        <v>32272.95</v>
      </c>
      <c r="X94">
        <v>0.96799999999999997</v>
      </c>
      <c r="Y94" t="s">
        <v>4793</v>
      </c>
      <c r="Z94">
        <v>2023</v>
      </c>
      <c r="AA94">
        <v>0</v>
      </c>
    </row>
    <row r="95" spans="1:27">
      <c r="A95" t="s">
        <v>4835</v>
      </c>
      <c r="B95" t="s">
        <v>4836</v>
      </c>
      <c r="C95" t="s">
        <v>1180</v>
      </c>
      <c r="D95" t="s">
        <v>352</v>
      </c>
      <c r="E95" t="s">
        <v>4837</v>
      </c>
      <c r="F95">
        <v>9842067503</v>
      </c>
      <c r="G95" t="s">
        <v>76</v>
      </c>
      <c r="H95" t="s">
        <v>4779</v>
      </c>
      <c r="I95" t="s">
        <v>4808</v>
      </c>
      <c r="J95" t="s">
        <v>4834</v>
      </c>
      <c r="K95" s="1">
        <v>44425</v>
      </c>
      <c r="L95">
        <v>26632</v>
      </c>
      <c r="M95" s="1">
        <v>45189</v>
      </c>
      <c r="N95" t="s">
        <v>4782</v>
      </c>
      <c r="O95">
        <v>211900</v>
      </c>
      <c r="P95">
        <v>5.2999999999999999E-2</v>
      </c>
      <c r="Q95">
        <v>11230.7</v>
      </c>
      <c r="R95" t="s">
        <v>4790</v>
      </c>
      <c r="S95" t="s">
        <v>3317</v>
      </c>
      <c r="T95">
        <v>37</v>
      </c>
      <c r="U95" t="s">
        <v>4787</v>
      </c>
      <c r="V95">
        <v>33333.33</v>
      </c>
      <c r="W95">
        <v>134239.6</v>
      </c>
      <c r="X95">
        <v>4.0270000000000001</v>
      </c>
      <c r="Y95" t="s">
        <v>4784</v>
      </c>
      <c r="Z95">
        <v>2023</v>
      </c>
      <c r="AA95">
        <v>1</v>
      </c>
    </row>
    <row r="96" spans="1:27">
      <c r="A96" t="s">
        <v>4835</v>
      </c>
      <c r="B96" t="s">
        <v>4836</v>
      </c>
      <c r="C96" t="s">
        <v>1180</v>
      </c>
      <c r="D96" t="s">
        <v>352</v>
      </c>
      <c r="E96" t="s">
        <v>4837</v>
      </c>
      <c r="F96">
        <v>9842067503</v>
      </c>
      <c r="G96" t="s">
        <v>76</v>
      </c>
      <c r="H96" t="s">
        <v>4779</v>
      </c>
      <c r="I96" t="s">
        <v>4808</v>
      </c>
      <c r="J96" t="s">
        <v>4834</v>
      </c>
      <c r="K96" s="1">
        <v>44425</v>
      </c>
      <c r="L96">
        <v>26632</v>
      </c>
      <c r="M96" s="1">
        <v>45210</v>
      </c>
      <c r="N96" t="s">
        <v>4785</v>
      </c>
      <c r="O96">
        <v>38200</v>
      </c>
      <c r="P96">
        <v>7.0000000000000007E-2</v>
      </c>
      <c r="Q96">
        <v>0</v>
      </c>
      <c r="R96" t="s">
        <v>4788</v>
      </c>
      <c r="S96" t="s">
        <v>3310</v>
      </c>
      <c r="T96">
        <v>27</v>
      </c>
      <c r="U96" t="s">
        <v>4787</v>
      </c>
      <c r="V96">
        <v>33333.33</v>
      </c>
      <c r="W96">
        <v>41981.72</v>
      </c>
      <c r="X96">
        <v>1.2589999999999999</v>
      </c>
      <c r="Y96" t="s">
        <v>4784</v>
      </c>
      <c r="Z96">
        <v>2023</v>
      </c>
      <c r="AA96">
        <v>0</v>
      </c>
    </row>
    <row r="97" spans="1:27">
      <c r="A97" t="s">
        <v>4835</v>
      </c>
      <c r="B97" t="s">
        <v>4836</v>
      </c>
      <c r="C97" t="s">
        <v>1180</v>
      </c>
      <c r="D97" t="s">
        <v>352</v>
      </c>
      <c r="E97" t="s">
        <v>4837</v>
      </c>
      <c r="F97">
        <v>9842067503</v>
      </c>
      <c r="G97" t="s">
        <v>76</v>
      </c>
      <c r="H97" t="s">
        <v>4779</v>
      </c>
      <c r="I97" t="s">
        <v>4808</v>
      </c>
      <c r="J97" t="s">
        <v>4834</v>
      </c>
      <c r="K97" s="1">
        <v>44425</v>
      </c>
      <c r="L97">
        <v>26632</v>
      </c>
      <c r="M97" s="1">
        <v>45266</v>
      </c>
      <c r="N97" t="s">
        <v>4782</v>
      </c>
      <c r="O97">
        <v>102800</v>
      </c>
      <c r="P97">
        <v>7.0000000000000007E-2</v>
      </c>
      <c r="Q97">
        <v>7196</v>
      </c>
      <c r="R97" t="s">
        <v>4786</v>
      </c>
      <c r="S97" t="s">
        <v>3416</v>
      </c>
      <c r="T97">
        <v>39</v>
      </c>
      <c r="U97" t="s">
        <v>4787</v>
      </c>
      <c r="V97">
        <v>33333.33</v>
      </c>
      <c r="W97">
        <v>136558.54999999999</v>
      </c>
      <c r="X97">
        <v>4.0970000000000004</v>
      </c>
      <c r="Y97" t="s">
        <v>4784</v>
      </c>
      <c r="Z97">
        <v>2023</v>
      </c>
      <c r="AA97">
        <v>1</v>
      </c>
    </row>
    <row r="98" spans="1:27">
      <c r="A98" t="s">
        <v>4835</v>
      </c>
      <c r="B98" t="s">
        <v>4836</v>
      </c>
      <c r="C98" t="s">
        <v>1180</v>
      </c>
      <c r="D98" t="s">
        <v>352</v>
      </c>
      <c r="E98" t="s">
        <v>4837</v>
      </c>
      <c r="F98">
        <v>9842067503</v>
      </c>
      <c r="G98" t="s">
        <v>76</v>
      </c>
      <c r="H98" t="s">
        <v>4779</v>
      </c>
      <c r="I98" t="s">
        <v>4808</v>
      </c>
      <c r="J98" t="s">
        <v>4834</v>
      </c>
      <c r="K98" s="1">
        <v>44425</v>
      </c>
      <c r="L98">
        <v>26632</v>
      </c>
      <c r="M98" s="1">
        <v>45384</v>
      </c>
      <c r="N98" t="s">
        <v>4785</v>
      </c>
      <c r="O98">
        <v>225400</v>
      </c>
      <c r="P98">
        <v>0.05</v>
      </c>
      <c r="Q98">
        <v>0</v>
      </c>
      <c r="R98" t="s">
        <v>4788</v>
      </c>
      <c r="S98" t="s">
        <v>3302</v>
      </c>
      <c r="T98">
        <v>42</v>
      </c>
      <c r="U98" t="s">
        <v>4787</v>
      </c>
      <c r="V98">
        <v>33333.33</v>
      </c>
      <c r="W98">
        <v>236069.55</v>
      </c>
      <c r="X98">
        <v>7.0819999999999999</v>
      </c>
      <c r="Y98" t="s">
        <v>4784</v>
      </c>
      <c r="Z98">
        <v>2024</v>
      </c>
      <c r="AA98">
        <v>0</v>
      </c>
    </row>
    <row r="99" spans="1:27">
      <c r="A99" t="s">
        <v>4835</v>
      </c>
      <c r="B99" t="s">
        <v>4836</v>
      </c>
      <c r="C99" t="s">
        <v>1180</v>
      </c>
      <c r="D99" t="s">
        <v>352</v>
      </c>
      <c r="E99" t="s">
        <v>4837</v>
      </c>
      <c r="F99">
        <v>9842067503</v>
      </c>
      <c r="G99" t="s">
        <v>76</v>
      </c>
      <c r="H99" t="s">
        <v>4779</v>
      </c>
      <c r="I99" t="s">
        <v>4808</v>
      </c>
      <c r="J99" t="s">
        <v>4834</v>
      </c>
      <c r="K99" s="1">
        <v>44425</v>
      </c>
      <c r="L99">
        <v>26632</v>
      </c>
      <c r="M99" s="1">
        <v>45390</v>
      </c>
      <c r="N99" t="s">
        <v>4789</v>
      </c>
      <c r="O99">
        <v>206500</v>
      </c>
      <c r="P99">
        <v>4.2999999999999997E-2</v>
      </c>
      <c r="Q99">
        <v>0</v>
      </c>
      <c r="R99" t="s">
        <v>4790</v>
      </c>
      <c r="S99" t="s">
        <v>3317</v>
      </c>
      <c r="T99">
        <v>20</v>
      </c>
      <c r="U99" t="s">
        <v>4787</v>
      </c>
      <c r="V99">
        <v>33333.33</v>
      </c>
      <c r="W99">
        <v>283552.40999999997</v>
      </c>
      <c r="X99">
        <v>8.5069999999999997</v>
      </c>
      <c r="Y99" t="s">
        <v>4784</v>
      </c>
      <c r="Z99">
        <v>2024</v>
      </c>
      <c r="AA99">
        <v>0</v>
      </c>
    </row>
    <row r="100" spans="1:27">
      <c r="A100" t="s">
        <v>4835</v>
      </c>
      <c r="B100" t="s">
        <v>4836</v>
      </c>
      <c r="C100" t="s">
        <v>1180</v>
      </c>
      <c r="D100" t="s">
        <v>352</v>
      </c>
      <c r="E100" t="s">
        <v>4837</v>
      </c>
      <c r="F100">
        <v>9842067503</v>
      </c>
      <c r="G100" t="s">
        <v>76</v>
      </c>
      <c r="H100" t="s">
        <v>4779</v>
      </c>
      <c r="I100" t="s">
        <v>4808</v>
      </c>
      <c r="J100" t="s">
        <v>4834</v>
      </c>
      <c r="K100" s="1">
        <v>44425</v>
      </c>
      <c r="L100">
        <v>26632</v>
      </c>
      <c r="M100" s="1">
        <v>45467</v>
      </c>
      <c r="N100" t="s">
        <v>4782</v>
      </c>
      <c r="O100">
        <v>185700</v>
      </c>
      <c r="P100">
        <v>0.04</v>
      </c>
      <c r="Q100">
        <v>7428</v>
      </c>
      <c r="R100" t="s">
        <v>4790</v>
      </c>
      <c r="S100" t="s">
        <v>3302</v>
      </c>
      <c r="T100">
        <v>18</v>
      </c>
      <c r="U100" t="s">
        <v>4787</v>
      </c>
      <c r="V100">
        <v>33333.33</v>
      </c>
      <c r="W100">
        <v>144339.78</v>
      </c>
      <c r="X100">
        <v>4.33</v>
      </c>
      <c r="Y100" t="s">
        <v>4784</v>
      </c>
      <c r="Z100">
        <v>2024</v>
      </c>
      <c r="AA100">
        <v>1</v>
      </c>
    </row>
    <row r="101" spans="1:27">
      <c r="A101" t="s">
        <v>4835</v>
      </c>
      <c r="B101" t="s">
        <v>4836</v>
      </c>
      <c r="C101" t="s">
        <v>1180</v>
      </c>
      <c r="D101" t="s">
        <v>352</v>
      </c>
      <c r="E101" t="s">
        <v>4837</v>
      </c>
      <c r="F101">
        <v>9842067503</v>
      </c>
      <c r="G101" t="s">
        <v>76</v>
      </c>
      <c r="H101" t="s">
        <v>4779</v>
      </c>
      <c r="I101" t="s">
        <v>4808</v>
      </c>
      <c r="J101" t="s">
        <v>4834</v>
      </c>
      <c r="K101" s="1">
        <v>44425</v>
      </c>
      <c r="L101">
        <v>26632</v>
      </c>
      <c r="M101" s="1">
        <v>45601</v>
      </c>
      <c r="N101" t="s">
        <v>4782</v>
      </c>
      <c r="O101">
        <v>174700</v>
      </c>
      <c r="P101">
        <v>9.2999999999999999E-2</v>
      </c>
      <c r="Q101">
        <v>16247.1</v>
      </c>
      <c r="R101" t="s">
        <v>4790</v>
      </c>
      <c r="S101" t="s">
        <v>3317</v>
      </c>
      <c r="T101">
        <v>74</v>
      </c>
      <c r="U101" t="s">
        <v>4796</v>
      </c>
      <c r="V101">
        <v>33333.33</v>
      </c>
      <c r="W101">
        <v>213067.36</v>
      </c>
      <c r="X101">
        <v>6.3920000000000003</v>
      </c>
      <c r="Y101" t="s">
        <v>4784</v>
      </c>
      <c r="Z101">
        <v>2024</v>
      </c>
      <c r="AA101">
        <v>1</v>
      </c>
    </row>
    <row r="102" spans="1:27">
      <c r="A102" t="s">
        <v>4838</v>
      </c>
      <c r="B102" t="s">
        <v>4839</v>
      </c>
      <c r="C102" t="s">
        <v>61</v>
      </c>
      <c r="D102" t="s">
        <v>301</v>
      </c>
      <c r="E102" t="s">
        <v>4840</v>
      </c>
      <c r="F102">
        <v>9971362965</v>
      </c>
      <c r="G102" t="s">
        <v>188</v>
      </c>
      <c r="H102" t="s">
        <v>4807</v>
      </c>
      <c r="I102" t="s">
        <v>4780</v>
      </c>
      <c r="J102" t="s">
        <v>4829</v>
      </c>
      <c r="K102" s="1">
        <v>44428</v>
      </c>
      <c r="L102">
        <v>67505</v>
      </c>
      <c r="M102" s="1">
        <v>44586</v>
      </c>
      <c r="N102" t="s">
        <v>4782</v>
      </c>
      <c r="O102">
        <v>95400</v>
      </c>
      <c r="P102">
        <v>6.2E-2</v>
      </c>
      <c r="Q102">
        <v>5914.8</v>
      </c>
      <c r="R102" t="s">
        <v>4790</v>
      </c>
      <c r="S102" t="s">
        <v>3411</v>
      </c>
      <c r="T102">
        <v>72</v>
      </c>
      <c r="U102" t="s">
        <v>4787</v>
      </c>
      <c r="V102">
        <v>40000</v>
      </c>
      <c r="W102">
        <v>66219.59</v>
      </c>
      <c r="X102">
        <v>1.655</v>
      </c>
      <c r="Y102" t="s">
        <v>4784</v>
      </c>
      <c r="Z102">
        <v>2022</v>
      </c>
      <c r="AA102">
        <v>1</v>
      </c>
    </row>
    <row r="103" spans="1:27">
      <c r="A103" t="s">
        <v>4838</v>
      </c>
      <c r="B103" t="s">
        <v>4839</v>
      </c>
      <c r="C103" t="s">
        <v>61</v>
      </c>
      <c r="D103" t="s">
        <v>301</v>
      </c>
      <c r="E103" t="s">
        <v>4840</v>
      </c>
      <c r="F103">
        <v>9971362965</v>
      </c>
      <c r="G103" t="s">
        <v>188</v>
      </c>
      <c r="H103" t="s">
        <v>4807</v>
      </c>
      <c r="I103" t="s">
        <v>4780</v>
      </c>
      <c r="J103" t="s">
        <v>4829</v>
      </c>
      <c r="K103" s="1">
        <v>44428</v>
      </c>
      <c r="L103">
        <v>67505</v>
      </c>
      <c r="M103" s="1">
        <v>44738</v>
      </c>
      <c r="N103" t="s">
        <v>4782</v>
      </c>
      <c r="O103">
        <v>59500</v>
      </c>
      <c r="P103">
        <v>5.7000000000000002E-2</v>
      </c>
      <c r="Q103">
        <v>3391.5</v>
      </c>
      <c r="R103" t="s">
        <v>4798</v>
      </c>
      <c r="S103" t="s">
        <v>3416</v>
      </c>
      <c r="T103">
        <v>43</v>
      </c>
      <c r="U103" t="s">
        <v>4787</v>
      </c>
      <c r="V103">
        <v>40000</v>
      </c>
      <c r="W103">
        <v>79720.34</v>
      </c>
      <c r="X103">
        <v>1.9930000000000001</v>
      </c>
      <c r="Y103" t="s">
        <v>4784</v>
      </c>
      <c r="Z103">
        <v>2022</v>
      </c>
      <c r="AA103">
        <v>1</v>
      </c>
    </row>
    <row r="104" spans="1:27">
      <c r="A104" t="s">
        <v>4838</v>
      </c>
      <c r="B104" t="s">
        <v>4839</v>
      </c>
      <c r="C104" t="s">
        <v>61</v>
      </c>
      <c r="D104" t="s">
        <v>301</v>
      </c>
      <c r="E104" t="s">
        <v>4840</v>
      </c>
      <c r="F104">
        <v>9971362965</v>
      </c>
      <c r="G104" t="s">
        <v>188</v>
      </c>
      <c r="H104" t="s">
        <v>4807</v>
      </c>
      <c r="I104" t="s">
        <v>4780</v>
      </c>
      <c r="J104" t="s">
        <v>4829</v>
      </c>
      <c r="K104" s="1">
        <v>44428</v>
      </c>
      <c r="L104">
        <v>67505</v>
      </c>
      <c r="M104" s="1">
        <v>44842</v>
      </c>
      <c r="N104" t="s">
        <v>4782</v>
      </c>
      <c r="O104">
        <v>53800</v>
      </c>
      <c r="P104">
        <v>0.105</v>
      </c>
      <c r="Q104">
        <v>5649</v>
      </c>
      <c r="R104" t="s">
        <v>4788</v>
      </c>
      <c r="S104" t="s">
        <v>3416</v>
      </c>
      <c r="T104">
        <v>63</v>
      </c>
      <c r="U104" t="s">
        <v>4787</v>
      </c>
      <c r="V104">
        <v>40000</v>
      </c>
      <c r="W104">
        <v>66739.94</v>
      </c>
      <c r="X104">
        <v>1.6679999999999999</v>
      </c>
      <c r="Y104" t="s">
        <v>4784</v>
      </c>
      <c r="Z104">
        <v>2022</v>
      </c>
      <c r="AA104">
        <v>1</v>
      </c>
    </row>
    <row r="105" spans="1:27">
      <c r="A105" t="s">
        <v>4838</v>
      </c>
      <c r="B105" t="s">
        <v>4839</v>
      </c>
      <c r="C105" t="s">
        <v>61</v>
      </c>
      <c r="D105" t="s">
        <v>301</v>
      </c>
      <c r="E105" t="s">
        <v>4840</v>
      </c>
      <c r="F105">
        <v>9971362965</v>
      </c>
      <c r="G105" t="s">
        <v>188</v>
      </c>
      <c r="H105" t="s">
        <v>4807</v>
      </c>
      <c r="I105" t="s">
        <v>4780</v>
      </c>
      <c r="J105" t="s">
        <v>4829</v>
      </c>
      <c r="K105" s="1">
        <v>44428</v>
      </c>
      <c r="L105">
        <v>67505</v>
      </c>
      <c r="M105" s="1">
        <v>44877</v>
      </c>
      <c r="N105" t="s">
        <v>4782</v>
      </c>
      <c r="O105">
        <v>83700</v>
      </c>
      <c r="P105">
        <v>0.11600000000000001</v>
      </c>
      <c r="Q105">
        <v>9709.2000000000007</v>
      </c>
      <c r="R105" t="s">
        <v>4798</v>
      </c>
      <c r="S105" t="s">
        <v>3348</v>
      </c>
      <c r="T105">
        <v>61</v>
      </c>
      <c r="U105" t="s">
        <v>4787</v>
      </c>
      <c r="V105">
        <v>40000</v>
      </c>
      <c r="W105">
        <v>91101.73</v>
      </c>
      <c r="X105">
        <v>2.278</v>
      </c>
      <c r="Y105" t="s">
        <v>4784</v>
      </c>
      <c r="Z105">
        <v>2022</v>
      </c>
      <c r="AA105">
        <v>1</v>
      </c>
    </row>
    <row r="106" spans="1:27">
      <c r="A106" t="s">
        <v>4838</v>
      </c>
      <c r="B106" t="s">
        <v>4839</v>
      </c>
      <c r="C106" t="s">
        <v>61</v>
      </c>
      <c r="D106" t="s">
        <v>301</v>
      </c>
      <c r="E106" t="s">
        <v>4840</v>
      </c>
      <c r="F106">
        <v>9971362965</v>
      </c>
      <c r="G106" t="s">
        <v>188</v>
      </c>
      <c r="H106" t="s">
        <v>4807</v>
      </c>
      <c r="I106" t="s">
        <v>4780</v>
      </c>
      <c r="J106" t="s">
        <v>4829</v>
      </c>
      <c r="K106" s="1">
        <v>44428</v>
      </c>
      <c r="L106">
        <v>67505</v>
      </c>
      <c r="M106" s="1">
        <v>45151</v>
      </c>
      <c r="N106" t="s">
        <v>4789</v>
      </c>
      <c r="O106">
        <v>52000</v>
      </c>
      <c r="P106">
        <v>7.3999999999999996E-2</v>
      </c>
      <c r="Q106">
        <v>0</v>
      </c>
      <c r="R106" t="s">
        <v>4794</v>
      </c>
      <c r="S106" t="s">
        <v>3348</v>
      </c>
      <c r="T106">
        <v>32</v>
      </c>
      <c r="U106" t="s">
        <v>4787</v>
      </c>
      <c r="V106">
        <v>40000</v>
      </c>
      <c r="W106">
        <v>31585.8</v>
      </c>
      <c r="X106">
        <v>0.79</v>
      </c>
      <c r="Y106" t="s">
        <v>4792</v>
      </c>
      <c r="Z106">
        <v>2023</v>
      </c>
      <c r="AA106">
        <v>0</v>
      </c>
    </row>
    <row r="107" spans="1:27">
      <c r="A107" t="s">
        <v>4838</v>
      </c>
      <c r="B107" t="s">
        <v>4839</v>
      </c>
      <c r="C107" t="s">
        <v>61</v>
      </c>
      <c r="D107" t="s">
        <v>301</v>
      </c>
      <c r="E107" t="s">
        <v>4840</v>
      </c>
      <c r="F107">
        <v>9971362965</v>
      </c>
      <c r="G107" t="s">
        <v>188</v>
      </c>
      <c r="H107" t="s">
        <v>4807</v>
      </c>
      <c r="I107" t="s">
        <v>4780</v>
      </c>
      <c r="J107" t="s">
        <v>4829</v>
      </c>
      <c r="K107" s="1">
        <v>44428</v>
      </c>
      <c r="L107">
        <v>67505</v>
      </c>
      <c r="M107" s="1">
        <v>45180</v>
      </c>
      <c r="N107" t="s">
        <v>4785</v>
      </c>
      <c r="O107">
        <v>84700</v>
      </c>
      <c r="P107">
        <v>7.3999999999999996E-2</v>
      </c>
      <c r="Q107">
        <v>0</v>
      </c>
      <c r="R107" t="s">
        <v>4794</v>
      </c>
      <c r="S107" t="s">
        <v>3322</v>
      </c>
      <c r="T107">
        <v>29</v>
      </c>
      <c r="U107" t="s">
        <v>4787</v>
      </c>
      <c r="V107">
        <v>40000</v>
      </c>
      <c r="W107">
        <v>102664.67</v>
      </c>
      <c r="X107">
        <v>2.5670000000000002</v>
      </c>
      <c r="Y107" t="s">
        <v>4784</v>
      </c>
      <c r="Z107">
        <v>2023</v>
      </c>
      <c r="AA107">
        <v>0</v>
      </c>
    </row>
    <row r="108" spans="1:27">
      <c r="A108" t="s">
        <v>4838</v>
      </c>
      <c r="B108" t="s">
        <v>4839</v>
      </c>
      <c r="C108" t="s">
        <v>61</v>
      </c>
      <c r="D108" t="s">
        <v>301</v>
      </c>
      <c r="E108" t="s">
        <v>4840</v>
      </c>
      <c r="F108">
        <v>9971362965</v>
      </c>
      <c r="G108" t="s">
        <v>188</v>
      </c>
      <c r="H108" t="s">
        <v>4807</v>
      </c>
      <c r="I108" t="s">
        <v>4780</v>
      </c>
      <c r="J108" t="s">
        <v>4829</v>
      </c>
      <c r="K108" s="1">
        <v>44428</v>
      </c>
      <c r="L108">
        <v>67505</v>
      </c>
      <c r="M108" s="1">
        <v>45331</v>
      </c>
      <c r="N108" t="s">
        <v>4782</v>
      </c>
      <c r="O108">
        <v>6700</v>
      </c>
      <c r="P108">
        <v>6.7000000000000004E-2</v>
      </c>
      <c r="Q108">
        <v>448.9</v>
      </c>
      <c r="R108" t="s">
        <v>4788</v>
      </c>
      <c r="S108" t="s">
        <v>3322</v>
      </c>
      <c r="T108">
        <v>23</v>
      </c>
      <c r="U108" t="s">
        <v>26</v>
      </c>
      <c r="V108">
        <v>40000</v>
      </c>
      <c r="W108">
        <v>7632.79</v>
      </c>
      <c r="X108">
        <v>0.191</v>
      </c>
      <c r="Y108" t="s">
        <v>4792</v>
      </c>
      <c r="Z108">
        <v>2024</v>
      </c>
      <c r="AA108">
        <v>1</v>
      </c>
    </row>
    <row r="109" spans="1:27">
      <c r="A109" t="s">
        <v>4838</v>
      </c>
      <c r="B109" t="s">
        <v>4839</v>
      </c>
      <c r="C109" t="s">
        <v>61</v>
      </c>
      <c r="D109" t="s">
        <v>301</v>
      </c>
      <c r="E109" t="s">
        <v>4840</v>
      </c>
      <c r="F109">
        <v>9971362965</v>
      </c>
      <c r="G109" t="s">
        <v>188</v>
      </c>
      <c r="H109" t="s">
        <v>4807</v>
      </c>
      <c r="I109" t="s">
        <v>4780</v>
      </c>
      <c r="J109" t="s">
        <v>4829</v>
      </c>
      <c r="K109" s="1">
        <v>44428</v>
      </c>
      <c r="L109">
        <v>67505</v>
      </c>
      <c r="M109" s="1">
        <v>45471</v>
      </c>
      <c r="N109" t="s">
        <v>4797</v>
      </c>
      <c r="O109">
        <v>113900</v>
      </c>
      <c r="P109">
        <v>0.10199999999999999</v>
      </c>
      <c r="Q109">
        <v>0</v>
      </c>
      <c r="R109" t="s">
        <v>4788</v>
      </c>
      <c r="S109" t="s">
        <v>3310</v>
      </c>
      <c r="T109">
        <v>55</v>
      </c>
      <c r="U109" t="s">
        <v>26</v>
      </c>
      <c r="V109">
        <v>40000</v>
      </c>
      <c r="W109">
        <v>71257.08</v>
      </c>
      <c r="X109">
        <v>1.7809999999999999</v>
      </c>
      <c r="Y109" t="s">
        <v>4784</v>
      </c>
      <c r="Z109">
        <v>2024</v>
      </c>
      <c r="AA109">
        <v>0</v>
      </c>
    </row>
    <row r="110" spans="1:27">
      <c r="A110" t="s">
        <v>4838</v>
      </c>
      <c r="B110" t="s">
        <v>4839</v>
      </c>
      <c r="C110" t="s">
        <v>61</v>
      </c>
      <c r="D110" t="s">
        <v>301</v>
      </c>
      <c r="E110" t="s">
        <v>4840</v>
      </c>
      <c r="F110">
        <v>9971362965</v>
      </c>
      <c r="G110" t="s">
        <v>188</v>
      </c>
      <c r="H110" t="s">
        <v>4807</v>
      </c>
      <c r="I110" t="s">
        <v>4780</v>
      </c>
      <c r="J110" t="s">
        <v>4829</v>
      </c>
      <c r="K110" s="1">
        <v>44428</v>
      </c>
      <c r="L110">
        <v>67505</v>
      </c>
      <c r="M110" s="1">
        <v>45474</v>
      </c>
      <c r="N110" t="s">
        <v>4797</v>
      </c>
      <c r="O110">
        <v>181000</v>
      </c>
      <c r="P110">
        <v>0.11600000000000001</v>
      </c>
      <c r="Q110">
        <v>0</v>
      </c>
      <c r="R110" t="s">
        <v>4783</v>
      </c>
      <c r="S110" t="s">
        <v>3322</v>
      </c>
      <c r="T110">
        <v>25</v>
      </c>
      <c r="U110" t="s">
        <v>26</v>
      </c>
      <c r="V110">
        <v>40000</v>
      </c>
      <c r="W110">
        <v>142262.75</v>
      </c>
      <c r="X110">
        <v>3.5569999999999999</v>
      </c>
      <c r="Y110" t="s">
        <v>4784</v>
      </c>
      <c r="Z110">
        <v>2024</v>
      </c>
      <c r="AA110">
        <v>0</v>
      </c>
    </row>
    <row r="111" spans="1:27">
      <c r="A111" t="s">
        <v>4838</v>
      </c>
      <c r="B111" t="s">
        <v>4839</v>
      </c>
      <c r="C111" t="s">
        <v>61</v>
      </c>
      <c r="D111" t="s">
        <v>301</v>
      </c>
      <c r="E111" t="s">
        <v>4840</v>
      </c>
      <c r="F111">
        <v>9971362965</v>
      </c>
      <c r="G111" t="s">
        <v>188</v>
      </c>
      <c r="H111" t="s">
        <v>4807</v>
      </c>
      <c r="I111" t="s">
        <v>4780</v>
      </c>
      <c r="J111" t="s">
        <v>4829</v>
      </c>
      <c r="K111" s="1">
        <v>44428</v>
      </c>
      <c r="L111">
        <v>67505</v>
      </c>
      <c r="M111" s="1">
        <v>45609</v>
      </c>
      <c r="N111" t="s">
        <v>4782</v>
      </c>
      <c r="O111">
        <v>243100</v>
      </c>
      <c r="P111">
        <v>0.09</v>
      </c>
      <c r="Q111">
        <v>21879</v>
      </c>
      <c r="R111" t="s">
        <v>4790</v>
      </c>
      <c r="S111" t="s">
        <v>3310</v>
      </c>
      <c r="T111">
        <v>55</v>
      </c>
      <c r="U111" t="s">
        <v>4795</v>
      </c>
      <c r="V111">
        <v>40000</v>
      </c>
      <c r="W111">
        <v>206027.58</v>
      </c>
      <c r="X111">
        <v>5.1509999999999998</v>
      </c>
      <c r="Y111" t="s">
        <v>4784</v>
      </c>
      <c r="Z111">
        <v>2024</v>
      </c>
      <c r="AA111">
        <v>1</v>
      </c>
    </row>
    <row r="112" spans="1:27">
      <c r="A112" t="s">
        <v>4841</v>
      </c>
      <c r="B112" t="s">
        <v>4842</v>
      </c>
      <c r="C112" t="s">
        <v>80</v>
      </c>
      <c r="D112" t="s">
        <v>162</v>
      </c>
      <c r="E112" t="s">
        <v>4843</v>
      </c>
      <c r="F112">
        <v>9979717587</v>
      </c>
      <c r="G112" t="s">
        <v>24</v>
      </c>
      <c r="H112" t="s">
        <v>4807</v>
      </c>
      <c r="I112" t="s">
        <v>4844</v>
      </c>
      <c r="J112" t="s">
        <v>4845</v>
      </c>
      <c r="K112" s="1">
        <v>45246</v>
      </c>
      <c r="L112">
        <v>50171</v>
      </c>
      <c r="M112" s="1">
        <v>45285</v>
      </c>
      <c r="N112" t="s">
        <v>4785</v>
      </c>
      <c r="O112">
        <v>55800</v>
      </c>
      <c r="P112">
        <v>9.9000000000000005E-2</v>
      </c>
      <c r="Q112">
        <v>0</v>
      </c>
      <c r="R112" t="s">
        <v>4786</v>
      </c>
      <c r="S112" t="s">
        <v>3411</v>
      </c>
      <c r="T112">
        <v>13</v>
      </c>
      <c r="U112" t="s">
        <v>4796</v>
      </c>
      <c r="V112">
        <v>37500</v>
      </c>
      <c r="W112">
        <v>55205.23</v>
      </c>
      <c r="X112">
        <v>1.472</v>
      </c>
      <c r="Y112" t="s">
        <v>4784</v>
      </c>
      <c r="Z112">
        <v>2023</v>
      </c>
      <c r="AA112">
        <v>0</v>
      </c>
    </row>
    <row r="113" spans="1:27">
      <c r="A113" t="s">
        <v>4841</v>
      </c>
      <c r="B113" t="s">
        <v>4842</v>
      </c>
      <c r="C113" t="s">
        <v>80</v>
      </c>
      <c r="D113" t="s">
        <v>162</v>
      </c>
      <c r="E113" t="s">
        <v>4843</v>
      </c>
      <c r="F113">
        <v>9979717587</v>
      </c>
      <c r="G113" t="s">
        <v>24</v>
      </c>
      <c r="H113" t="s">
        <v>4807</v>
      </c>
      <c r="I113" t="s">
        <v>4844</v>
      </c>
      <c r="J113" t="s">
        <v>4845</v>
      </c>
      <c r="K113" s="1">
        <v>45246</v>
      </c>
      <c r="L113">
        <v>50171</v>
      </c>
      <c r="M113" s="1">
        <v>45285</v>
      </c>
      <c r="N113" t="s">
        <v>4782</v>
      </c>
      <c r="O113">
        <v>219700</v>
      </c>
      <c r="P113">
        <v>4.2000000000000003E-2</v>
      </c>
      <c r="Q113">
        <v>9227.4</v>
      </c>
      <c r="R113" t="s">
        <v>4791</v>
      </c>
      <c r="S113" t="s">
        <v>3322</v>
      </c>
      <c r="T113">
        <v>45</v>
      </c>
      <c r="U113" t="s">
        <v>4795</v>
      </c>
      <c r="V113">
        <v>37500</v>
      </c>
      <c r="W113">
        <v>246491.46</v>
      </c>
      <c r="X113">
        <v>6.5730000000000004</v>
      </c>
      <c r="Y113" t="s">
        <v>4784</v>
      </c>
      <c r="Z113">
        <v>2023</v>
      </c>
      <c r="AA113">
        <v>1</v>
      </c>
    </row>
    <row r="114" spans="1:27">
      <c r="A114" t="s">
        <v>4841</v>
      </c>
      <c r="B114" t="s">
        <v>4842</v>
      </c>
      <c r="C114" t="s">
        <v>80</v>
      </c>
      <c r="D114" t="s">
        <v>162</v>
      </c>
      <c r="E114" t="s">
        <v>4843</v>
      </c>
      <c r="F114">
        <v>9979717587</v>
      </c>
      <c r="G114" t="s">
        <v>24</v>
      </c>
      <c r="H114" t="s">
        <v>4807</v>
      </c>
      <c r="I114" t="s">
        <v>4844</v>
      </c>
      <c r="J114" t="s">
        <v>4845</v>
      </c>
      <c r="K114" s="1">
        <v>45246</v>
      </c>
      <c r="L114">
        <v>50171</v>
      </c>
      <c r="M114" s="1">
        <v>45329</v>
      </c>
      <c r="N114" t="s">
        <v>4785</v>
      </c>
      <c r="O114">
        <v>20300</v>
      </c>
      <c r="P114">
        <v>4.2999999999999997E-2</v>
      </c>
      <c r="Q114">
        <v>0</v>
      </c>
      <c r="R114" t="s">
        <v>4790</v>
      </c>
      <c r="S114" t="s">
        <v>3348</v>
      </c>
      <c r="T114">
        <v>18</v>
      </c>
      <c r="U114" t="s">
        <v>4795</v>
      </c>
      <c r="V114">
        <v>37500</v>
      </c>
      <c r="W114">
        <v>13133.65</v>
      </c>
      <c r="X114">
        <v>0.35</v>
      </c>
      <c r="Y114" t="s">
        <v>4792</v>
      </c>
      <c r="Z114">
        <v>2024</v>
      </c>
      <c r="AA114">
        <v>0</v>
      </c>
    </row>
    <row r="115" spans="1:27">
      <c r="A115" t="s">
        <v>4841</v>
      </c>
      <c r="B115" t="s">
        <v>4842</v>
      </c>
      <c r="C115" t="s">
        <v>80</v>
      </c>
      <c r="D115" t="s">
        <v>162</v>
      </c>
      <c r="E115" t="s">
        <v>4843</v>
      </c>
      <c r="F115">
        <v>9979717587</v>
      </c>
      <c r="G115" t="s">
        <v>24</v>
      </c>
      <c r="H115" t="s">
        <v>4807</v>
      </c>
      <c r="I115" t="s">
        <v>4844</v>
      </c>
      <c r="J115" t="s">
        <v>4845</v>
      </c>
      <c r="K115" s="1">
        <v>45246</v>
      </c>
      <c r="L115">
        <v>50171</v>
      </c>
      <c r="M115" s="1">
        <v>45385</v>
      </c>
      <c r="N115" t="s">
        <v>4782</v>
      </c>
      <c r="O115">
        <v>115000</v>
      </c>
      <c r="P115">
        <v>8.6999999999999994E-2</v>
      </c>
      <c r="Q115">
        <v>10005</v>
      </c>
      <c r="R115" t="s">
        <v>4788</v>
      </c>
      <c r="S115" t="s">
        <v>3302</v>
      </c>
      <c r="T115">
        <v>38</v>
      </c>
      <c r="U115" t="s">
        <v>4795</v>
      </c>
      <c r="V115">
        <v>37500</v>
      </c>
      <c r="W115">
        <v>112314.88</v>
      </c>
      <c r="X115">
        <v>2.9950000000000001</v>
      </c>
      <c r="Y115" t="s">
        <v>4784</v>
      </c>
      <c r="Z115">
        <v>2024</v>
      </c>
      <c r="AA115">
        <v>1</v>
      </c>
    </row>
    <row r="116" spans="1:27">
      <c r="A116" t="s">
        <v>4841</v>
      </c>
      <c r="B116" t="s">
        <v>4842</v>
      </c>
      <c r="C116" t="s">
        <v>80</v>
      </c>
      <c r="D116" t="s">
        <v>162</v>
      </c>
      <c r="E116" t="s">
        <v>4843</v>
      </c>
      <c r="F116">
        <v>9979717587</v>
      </c>
      <c r="G116" t="s">
        <v>24</v>
      </c>
      <c r="H116" t="s">
        <v>4807</v>
      </c>
      <c r="I116" t="s">
        <v>4844</v>
      </c>
      <c r="J116" t="s">
        <v>4845</v>
      </c>
      <c r="K116" s="1">
        <v>45246</v>
      </c>
      <c r="L116">
        <v>50171</v>
      </c>
      <c r="M116" s="1">
        <v>45387</v>
      </c>
      <c r="N116" t="s">
        <v>4789</v>
      </c>
      <c r="O116">
        <v>22500</v>
      </c>
      <c r="P116">
        <v>8.4000000000000005E-2</v>
      </c>
      <c r="Q116">
        <v>0</v>
      </c>
      <c r="R116" t="s">
        <v>4788</v>
      </c>
      <c r="S116" t="s">
        <v>3416</v>
      </c>
      <c r="T116">
        <v>62</v>
      </c>
      <c r="U116" t="s">
        <v>26</v>
      </c>
      <c r="V116">
        <v>37500</v>
      </c>
      <c r="W116">
        <v>28834</v>
      </c>
      <c r="X116">
        <v>0.76900000000000002</v>
      </c>
      <c r="Y116" t="s">
        <v>4792</v>
      </c>
      <c r="Z116">
        <v>2024</v>
      </c>
      <c r="AA116">
        <v>0</v>
      </c>
    </row>
    <row r="117" spans="1:27">
      <c r="A117" t="s">
        <v>4841</v>
      </c>
      <c r="B117" t="s">
        <v>4842</v>
      </c>
      <c r="C117" t="s">
        <v>80</v>
      </c>
      <c r="D117" t="s">
        <v>162</v>
      </c>
      <c r="E117" t="s">
        <v>4843</v>
      </c>
      <c r="F117">
        <v>9979717587</v>
      </c>
      <c r="G117" t="s">
        <v>24</v>
      </c>
      <c r="H117" t="s">
        <v>4807</v>
      </c>
      <c r="I117" t="s">
        <v>4844</v>
      </c>
      <c r="J117" t="s">
        <v>4845</v>
      </c>
      <c r="K117" s="1">
        <v>45246</v>
      </c>
      <c r="L117">
        <v>50171</v>
      </c>
      <c r="M117" s="1">
        <v>45407</v>
      </c>
      <c r="N117" t="s">
        <v>4797</v>
      </c>
      <c r="O117">
        <v>214700</v>
      </c>
      <c r="P117">
        <v>5.7000000000000002E-2</v>
      </c>
      <c r="Q117">
        <v>0</v>
      </c>
      <c r="R117" t="s">
        <v>4794</v>
      </c>
      <c r="S117" t="s">
        <v>3348</v>
      </c>
      <c r="T117">
        <v>89</v>
      </c>
      <c r="U117" t="s">
        <v>4795</v>
      </c>
      <c r="V117">
        <v>37500</v>
      </c>
      <c r="W117">
        <v>125867.89</v>
      </c>
      <c r="X117">
        <v>3.3559999999999999</v>
      </c>
      <c r="Y117" t="s">
        <v>4784</v>
      </c>
      <c r="Z117">
        <v>2024</v>
      </c>
      <c r="AA117">
        <v>0</v>
      </c>
    </row>
    <row r="118" spans="1:27">
      <c r="A118" t="s">
        <v>4841</v>
      </c>
      <c r="B118" t="s">
        <v>4842</v>
      </c>
      <c r="C118" t="s">
        <v>80</v>
      </c>
      <c r="D118" t="s">
        <v>162</v>
      </c>
      <c r="E118" t="s">
        <v>4843</v>
      </c>
      <c r="F118">
        <v>9979717587</v>
      </c>
      <c r="G118" t="s">
        <v>24</v>
      </c>
      <c r="H118" t="s">
        <v>4807</v>
      </c>
      <c r="I118" t="s">
        <v>4844</v>
      </c>
      <c r="J118" t="s">
        <v>4845</v>
      </c>
      <c r="K118" s="1">
        <v>45246</v>
      </c>
      <c r="L118">
        <v>50171</v>
      </c>
      <c r="M118" s="1">
        <v>45456</v>
      </c>
      <c r="N118" t="s">
        <v>4782</v>
      </c>
      <c r="O118">
        <v>246400</v>
      </c>
      <c r="P118">
        <v>0.112</v>
      </c>
      <c r="Q118">
        <v>27596.799999999999</v>
      </c>
      <c r="R118" t="s">
        <v>4791</v>
      </c>
      <c r="S118" t="s">
        <v>3310</v>
      </c>
      <c r="T118">
        <v>20</v>
      </c>
      <c r="U118" t="s">
        <v>4796</v>
      </c>
      <c r="V118">
        <v>37500</v>
      </c>
      <c r="W118">
        <v>307609.75</v>
      </c>
      <c r="X118">
        <v>8.2029999999999994</v>
      </c>
      <c r="Y118" t="s">
        <v>4784</v>
      </c>
      <c r="Z118">
        <v>2024</v>
      </c>
      <c r="AA118">
        <v>1</v>
      </c>
    </row>
    <row r="119" spans="1:27">
      <c r="A119" t="s">
        <v>4841</v>
      </c>
      <c r="B119" t="s">
        <v>4842</v>
      </c>
      <c r="C119" t="s">
        <v>80</v>
      </c>
      <c r="D119" t="s">
        <v>162</v>
      </c>
      <c r="E119" t="s">
        <v>4843</v>
      </c>
      <c r="F119">
        <v>9979717587</v>
      </c>
      <c r="G119" t="s">
        <v>24</v>
      </c>
      <c r="H119" t="s">
        <v>4807</v>
      </c>
      <c r="I119" t="s">
        <v>4844</v>
      </c>
      <c r="J119" t="s">
        <v>4845</v>
      </c>
      <c r="K119" s="1">
        <v>45246</v>
      </c>
      <c r="L119">
        <v>50171</v>
      </c>
      <c r="M119" s="1">
        <v>45542</v>
      </c>
      <c r="N119" t="s">
        <v>4782</v>
      </c>
      <c r="O119">
        <v>220800</v>
      </c>
      <c r="P119">
        <v>4.2999999999999997E-2</v>
      </c>
      <c r="Q119">
        <v>9494.4</v>
      </c>
      <c r="R119" t="s">
        <v>4786</v>
      </c>
      <c r="S119" t="s">
        <v>3416</v>
      </c>
      <c r="T119">
        <v>37</v>
      </c>
      <c r="U119" t="s">
        <v>4795</v>
      </c>
      <c r="V119">
        <v>37500</v>
      </c>
      <c r="W119">
        <v>265164.69</v>
      </c>
      <c r="X119">
        <v>7.0709999999999997</v>
      </c>
      <c r="Y119" t="s">
        <v>4784</v>
      </c>
      <c r="Z119">
        <v>2024</v>
      </c>
      <c r="AA119">
        <v>1</v>
      </c>
    </row>
    <row r="120" spans="1:27">
      <c r="A120" t="s">
        <v>4841</v>
      </c>
      <c r="B120" t="s">
        <v>4842</v>
      </c>
      <c r="C120" t="s">
        <v>80</v>
      </c>
      <c r="D120" t="s">
        <v>162</v>
      </c>
      <c r="E120" t="s">
        <v>4843</v>
      </c>
      <c r="F120">
        <v>9979717587</v>
      </c>
      <c r="G120" t="s">
        <v>24</v>
      </c>
      <c r="H120" t="s">
        <v>4807</v>
      </c>
      <c r="I120" t="s">
        <v>4844</v>
      </c>
      <c r="J120" t="s">
        <v>4845</v>
      </c>
      <c r="K120" s="1">
        <v>45246</v>
      </c>
      <c r="L120">
        <v>50171</v>
      </c>
      <c r="M120" s="1">
        <v>45567</v>
      </c>
      <c r="N120" t="s">
        <v>4797</v>
      </c>
      <c r="O120">
        <v>129800</v>
      </c>
      <c r="P120">
        <v>0.11799999999999999</v>
      </c>
      <c r="Q120">
        <v>0</v>
      </c>
      <c r="R120" t="s">
        <v>4798</v>
      </c>
      <c r="S120" t="s">
        <v>3302</v>
      </c>
      <c r="T120">
        <v>48</v>
      </c>
      <c r="U120" t="s">
        <v>4787</v>
      </c>
      <c r="V120">
        <v>37500</v>
      </c>
      <c r="W120">
        <v>163645.62</v>
      </c>
      <c r="X120">
        <v>4.3639999999999999</v>
      </c>
      <c r="Y120" t="s">
        <v>4784</v>
      </c>
      <c r="Z120">
        <v>2024</v>
      </c>
      <c r="AA120">
        <v>0</v>
      </c>
    </row>
    <row r="121" spans="1:27">
      <c r="A121" t="s">
        <v>4841</v>
      </c>
      <c r="B121" t="s">
        <v>4842</v>
      </c>
      <c r="C121" t="s">
        <v>80</v>
      </c>
      <c r="D121" t="s">
        <v>162</v>
      </c>
      <c r="E121" t="s">
        <v>4843</v>
      </c>
      <c r="F121">
        <v>9979717587</v>
      </c>
      <c r="G121" t="s">
        <v>24</v>
      </c>
      <c r="H121" t="s">
        <v>4807</v>
      </c>
      <c r="I121" t="s">
        <v>4844</v>
      </c>
      <c r="J121" t="s">
        <v>4845</v>
      </c>
      <c r="K121" s="1">
        <v>45246</v>
      </c>
      <c r="L121">
        <v>50171</v>
      </c>
      <c r="M121" s="1">
        <v>45653</v>
      </c>
      <c r="N121" t="s">
        <v>4785</v>
      </c>
      <c r="O121">
        <v>165800</v>
      </c>
      <c r="P121">
        <v>9.1999999999999998E-2</v>
      </c>
      <c r="Q121">
        <v>0</v>
      </c>
      <c r="R121" t="s">
        <v>4783</v>
      </c>
      <c r="S121" t="s">
        <v>3411</v>
      </c>
      <c r="T121">
        <v>69</v>
      </c>
      <c r="U121" t="s">
        <v>4787</v>
      </c>
      <c r="V121">
        <v>37500</v>
      </c>
      <c r="W121">
        <v>145176.41</v>
      </c>
      <c r="X121">
        <v>3.871</v>
      </c>
      <c r="Y121" t="s">
        <v>4784</v>
      </c>
      <c r="Z121">
        <v>2024</v>
      </c>
      <c r="AA121">
        <v>0</v>
      </c>
    </row>
    <row r="122" spans="1:27">
      <c r="A122" t="s">
        <v>4846</v>
      </c>
      <c r="B122" t="s">
        <v>4847</v>
      </c>
      <c r="C122" t="s">
        <v>80</v>
      </c>
      <c r="D122" t="s">
        <v>246</v>
      </c>
      <c r="E122" t="s">
        <v>4848</v>
      </c>
      <c r="F122">
        <v>9687039711</v>
      </c>
      <c r="G122" t="s">
        <v>46</v>
      </c>
      <c r="H122" t="s">
        <v>4823</v>
      </c>
      <c r="I122" t="s">
        <v>4824</v>
      </c>
      <c r="J122" t="s">
        <v>4829</v>
      </c>
      <c r="K122" s="1">
        <v>43715</v>
      </c>
      <c r="L122">
        <v>34476</v>
      </c>
      <c r="M122" s="1">
        <v>44620</v>
      </c>
      <c r="N122" t="s">
        <v>4797</v>
      </c>
      <c r="O122">
        <v>218500</v>
      </c>
      <c r="P122">
        <v>4.1000000000000002E-2</v>
      </c>
      <c r="Q122">
        <v>0</v>
      </c>
      <c r="R122" t="s">
        <v>4786</v>
      </c>
      <c r="S122" t="s">
        <v>3411</v>
      </c>
      <c r="T122">
        <v>89</v>
      </c>
      <c r="U122" t="s">
        <v>4796</v>
      </c>
      <c r="V122">
        <v>41666.67</v>
      </c>
      <c r="W122">
        <v>244554.47</v>
      </c>
      <c r="X122">
        <v>5.8689999999999998</v>
      </c>
      <c r="Y122" t="s">
        <v>4784</v>
      </c>
      <c r="Z122">
        <v>2022</v>
      </c>
      <c r="AA122">
        <v>0</v>
      </c>
    </row>
    <row r="123" spans="1:27">
      <c r="A123" t="s">
        <v>4846</v>
      </c>
      <c r="B123" t="s">
        <v>4847</v>
      </c>
      <c r="C123" t="s">
        <v>80</v>
      </c>
      <c r="D123" t="s">
        <v>246</v>
      </c>
      <c r="E123" t="s">
        <v>4848</v>
      </c>
      <c r="F123">
        <v>9687039711</v>
      </c>
      <c r="G123" t="s">
        <v>46</v>
      </c>
      <c r="H123" t="s">
        <v>4823</v>
      </c>
      <c r="I123" t="s">
        <v>4824</v>
      </c>
      <c r="J123" t="s">
        <v>4829</v>
      </c>
      <c r="K123" s="1">
        <v>43715</v>
      </c>
      <c r="L123">
        <v>34476</v>
      </c>
      <c r="M123" s="1">
        <v>44701</v>
      </c>
      <c r="N123" t="s">
        <v>4782</v>
      </c>
      <c r="O123">
        <v>219800</v>
      </c>
      <c r="P123">
        <v>8.2000000000000003E-2</v>
      </c>
      <c r="Q123">
        <v>18023.599999999999</v>
      </c>
      <c r="R123" t="s">
        <v>4791</v>
      </c>
      <c r="S123" t="s">
        <v>3416</v>
      </c>
      <c r="T123">
        <v>28</v>
      </c>
      <c r="U123" t="s">
        <v>4796</v>
      </c>
      <c r="V123">
        <v>41666.67</v>
      </c>
      <c r="W123">
        <v>300650.65999999997</v>
      </c>
      <c r="X123">
        <v>7.2160000000000002</v>
      </c>
      <c r="Y123" t="s">
        <v>4784</v>
      </c>
      <c r="Z123">
        <v>2022</v>
      </c>
      <c r="AA123">
        <v>1</v>
      </c>
    </row>
    <row r="124" spans="1:27">
      <c r="A124" t="s">
        <v>4846</v>
      </c>
      <c r="B124" t="s">
        <v>4847</v>
      </c>
      <c r="C124" t="s">
        <v>80</v>
      </c>
      <c r="D124" t="s">
        <v>246</v>
      </c>
      <c r="E124" t="s">
        <v>4848</v>
      </c>
      <c r="F124">
        <v>9687039711</v>
      </c>
      <c r="G124" t="s">
        <v>46</v>
      </c>
      <c r="H124" t="s">
        <v>4823</v>
      </c>
      <c r="I124" t="s">
        <v>4824</v>
      </c>
      <c r="J124" t="s">
        <v>4829</v>
      </c>
      <c r="K124" s="1">
        <v>43715</v>
      </c>
      <c r="L124">
        <v>34476</v>
      </c>
      <c r="M124" s="1">
        <v>44846</v>
      </c>
      <c r="N124" t="s">
        <v>4789</v>
      </c>
      <c r="O124">
        <v>238200</v>
      </c>
      <c r="P124">
        <v>0.11899999999999999</v>
      </c>
      <c r="Q124">
        <v>0</v>
      </c>
      <c r="R124" t="s">
        <v>4783</v>
      </c>
      <c r="S124" t="s">
        <v>3411</v>
      </c>
      <c r="T124">
        <v>44</v>
      </c>
      <c r="U124" t="s">
        <v>4796</v>
      </c>
      <c r="V124">
        <v>41666.67</v>
      </c>
      <c r="W124">
        <v>271287.27</v>
      </c>
      <c r="X124">
        <v>6.5110000000000001</v>
      </c>
      <c r="Y124" t="s">
        <v>4784</v>
      </c>
      <c r="Z124">
        <v>2022</v>
      </c>
      <c r="AA124">
        <v>0</v>
      </c>
    </row>
    <row r="125" spans="1:27">
      <c r="A125" t="s">
        <v>4846</v>
      </c>
      <c r="B125" t="s">
        <v>4847</v>
      </c>
      <c r="C125" t="s">
        <v>80</v>
      </c>
      <c r="D125" t="s">
        <v>246</v>
      </c>
      <c r="E125" t="s">
        <v>4848</v>
      </c>
      <c r="F125">
        <v>9687039711</v>
      </c>
      <c r="G125" t="s">
        <v>46</v>
      </c>
      <c r="H125" t="s">
        <v>4823</v>
      </c>
      <c r="I125" t="s">
        <v>4824</v>
      </c>
      <c r="J125" t="s">
        <v>4829</v>
      </c>
      <c r="K125" s="1">
        <v>43715</v>
      </c>
      <c r="L125">
        <v>34476</v>
      </c>
      <c r="M125" s="1">
        <v>44913</v>
      </c>
      <c r="N125" t="s">
        <v>4785</v>
      </c>
      <c r="O125">
        <v>6100</v>
      </c>
      <c r="P125">
        <v>0.11799999999999999</v>
      </c>
      <c r="Q125">
        <v>0</v>
      </c>
      <c r="R125" t="s">
        <v>4791</v>
      </c>
      <c r="S125" t="s">
        <v>3310</v>
      </c>
      <c r="T125">
        <v>65</v>
      </c>
      <c r="U125" t="s">
        <v>26</v>
      </c>
      <c r="V125">
        <v>41666.67</v>
      </c>
      <c r="W125">
        <v>5061.88</v>
      </c>
      <c r="X125">
        <v>0.121</v>
      </c>
      <c r="Y125" t="s">
        <v>4792</v>
      </c>
      <c r="Z125">
        <v>2022</v>
      </c>
      <c r="AA125">
        <v>0</v>
      </c>
    </row>
    <row r="126" spans="1:27">
      <c r="A126" t="s">
        <v>4846</v>
      </c>
      <c r="B126" t="s">
        <v>4847</v>
      </c>
      <c r="C126" t="s">
        <v>80</v>
      </c>
      <c r="D126" t="s">
        <v>246</v>
      </c>
      <c r="E126" t="s">
        <v>4848</v>
      </c>
      <c r="F126">
        <v>9687039711</v>
      </c>
      <c r="G126" t="s">
        <v>46</v>
      </c>
      <c r="H126" t="s">
        <v>4823</v>
      </c>
      <c r="I126" t="s">
        <v>4824</v>
      </c>
      <c r="J126" t="s">
        <v>4829</v>
      </c>
      <c r="K126" s="1">
        <v>43715</v>
      </c>
      <c r="L126">
        <v>34476</v>
      </c>
      <c r="M126" s="1">
        <v>44941</v>
      </c>
      <c r="N126" t="s">
        <v>4789</v>
      </c>
      <c r="O126">
        <v>181600</v>
      </c>
      <c r="P126">
        <v>0.11600000000000001</v>
      </c>
      <c r="Q126">
        <v>0</v>
      </c>
      <c r="R126" t="s">
        <v>4786</v>
      </c>
      <c r="S126" t="s">
        <v>3411</v>
      </c>
      <c r="T126">
        <v>46</v>
      </c>
      <c r="U126" t="s">
        <v>26</v>
      </c>
      <c r="V126">
        <v>41666.67</v>
      </c>
      <c r="W126">
        <v>160113.57</v>
      </c>
      <c r="X126">
        <v>3.843</v>
      </c>
      <c r="Y126" t="s">
        <v>4784</v>
      </c>
      <c r="Z126">
        <v>2023</v>
      </c>
      <c r="AA126">
        <v>0</v>
      </c>
    </row>
    <row r="127" spans="1:27">
      <c r="A127" t="s">
        <v>4846</v>
      </c>
      <c r="B127" t="s">
        <v>4847</v>
      </c>
      <c r="C127" t="s">
        <v>80</v>
      </c>
      <c r="D127" t="s">
        <v>246</v>
      </c>
      <c r="E127" t="s">
        <v>4848</v>
      </c>
      <c r="F127">
        <v>9687039711</v>
      </c>
      <c r="G127" t="s">
        <v>46</v>
      </c>
      <c r="H127" t="s">
        <v>4823</v>
      </c>
      <c r="I127" t="s">
        <v>4824</v>
      </c>
      <c r="J127" t="s">
        <v>4829</v>
      </c>
      <c r="K127" s="1">
        <v>43715</v>
      </c>
      <c r="L127">
        <v>34476</v>
      </c>
      <c r="M127" s="1">
        <v>44982</v>
      </c>
      <c r="N127" t="s">
        <v>4785</v>
      </c>
      <c r="O127">
        <v>241200</v>
      </c>
      <c r="P127">
        <v>4.8000000000000001E-2</v>
      </c>
      <c r="Q127">
        <v>0</v>
      </c>
      <c r="R127" t="s">
        <v>4794</v>
      </c>
      <c r="S127" t="s">
        <v>3317</v>
      </c>
      <c r="T127">
        <v>4</v>
      </c>
      <c r="U127" t="s">
        <v>4787</v>
      </c>
      <c r="V127">
        <v>41666.67</v>
      </c>
      <c r="W127">
        <v>152197.51</v>
      </c>
      <c r="X127">
        <v>3.653</v>
      </c>
      <c r="Y127" t="s">
        <v>4784</v>
      </c>
      <c r="Z127">
        <v>2023</v>
      </c>
      <c r="AA127">
        <v>0</v>
      </c>
    </row>
    <row r="128" spans="1:27">
      <c r="A128" t="s">
        <v>4846</v>
      </c>
      <c r="B128" t="s">
        <v>4847</v>
      </c>
      <c r="C128" t="s">
        <v>80</v>
      </c>
      <c r="D128" t="s">
        <v>246</v>
      </c>
      <c r="E128" t="s">
        <v>4848</v>
      </c>
      <c r="F128">
        <v>9687039711</v>
      </c>
      <c r="G128" t="s">
        <v>46</v>
      </c>
      <c r="H128" t="s">
        <v>4823</v>
      </c>
      <c r="I128" t="s">
        <v>4824</v>
      </c>
      <c r="J128" t="s">
        <v>4829</v>
      </c>
      <c r="K128" s="1">
        <v>43715</v>
      </c>
      <c r="L128">
        <v>34476</v>
      </c>
      <c r="M128" s="1">
        <v>45080</v>
      </c>
      <c r="N128" t="s">
        <v>4782</v>
      </c>
      <c r="O128">
        <v>22400</v>
      </c>
      <c r="P128">
        <v>5.7000000000000002E-2</v>
      </c>
      <c r="Q128">
        <v>1276.8</v>
      </c>
      <c r="R128" t="s">
        <v>4791</v>
      </c>
      <c r="S128" t="s">
        <v>3411</v>
      </c>
      <c r="T128">
        <v>13</v>
      </c>
      <c r="U128" t="s">
        <v>4787</v>
      </c>
      <c r="V128">
        <v>41666.67</v>
      </c>
      <c r="W128">
        <v>29749.18</v>
      </c>
      <c r="X128">
        <v>0.71399999999999997</v>
      </c>
      <c r="Y128" t="s">
        <v>4792</v>
      </c>
      <c r="Z128">
        <v>2023</v>
      </c>
      <c r="AA128">
        <v>1</v>
      </c>
    </row>
    <row r="129" spans="1:27">
      <c r="A129" t="s">
        <v>4846</v>
      </c>
      <c r="B129" t="s">
        <v>4847</v>
      </c>
      <c r="C129" t="s">
        <v>80</v>
      </c>
      <c r="D129" t="s">
        <v>246</v>
      </c>
      <c r="E129" t="s">
        <v>4848</v>
      </c>
      <c r="F129">
        <v>9687039711</v>
      </c>
      <c r="G129" t="s">
        <v>46</v>
      </c>
      <c r="H129" t="s">
        <v>4823</v>
      </c>
      <c r="I129" t="s">
        <v>4824</v>
      </c>
      <c r="J129" t="s">
        <v>4829</v>
      </c>
      <c r="K129" s="1">
        <v>43715</v>
      </c>
      <c r="L129">
        <v>34476</v>
      </c>
      <c r="M129" s="1">
        <v>45130</v>
      </c>
      <c r="N129" t="s">
        <v>4785</v>
      </c>
      <c r="O129">
        <v>96200</v>
      </c>
      <c r="P129">
        <v>6.2E-2</v>
      </c>
      <c r="Q129">
        <v>0</v>
      </c>
      <c r="R129" t="s">
        <v>4798</v>
      </c>
      <c r="S129" t="s">
        <v>3416</v>
      </c>
      <c r="T129">
        <v>79</v>
      </c>
      <c r="U129" t="s">
        <v>4796</v>
      </c>
      <c r="V129">
        <v>41666.67</v>
      </c>
      <c r="W129">
        <v>91815.039999999994</v>
      </c>
      <c r="X129">
        <v>2.2040000000000002</v>
      </c>
      <c r="Y129" t="s">
        <v>4784</v>
      </c>
      <c r="Z129">
        <v>2023</v>
      </c>
      <c r="AA129">
        <v>0</v>
      </c>
    </row>
    <row r="130" spans="1:27">
      <c r="A130" t="s">
        <v>4846</v>
      </c>
      <c r="B130" t="s">
        <v>4847</v>
      </c>
      <c r="C130" t="s">
        <v>80</v>
      </c>
      <c r="D130" t="s">
        <v>246</v>
      </c>
      <c r="E130" t="s">
        <v>4848</v>
      </c>
      <c r="F130">
        <v>9687039711</v>
      </c>
      <c r="G130" t="s">
        <v>46</v>
      </c>
      <c r="H130" t="s">
        <v>4823</v>
      </c>
      <c r="I130" t="s">
        <v>4824</v>
      </c>
      <c r="J130" t="s">
        <v>4829</v>
      </c>
      <c r="K130" s="1">
        <v>43715</v>
      </c>
      <c r="L130">
        <v>34476</v>
      </c>
      <c r="M130" s="1">
        <v>45191</v>
      </c>
      <c r="N130" t="s">
        <v>4782</v>
      </c>
      <c r="O130">
        <v>60000</v>
      </c>
      <c r="P130">
        <v>4.2000000000000003E-2</v>
      </c>
      <c r="Q130">
        <v>2520</v>
      </c>
      <c r="R130" t="s">
        <v>4791</v>
      </c>
      <c r="S130" t="s">
        <v>3322</v>
      </c>
      <c r="T130">
        <v>89</v>
      </c>
      <c r="U130" t="s">
        <v>4787</v>
      </c>
      <c r="V130">
        <v>41666.67</v>
      </c>
      <c r="W130">
        <v>34197.71</v>
      </c>
      <c r="X130">
        <v>0.82099999999999995</v>
      </c>
      <c r="Y130" t="s">
        <v>4792</v>
      </c>
      <c r="Z130">
        <v>2023</v>
      </c>
      <c r="AA130">
        <v>1</v>
      </c>
    </row>
    <row r="131" spans="1:27">
      <c r="A131" t="s">
        <v>4846</v>
      </c>
      <c r="B131" t="s">
        <v>4847</v>
      </c>
      <c r="C131" t="s">
        <v>80</v>
      </c>
      <c r="D131" t="s">
        <v>246</v>
      </c>
      <c r="E131" t="s">
        <v>4848</v>
      </c>
      <c r="F131">
        <v>9687039711</v>
      </c>
      <c r="G131" t="s">
        <v>46</v>
      </c>
      <c r="H131" t="s">
        <v>4823</v>
      </c>
      <c r="I131" t="s">
        <v>4824</v>
      </c>
      <c r="J131" t="s">
        <v>4829</v>
      </c>
      <c r="K131" s="1">
        <v>43715</v>
      </c>
      <c r="L131">
        <v>34476</v>
      </c>
      <c r="M131" s="1">
        <v>45553</v>
      </c>
      <c r="N131" t="s">
        <v>4789</v>
      </c>
      <c r="O131">
        <v>16100</v>
      </c>
      <c r="P131">
        <v>4.8000000000000001E-2</v>
      </c>
      <c r="Q131">
        <v>0</v>
      </c>
      <c r="R131" t="s">
        <v>4791</v>
      </c>
      <c r="S131" t="s">
        <v>3411</v>
      </c>
      <c r="T131">
        <v>85</v>
      </c>
      <c r="U131" t="s">
        <v>4787</v>
      </c>
      <c r="V131">
        <v>41666.67</v>
      </c>
      <c r="W131">
        <v>14847</v>
      </c>
      <c r="X131">
        <v>0.35599999999999998</v>
      </c>
      <c r="Y131" t="s">
        <v>4792</v>
      </c>
      <c r="Z131">
        <v>2024</v>
      </c>
      <c r="AA131">
        <v>0</v>
      </c>
    </row>
    <row r="132" spans="1:27">
      <c r="A132" t="s">
        <v>4849</v>
      </c>
      <c r="B132" t="s">
        <v>4850</v>
      </c>
      <c r="C132" t="s">
        <v>61</v>
      </c>
      <c r="D132" t="s">
        <v>112</v>
      </c>
      <c r="E132" t="s">
        <v>4851</v>
      </c>
      <c r="F132">
        <v>9663111309</v>
      </c>
      <c r="G132" t="s">
        <v>35</v>
      </c>
      <c r="H132" t="s">
        <v>4802</v>
      </c>
      <c r="I132" t="s">
        <v>4808</v>
      </c>
      <c r="J132" t="s">
        <v>4829</v>
      </c>
      <c r="K132" s="1">
        <v>43841</v>
      </c>
      <c r="L132">
        <v>33622</v>
      </c>
      <c r="M132" s="1">
        <v>44969</v>
      </c>
      <c r="N132" t="s">
        <v>4782</v>
      </c>
      <c r="O132">
        <v>57500</v>
      </c>
      <c r="P132">
        <v>8.4000000000000005E-2</v>
      </c>
      <c r="Q132">
        <v>4830</v>
      </c>
      <c r="R132" t="s">
        <v>4790</v>
      </c>
      <c r="S132" t="s">
        <v>3302</v>
      </c>
      <c r="T132">
        <v>30</v>
      </c>
      <c r="U132" t="s">
        <v>26</v>
      </c>
      <c r="V132">
        <v>35000</v>
      </c>
      <c r="W132">
        <v>66279.13</v>
      </c>
      <c r="X132">
        <v>1.8939999999999999</v>
      </c>
      <c r="Y132" t="s">
        <v>4784</v>
      </c>
      <c r="Z132">
        <v>2023</v>
      </c>
      <c r="AA132">
        <v>1</v>
      </c>
    </row>
    <row r="133" spans="1:27">
      <c r="A133" t="s">
        <v>4849</v>
      </c>
      <c r="B133" t="s">
        <v>4850</v>
      </c>
      <c r="C133" t="s">
        <v>61</v>
      </c>
      <c r="D133" t="s">
        <v>112</v>
      </c>
      <c r="E133" t="s">
        <v>4851</v>
      </c>
      <c r="F133">
        <v>9663111309</v>
      </c>
      <c r="G133" t="s">
        <v>35</v>
      </c>
      <c r="H133" t="s">
        <v>4802</v>
      </c>
      <c r="I133" t="s">
        <v>4808</v>
      </c>
      <c r="J133" t="s">
        <v>4829</v>
      </c>
      <c r="K133" s="1">
        <v>43841</v>
      </c>
      <c r="L133">
        <v>33622</v>
      </c>
      <c r="M133" s="1">
        <v>45132</v>
      </c>
      <c r="N133" t="s">
        <v>4797</v>
      </c>
      <c r="O133">
        <v>205800</v>
      </c>
      <c r="P133">
        <v>8.2000000000000003E-2</v>
      </c>
      <c r="Q133">
        <v>0</v>
      </c>
      <c r="R133" t="s">
        <v>4788</v>
      </c>
      <c r="S133" t="s">
        <v>3411</v>
      </c>
      <c r="T133">
        <v>83</v>
      </c>
      <c r="U133" t="s">
        <v>26</v>
      </c>
      <c r="V133">
        <v>35000</v>
      </c>
      <c r="W133">
        <v>168856.34</v>
      </c>
      <c r="X133">
        <v>4.8239999999999998</v>
      </c>
      <c r="Y133" t="s">
        <v>4784</v>
      </c>
      <c r="Z133">
        <v>2023</v>
      </c>
      <c r="AA133">
        <v>0</v>
      </c>
    </row>
    <row r="134" spans="1:27">
      <c r="A134" t="s">
        <v>4849</v>
      </c>
      <c r="B134" t="s">
        <v>4850</v>
      </c>
      <c r="C134" t="s">
        <v>61</v>
      </c>
      <c r="D134" t="s">
        <v>112</v>
      </c>
      <c r="E134" t="s">
        <v>4851</v>
      </c>
      <c r="F134">
        <v>9663111309</v>
      </c>
      <c r="G134" t="s">
        <v>35</v>
      </c>
      <c r="H134" t="s">
        <v>4802</v>
      </c>
      <c r="I134" t="s">
        <v>4808</v>
      </c>
      <c r="J134" t="s">
        <v>4829</v>
      </c>
      <c r="K134" s="1">
        <v>43841</v>
      </c>
      <c r="L134">
        <v>33622</v>
      </c>
      <c r="M134" s="1">
        <v>45157</v>
      </c>
      <c r="N134" t="s">
        <v>4789</v>
      </c>
      <c r="O134">
        <v>54500</v>
      </c>
      <c r="P134">
        <v>0.107</v>
      </c>
      <c r="Q134">
        <v>0</v>
      </c>
      <c r="R134" t="s">
        <v>4798</v>
      </c>
      <c r="S134" t="s">
        <v>3411</v>
      </c>
      <c r="T134">
        <v>61</v>
      </c>
      <c r="U134" t="s">
        <v>4795</v>
      </c>
      <c r="V134">
        <v>35000</v>
      </c>
      <c r="W134">
        <v>36044.53</v>
      </c>
      <c r="X134">
        <v>1.03</v>
      </c>
      <c r="Y134" t="s">
        <v>4793</v>
      </c>
      <c r="Z134">
        <v>2023</v>
      </c>
      <c r="AA134">
        <v>0</v>
      </c>
    </row>
    <row r="135" spans="1:27">
      <c r="A135" t="s">
        <v>4849</v>
      </c>
      <c r="B135" t="s">
        <v>4850</v>
      </c>
      <c r="C135" t="s">
        <v>61</v>
      </c>
      <c r="D135" t="s">
        <v>112</v>
      </c>
      <c r="E135" t="s">
        <v>4851</v>
      </c>
      <c r="F135">
        <v>9663111309</v>
      </c>
      <c r="G135" t="s">
        <v>35</v>
      </c>
      <c r="H135" t="s">
        <v>4802</v>
      </c>
      <c r="I135" t="s">
        <v>4808</v>
      </c>
      <c r="J135" t="s">
        <v>4829</v>
      </c>
      <c r="K135" s="1">
        <v>43841</v>
      </c>
      <c r="L135">
        <v>33622</v>
      </c>
      <c r="M135" s="1">
        <v>45350</v>
      </c>
      <c r="N135" t="s">
        <v>4782</v>
      </c>
      <c r="O135">
        <v>124800</v>
      </c>
      <c r="P135">
        <v>8.4000000000000005E-2</v>
      </c>
      <c r="Q135">
        <v>10483.200000000001</v>
      </c>
      <c r="R135" t="s">
        <v>4788</v>
      </c>
      <c r="S135" t="s">
        <v>3348</v>
      </c>
      <c r="T135">
        <v>57</v>
      </c>
      <c r="U135" t="s">
        <v>4796</v>
      </c>
      <c r="V135">
        <v>35000</v>
      </c>
      <c r="W135">
        <v>124615.83</v>
      </c>
      <c r="X135">
        <v>3.56</v>
      </c>
      <c r="Y135" t="s">
        <v>4784</v>
      </c>
      <c r="Z135">
        <v>2024</v>
      </c>
      <c r="AA135">
        <v>1</v>
      </c>
    </row>
    <row r="136" spans="1:27">
      <c r="A136" t="s">
        <v>4849</v>
      </c>
      <c r="B136" t="s">
        <v>4850</v>
      </c>
      <c r="C136" t="s">
        <v>61</v>
      </c>
      <c r="D136" t="s">
        <v>112</v>
      </c>
      <c r="E136" t="s">
        <v>4851</v>
      </c>
      <c r="F136">
        <v>9663111309</v>
      </c>
      <c r="G136" t="s">
        <v>35</v>
      </c>
      <c r="H136" t="s">
        <v>4802</v>
      </c>
      <c r="I136" t="s">
        <v>4808</v>
      </c>
      <c r="J136" t="s">
        <v>4829</v>
      </c>
      <c r="K136" s="1">
        <v>43841</v>
      </c>
      <c r="L136">
        <v>33622</v>
      </c>
      <c r="M136" s="1">
        <v>45370</v>
      </c>
      <c r="N136" t="s">
        <v>4789</v>
      </c>
      <c r="O136">
        <v>187200</v>
      </c>
      <c r="P136">
        <v>8.3000000000000004E-2</v>
      </c>
      <c r="Q136">
        <v>0</v>
      </c>
      <c r="R136" t="s">
        <v>4791</v>
      </c>
      <c r="S136" t="s">
        <v>3348</v>
      </c>
      <c r="T136">
        <v>22</v>
      </c>
      <c r="U136" t="s">
        <v>4787</v>
      </c>
      <c r="V136">
        <v>35000</v>
      </c>
      <c r="W136">
        <v>154877.85999999999</v>
      </c>
      <c r="X136">
        <v>4.4249999999999998</v>
      </c>
      <c r="Y136" t="s">
        <v>4784</v>
      </c>
      <c r="Z136">
        <v>2024</v>
      </c>
      <c r="AA136">
        <v>0</v>
      </c>
    </row>
    <row r="137" spans="1:27">
      <c r="A137" t="s">
        <v>4849</v>
      </c>
      <c r="B137" t="s">
        <v>4850</v>
      </c>
      <c r="C137" t="s">
        <v>61</v>
      </c>
      <c r="D137" t="s">
        <v>112</v>
      </c>
      <c r="E137" t="s">
        <v>4851</v>
      </c>
      <c r="F137">
        <v>9663111309</v>
      </c>
      <c r="G137" t="s">
        <v>35</v>
      </c>
      <c r="H137" t="s">
        <v>4802</v>
      </c>
      <c r="I137" t="s">
        <v>4808</v>
      </c>
      <c r="J137" t="s">
        <v>4829</v>
      </c>
      <c r="K137" s="1">
        <v>43841</v>
      </c>
      <c r="L137">
        <v>33622</v>
      </c>
      <c r="M137" s="1">
        <v>45390</v>
      </c>
      <c r="N137" t="s">
        <v>4789</v>
      </c>
      <c r="O137">
        <v>139100</v>
      </c>
      <c r="P137">
        <v>5.5E-2</v>
      </c>
      <c r="Q137">
        <v>0</v>
      </c>
      <c r="R137" t="s">
        <v>4798</v>
      </c>
      <c r="S137" t="s">
        <v>3322</v>
      </c>
      <c r="T137">
        <v>14</v>
      </c>
      <c r="U137" t="s">
        <v>4787</v>
      </c>
      <c r="V137">
        <v>35000</v>
      </c>
      <c r="W137">
        <v>100933.86</v>
      </c>
      <c r="X137">
        <v>2.8839999999999999</v>
      </c>
      <c r="Y137" t="s">
        <v>4784</v>
      </c>
      <c r="Z137">
        <v>2024</v>
      </c>
      <c r="AA137">
        <v>0</v>
      </c>
    </row>
    <row r="138" spans="1:27">
      <c r="A138" t="s">
        <v>4849</v>
      </c>
      <c r="B138" t="s">
        <v>4850</v>
      </c>
      <c r="C138" t="s">
        <v>61</v>
      </c>
      <c r="D138" t="s">
        <v>112</v>
      </c>
      <c r="E138" t="s">
        <v>4851</v>
      </c>
      <c r="F138">
        <v>9663111309</v>
      </c>
      <c r="G138" t="s">
        <v>35</v>
      </c>
      <c r="H138" t="s">
        <v>4802</v>
      </c>
      <c r="I138" t="s">
        <v>4808</v>
      </c>
      <c r="J138" t="s">
        <v>4829</v>
      </c>
      <c r="K138" s="1">
        <v>43841</v>
      </c>
      <c r="L138">
        <v>33622</v>
      </c>
      <c r="M138" s="1">
        <v>45568</v>
      </c>
      <c r="N138" t="s">
        <v>4797</v>
      </c>
      <c r="O138">
        <v>32600</v>
      </c>
      <c r="P138">
        <v>6.6000000000000003E-2</v>
      </c>
      <c r="Q138">
        <v>0</v>
      </c>
      <c r="R138" t="s">
        <v>4783</v>
      </c>
      <c r="S138" t="s">
        <v>3348</v>
      </c>
      <c r="T138">
        <v>87</v>
      </c>
      <c r="U138" t="s">
        <v>4787</v>
      </c>
      <c r="V138">
        <v>35000</v>
      </c>
      <c r="W138">
        <v>19797.849999999999</v>
      </c>
      <c r="X138">
        <v>0.56599999999999995</v>
      </c>
      <c r="Y138" t="s">
        <v>4792</v>
      </c>
      <c r="Z138">
        <v>2024</v>
      </c>
      <c r="AA138">
        <v>0</v>
      </c>
    </row>
    <row r="139" spans="1:27">
      <c r="A139" t="s">
        <v>4849</v>
      </c>
      <c r="B139" t="s">
        <v>4850</v>
      </c>
      <c r="C139" t="s">
        <v>61</v>
      </c>
      <c r="D139" t="s">
        <v>112</v>
      </c>
      <c r="E139" t="s">
        <v>4851</v>
      </c>
      <c r="F139">
        <v>9663111309</v>
      </c>
      <c r="G139" t="s">
        <v>35</v>
      </c>
      <c r="H139" t="s">
        <v>4802</v>
      </c>
      <c r="I139" t="s">
        <v>4808</v>
      </c>
      <c r="J139" t="s">
        <v>4829</v>
      </c>
      <c r="K139" s="1">
        <v>43841</v>
      </c>
      <c r="L139">
        <v>33622</v>
      </c>
      <c r="M139" s="1">
        <v>45577</v>
      </c>
      <c r="N139" t="s">
        <v>4782</v>
      </c>
      <c r="O139">
        <v>189700</v>
      </c>
      <c r="P139">
        <v>5.6000000000000001E-2</v>
      </c>
      <c r="Q139">
        <v>10623.2</v>
      </c>
      <c r="R139" t="s">
        <v>4794</v>
      </c>
      <c r="S139" t="s">
        <v>3302</v>
      </c>
      <c r="T139">
        <v>11</v>
      </c>
      <c r="U139" t="s">
        <v>4795</v>
      </c>
      <c r="V139">
        <v>35000</v>
      </c>
      <c r="W139">
        <v>179141.59</v>
      </c>
      <c r="X139">
        <v>5.1180000000000003</v>
      </c>
      <c r="Y139" t="s">
        <v>4784</v>
      </c>
      <c r="Z139">
        <v>2024</v>
      </c>
      <c r="AA139">
        <v>1</v>
      </c>
    </row>
    <row r="140" spans="1:27">
      <c r="A140" t="s">
        <v>4849</v>
      </c>
      <c r="B140" t="s">
        <v>4850</v>
      </c>
      <c r="C140" t="s">
        <v>61</v>
      </c>
      <c r="D140" t="s">
        <v>112</v>
      </c>
      <c r="E140" t="s">
        <v>4851</v>
      </c>
      <c r="F140">
        <v>9663111309</v>
      </c>
      <c r="G140" t="s">
        <v>35</v>
      </c>
      <c r="H140" t="s">
        <v>4802</v>
      </c>
      <c r="I140" t="s">
        <v>4808</v>
      </c>
      <c r="J140" t="s">
        <v>4829</v>
      </c>
      <c r="K140" s="1">
        <v>43841</v>
      </c>
      <c r="L140">
        <v>33622</v>
      </c>
      <c r="M140" s="1">
        <v>45580</v>
      </c>
      <c r="N140" t="s">
        <v>4782</v>
      </c>
      <c r="O140">
        <v>169700</v>
      </c>
      <c r="P140">
        <v>0.115</v>
      </c>
      <c r="Q140">
        <v>19515.5</v>
      </c>
      <c r="R140" t="s">
        <v>4791</v>
      </c>
      <c r="S140" t="s">
        <v>3302</v>
      </c>
      <c r="T140">
        <v>7</v>
      </c>
      <c r="U140" t="s">
        <v>4787</v>
      </c>
      <c r="V140">
        <v>35000</v>
      </c>
      <c r="W140">
        <v>160930.14000000001</v>
      </c>
      <c r="X140">
        <v>4.5979999999999999</v>
      </c>
      <c r="Y140" t="s">
        <v>4784</v>
      </c>
      <c r="Z140">
        <v>2024</v>
      </c>
      <c r="AA140">
        <v>1</v>
      </c>
    </row>
    <row r="141" spans="1:27">
      <c r="A141" t="s">
        <v>4849</v>
      </c>
      <c r="B141" t="s">
        <v>4850</v>
      </c>
      <c r="C141" t="s">
        <v>61</v>
      </c>
      <c r="D141" t="s">
        <v>112</v>
      </c>
      <c r="E141" t="s">
        <v>4851</v>
      </c>
      <c r="F141">
        <v>9663111309</v>
      </c>
      <c r="G141" t="s">
        <v>35</v>
      </c>
      <c r="H141" t="s">
        <v>4802</v>
      </c>
      <c r="I141" t="s">
        <v>4808</v>
      </c>
      <c r="J141" t="s">
        <v>4829</v>
      </c>
      <c r="K141" s="1">
        <v>43841</v>
      </c>
      <c r="L141">
        <v>33622</v>
      </c>
      <c r="M141" s="1">
        <v>45615</v>
      </c>
      <c r="N141" t="s">
        <v>4782</v>
      </c>
      <c r="O141">
        <v>111800</v>
      </c>
      <c r="P141">
        <v>0.04</v>
      </c>
      <c r="Q141">
        <v>4472</v>
      </c>
      <c r="R141" t="s">
        <v>4788</v>
      </c>
      <c r="S141" t="s">
        <v>3302</v>
      </c>
      <c r="T141">
        <v>60</v>
      </c>
      <c r="U141" t="s">
        <v>4787</v>
      </c>
      <c r="V141">
        <v>35000</v>
      </c>
      <c r="W141">
        <v>108194.99</v>
      </c>
      <c r="X141">
        <v>3.0910000000000002</v>
      </c>
      <c r="Y141" t="s">
        <v>4784</v>
      </c>
      <c r="Z141">
        <v>2024</v>
      </c>
      <c r="AA141">
        <v>1</v>
      </c>
    </row>
    <row r="142" spans="1:27">
      <c r="A142" t="s">
        <v>4852</v>
      </c>
      <c r="B142" t="s">
        <v>4853</v>
      </c>
      <c r="C142" t="s">
        <v>746</v>
      </c>
      <c r="D142" t="s">
        <v>974</v>
      </c>
      <c r="E142" t="s">
        <v>4854</v>
      </c>
      <c r="F142">
        <v>9891789960</v>
      </c>
      <c r="G142" t="s">
        <v>35</v>
      </c>
      <c r="H142" t="s">
        <v>4823</v>
      </c>
      <c r="I142" t="s">
        <v>4808</v>
      </c>
      <c r="J142" t="s">
        <v>4834</v>
      </c>
      <c r="K142" s="1">
        <v>45143</v>
      </c>
      <c r="L142">
        <v>77917</v>
      </c>
      <c r="M142" s="1">
        <v>45161</v>
      </c>
      <c r="N142" t="s">
        <v>4782</v>
      </c>
      <c r="O142">
        <v>117800</v>
      </c>
      <c r="P142">
        <v>0.109</v>
      </c>
      <c r="Q142">
        <v>12840.2</v>
      </c>
      <c r="R142" t="s">
        <v>4791</v>
      </c>
      <c r="S142" t="s">
        <v>3322</v>
      </c>
      <c r="T142">
        <v>58</v>
      </c>
      <c r="U142" t="s">
        <v>4795</v>
      </c>
      <c r="V142">
        <v>35000</v>
      </c>
      <c r="W142">
        <v>149321.73000000001</v>
      </c>
      <c r="X142">
        <v>4.266</v>
      </c>
      <c r="Y142" t="s">
        <v>4784</v>
      </c>
      <c r="Z142">
        <v>2023</v>
      </c>
      <c r="AA142">
        <v>1</v>
      </c>
    </row>
    <row r="143" spans="1:27">
      <c r="A143" t="s">
        <v>4852</v>
      </c>
      <c r="B143" t="s">
        <v>4853</v>
      </c>
      <c r="C143" t="s">
        <v>746</v>
      </c>
      <c r="D143" t="s">
        <v>974</v>
      </c>
      <c r="E143" t="s">
        <v>4854</v>
      </c>
      <c r="F143">
        <v>9891789960</v>
      </c>
      <c r="G143" t="s">
        <v>35</v>
      </c>
      <c r="H143" t="s">
        <v>4823</v>
      </c>
      <c r="I143" t="s">
        <v>4808</v>
      </c>
      <c r="J143" t="s">
        <v>4834</v>
      </c>
      <c r="K143" s="1">
        <v>45143</v>
      </c>
      <c r="L143">
        <v>77917</v>
      </c>
      <c r="M143" s="1">
        <v>45170</v>
      </c>
      <c r="N143" t="s">
        <v>4782</v>
      </c>
      <c r="O143">
        <v>105300</v>
      </c>
      <c r="P143">
        <v>8.4000000000000005E-2</v>
      </c>
      <c r="Q143">
        <v>8845.2000000000007</v>
      </c>
      <c r="R143" t="s">
        <v>4788</v>
      </c>
      <c r="S143" t="s">
        <v>3310</v>
      </c>
      <c r="T143">
        <v>39</v>
      </c>
      <c r="U143" t="s">
        <v>4787</v>
      </c>
      <c r="V143">
        <v>35000</v>
      </c>
      <c r="W143">
        <v>124691.45</v>
      </c>
      <c r="X143">
        <v>3.5630000000000002</v>
      </c>
      <c r="Y143" t="s">
        <v>4784</v>
      </c>
      <c r="Z143">
        <v>2023</v>
      </c>
      <c r="AA143">
        <v>1</v>
      </c>
    </row>
    <row r="144" spans="1:27">
      <c r="A144" t="s">
        <v>4852</v>
      </c>
      <c r="B144" t="s">
        <v>4853</v>
      </c>
      <c r="C144" t="s">
        <v>746</v>
      </c>
      <c r="D144" t="s">
        <v>974</v>
      </c>
      <c r="E144" t="s">
        <v>4854</v>
      </c>
      <c r="F144">
        <v>9891789960</v>
      </c>
      <c r="G144" t="s">
        <v>35</v>
      </c>
      <c r="H144" t="s">
        <v>4823</v>
      </c>
      <c r="I144" t="s">
        <v>4808</v>
      </c>
      <c r="J144" t="s">
        <v>4834</v>
      </c>
      <c r="K144" s="1">
        <v>45143</v>
      </c>
      <c r="L144">
        <v>77917</v>
      </c>
      <c r="M144" s="1">
        <v>45274</v>
      </c>
      <c r="N144" t="s">
        <v>4782</v>
      </c>
      <c r="O144">
        <v>96500</v>
      </c>
      <c r="P144">
        <v>0.10299999999999999</v>
      </c>
      <c r="Q144">
        <v>9939.5</v>
      </c>
      <c r="R144" t="s">
        <v>4783</v>
      </c>
      <c r="S144" t="s">
        <v>3302</v>
      </c>
      <c r="T144">
        <v>81</v>
      </c>
      <c r="U144" t="s">
        <v>4795</v>
      </c>
      <c r="V144">
        <v>35000</v>
      </c>
      <c r="W144">
        <v>81302.8</v>
      </c>
      <c r="X144">
        <v>2.323</v>
      </c>
      <c r="Y144" t="s">
        <v>4784</v>
      </c>
      <c r="Z144">
        <v>2023</v>
      </c>
      <c r="AA144">
        <v>1</v>
      </c>
    </row>
    <row r="145" spans="1:27">
      <c r="A145" t="s">
        <v>4852</v>
      </c>
      <c r="B145" t="s">
        <v>4853</v>
      </c>
      <c r="C145" t="s">
        <v>746</v>
      </c>
      <c r="D145" t="s">
        <v>974</v>
      </c>
      <c r="E145" t="s">
        <v>4854</v>
      </c>
      <c r="F145">
        <v>9891789960</v>
      </c>
      <c r="G145" t="s">
        <v>35</v>
      </c>
      <c r="H145" t="s">
        <v>4823</v>
      </c>
      <c r="I145" t="s">
        <v>4808</v>
      </c>
      <c r="J145" t="s">
        <v>4834</v>
      </c>
      <c r="K145" s="1">
        <v>45143</v>
      </c>
      <c r="L145">
        <v>77917</v>
      </c>
      <c r="M145" s="1">
        <v>45280</v>
      </c>
      <c r="N145" t="s">
        <v>4782</v>
      </c>
      <c r="O145">
        <v>192600</v>
      </c>
      <c r="P145">
        <v>6.5000000000000002E-2</v>
      </c>
      <c r="Q145">
        <v>12519</v>
      </c>
      <c r="R145" t="s">
        <v>4798</v>
      </c>
      <c r="S145" t="s">
        <v>3302</v>
      </c>
      <c r="T145">
        <v>73</v>
      </c>
      <c r="U145" t="s">
        <v>26</v>
      </c>
      <c r="V145">
        <v>35000</v>
      </c>
      <c r="W145">
        <v>210718.02</v>
      </c>
      <c r="X145">
        <v>6.0209999999999999</v>
      </c>
      <c r="Y145" t="s">
        <v>4784</v>
      </c>
      <c r="Z145">
        <v>2023</v>
      </c>
      <c r="AA145">
        <v>1</v>
      </c>
    </row>
    <row r="146" spans="1:27">
      <c r="A146" t="s">
        <v>4852</v>
      </c>
      <c r="B146" t="s">
        <v>4853</v>
      </c>
      <c r="C146" t="s">
        <v>746</v>
      </c>
      <c r="D146" t="s">
        <v>974</v>
      </c>
      <c r="E146" t="s">
        <v>4854</v>
      </c>
      <c r="F146">
        <v>9891789960</v>
      </c>
      <c r="G146" t="s">
        <v>35</v>
      </c>
      <c r="H146" t="s">
        <v>4823</v>
      </c>
      <c r="I146" t="s">
        <v>4808</v>
      </c>
      <c r="J146" t="s">
        <v>4834</v>
      </c>
      <c r="K146" s="1">
        <v>45143</v>
      </c>
      <c r="L146">
        <v>77917</v>
      </c>
      <c r="M146" s="1">
        <v>45462</v>
      </c>
      <c r="N146" t="s">
        <v>4785</v>
      </c>
      <c r="O146">
        <v>27300</v>
      </c>
      <c r="P146">
        <v>0.112</v>
      </c>
      <c r="Q146">
        <v>0</v>
      </c>
      <c r="R146" t="s">
        <v>4791</v>
      </c>
      <c r="S146" t="s">
        <v>3411</v>
      </c>
      <c r="T146">
        <v>40</v>
      </c>
      <c r="U146" t="s">
        <v>4787</v>
      </c>
      <c r="V146">
        <v>35000</v>
      </c>
      <c r="W146">
        <v>21944.69</v>
      </c>
      <c r="X146">
        <v>0.627</v>
      </c>
      <c r="Y146" t="s">
        <v>4792</v>
      </c>
      <c r="Z146">
        <v>2024</v>
      </c>
      <c r="AA146">
        <v>0</v>
      </c>
    </row>
    <row r="147" spans="1:27">
      <c r="A147" t="s">
        <v>4852</v>
      </c>
      <c r="B147" t="s">
        <v>4853</v>
      </c>
      <c r="C147" t="s">
        <v>746</v>
      </c>
      <c r="D147" t="s">
        <v>974</v>
      </c>
      <c r="E147" t="s">
        <v>4854</v>
      </c>
      <c r="F147">
        <v>9891789960</v>
      </c>
      <c r="G147" t="s">
        <v>35</v>
      </c>
      <c r="H147" t="s">
        <v>4823</v>
      </c>
      <c r="I147" t="s">
        <v>4808</v>
      </c>
      <c r="J147" t="s">
        <v>4834</v>
      </c>
      <c r="K147" s="1">
        <v>45143</v>
      </c>
      <c r="L147">
        <v>77917</v>
      </c>
      <c r="M147" s="1">
        <v>45529</v>
      </c>
      <c r="N147" t="s">
        <v>4785</v>
      </c>
      <c r="O147">
        <v>182300</v>
      </c>
      <c r="P147">
        <v>6.2E-2</v>
      </c>
      <c r="Q147">
        <v>0</v>
      </c>
      <c r="R147" t="s">
        <v>4788</v>
      </c>
      <c r="S147" t="s">
        <v>3317</v>
      </c>
      <c r="T147">
        <v>8</v>
      </c>
      <c r="U147" t="s">
        <v>4787</v>
      </c>
      <c r="V147">
        <v>35000</v>
      </c>
      <c r="W147">
        <v>188027.33</v>
      </c>
      <c r="X147">
        <v>5.3719999999999999</v>
      </c>
      <c r="Y147" t="s">
        <v>4784</v>
      </c>
      <c r="Z147">
        <v>2024</v>
      </c>
      <c r="AA147">
        <v>0</v>
      </c>
    </row>
    <row r="148" spans="1:27">
      <c r="A148" t="s">
        <v>4852</v>
      </c>
      <c r="B148" t="s">
        <v>4853</v>
      </c>
      <c r="C148" t="s">
        <v>746</v>
      </c>
      <c r="D148" t="s">
        <v>974</v>
      </c>
      <c r="E148" t="s">
        <v>4854</v>
      </c>
      <c r="F148">
        <v>9891789960</v>
      </c>
      <c r="G148" t="s">
        <v>35</v>
      </c>
      <c r="H148" t="s">
        <v>4823</v>
      </c>
      <c r="I148" t="s">
        <v>4808</v>
      </c>
      <c r="J148" t="s">
        <v>4834</v>
      </c>
      <c r="K148" s="1">
        <v>45143</v>
      </c>
      <c r="L148">
        <v>77917</v>
      </c>
      <c r="M148" s="1">
        <v>45581</v>
      </c>
      <c r="N148" t="s">
        <v>4782</v>
      </c>
      <c r="O148">
        <v>98700</v>
      </c>
      <c r="P148">
        <v>6.7000000000000004E-2</v>
      </c>
      <c r="Q148">
        <v>6612.9</v>
      </c>
      <c r="R148" t="s">
        <v>4791</v>
      </c>
      <c r="S148" t="s">
        <v>3348</v>
      </c>
      <c r="T148">
        <v>32</v>
      </c>
      <c r="U148" t="s">
        <v>4796</v>
      </c>
      <c r="V148">
        <v>35000</v>
      </c>
      <c r="W148">
        <v>70191.48</v>
      </c>
      <c r="X148">
        <v>2.0049999999999999</v>
      </c>
      <c r="Y148" t="s">
        <v>4784</v>
      </c>
      <c r="Z148">
        <v>2024</v>
      </c>
      <c r="AA148">
        <v>1</v>
      </c>
    </row>
    <row r="149" spans="1:27">
      <c r="A149" t="s">
        <v>4852</v>
      </c>
      <c r="B149" t="s">
        <v>4853</v>
      </c>
      <c r="C149" t="s">
        <v>746</v>
      </c>
      <c r="D149" t="s">
        <v>974</v>
      </c>
      <c r="E149" t="s">
        <v>4854</v>
      </c>
      <c r="F149">
        <v>9891789960</v>
      </c>
      <c r="G149" t="s">
        <v>35</v>
      </c>
      <c r="H149" t="s">
        <v>4823</v>
      </c>
      <c r="I149" t="s">
        <v>4808</v>
      </c>
      <c r="J149" t="s">
        <v>4834</v>
      </c>
      <c r="K149" s="1">
        <v>45143</v>
      </c>
      <c r="L149">
        <v>77917</v>
      </c>
      <c r="M149" s="1">
        <v>45596</v>
      </c>
      <c r="N149" t="s">
        <v>4789</v>
      </c>
      <c r="O149">
        <v>14400</v>
      </c>
      <c r="P149">
        <v>3.3000000000000002E-2</v>
      </c>
      <c r="Q149">
        <v>0</v>
      </c>
      <c r="R149" t="s">
        <v>4783</v>
      </c>
      <c r="S149" t="s">
        <v>3348</v>
      </c>
      <c r="T149">
        <v>39</v>
      </c>
      <c r="U149" t="s">
        <v>4796</v>
      </c>
      <c r="V149">
        <v>35000</v>
      </c>
      <c r="W149">
        <v>13569.58</v>
      </c>
      <c r="X149">
        <v>0.38800000000000001</v>
      </c>
      <c r="Y149" t="s">
        <v>4792</v>
      </c>
      <c r="Z149">
        <v>2024</v>
      </c>
      <c r="AA149">
        <v>0</v>
      </c>
    </row>
    <row r="150" spans="1:27">
      <c r="A150" t="s">
        <v>4852</v>
      </c>
      <c r="B150" t="s">
        <v>4853</v>
      </c>
      <c r="C150" t="s">
        <v>746</v>
      </c>
      <c r="D150" t="s">
        <v>974</v>
      </c>
      <c r="E150" t="s">
        <v>4854</v>
      </c>
      <c r="F150">
        <v>9891789960</v>
      </c>
      <c r="G150" t="s">
        <v>35</v>
      </c>
      <c r="H150" t="s">
        <v>4823</v>
      </c>
      <c r="I150" t="s">
        <v>4808</v>
      </c>
      <c r="J150" t="s">
        <v>4834</v>
      </c>
      <c r="K150" s="1">
        <v>45143</v>
      </c>
      <c r="L150">
        <v>77917</v>
      </c>
      <c r="M150" s="1">
        <v>45624</v>
      </c>
      <c r="N150" t="s">
        <v>4789</v>
      </c>
      <c r="O150">
        <v>152400</v>
      </c>
      <c r="P150">
        <v>0.107</v>
      </c>
      <c r="Q150">
        <v>0</v>
      </c>
      <c r="R150" t="s">
        <v>4783</v>
      </c>
      <c r="S150" t="s">
        <v>3302</v>
      </c>
      <c r="T150">
        <v>51</v>
      </c>
      <c r="U150" t="s">
        <v>4795</v>
      </c>
      <c r="V150">
        <v>35000</v>
      </c>
      <c r="W150">
        <v>144051.84</v>
      </c>
      <c r="X150">
        <v>4.1159999999999997</v>
      </c>
      <c r="Y150" t="s">
        <v>4784</v>
      </c>
      <c r="Z150">
        <v>2024</v>
      </c>
      <c r="AA150">
        <v>0</v>
      </c>
    </row>
    <row r="151" spans="1:27">
      <c r="A151" t="s">
        <v>4852</v>
      </c>
      <c r="B151" t="s">
        <v>4853</v>
      </c>
      <c r="C151" t="s">
        <v>746</v>
      </c>
      <c r="D151" t="s">
        <v>974</v>
      </c>
      <c r="E151" t="s">
        <v>4854</v>
      </c>
      <c r="F151">
        <v>9891789960</v>
      </c>
      <c r="G151" t="s">
        <v>35</v>
      </c>
      <c r="H151" t="s">
        <v>4823</v>
      </c>
      <c r="I151" t="s">
        <v>4808</v>
      </c>
      <c r="J151" t="s">
        <v>4834</v>
      </c>
      <c r="K151" s="1">
        <v>45143</v>
      </c>
      <c r="L151">
        <v>77917</v>
      </c>
      <c r="M151" s="1">
        <v>45647</v>
      </c>
      <c r="N151" t="s">
        <v>4789</v>
      </c>
      <c r="O151">
        <v>57900</v>
      </c>
      <c r="P151">
        <v>5.6000000000000001E-2</v>
      </c>
      <c r="Q151">
        <v>0</v>
      </c>
      <c r="R151" t="s">
        <v>4790</v>
      </c>
      <c r="S151" t="s">
        <v>3322</v>
      </c>
      <c r="T151">
        <v>65</v>
      </c>
      <c r="U151" t="s">
        <v>4795</v>
      </c>
      <c r="V151">
        <v>35000</v>
      </c>
      <c r="W151">
        <v>57216.45</v>
      </c>
      <c r="X151">
        <v>1.635</v>
      </c>
      <c r="Y151" t="s">
        <v>4784</v>
      </c>
      <c r="Z151">
        <v>2024</v>
      </c>
      <c r="AA151">
        <v>0</v>
      </c>
    </row>
    <row r="152" spans="1:27">
      <c r="A152" t="s">
        <v>4855</v>
      </c>
      <c r="B152" t="s">
        <v>4856</v>
      </c>
      <c r="C152" t="s">
        <v>313</v>
      </c>
      <c r="D152" t="s">
        <v>52</v>
      </c>
      <c r="E152" t="s">
        <v>4857</v>
      </c>
      <c r="F152">
        <v>9837230029</v>
      </c>
      <c r="G152" t="s">
        <v>188</v>
      </c>
      <c r="H152" t="s">
        <v>4833</v>
      </c>
      <c r="I152" t="s">
        <v>4808</v>
      </c>
      <c r="J152" t="s">
        <v>4834</v>
      </c>
      <c r="K152" s="1">
        <v>44780</v>
      </c>
      <c r="L152">
        <v>30203</v>
      </c>
      <c r="M152" s="1">
        <v>44800</v>
      </c>
      <c r="N152" t="s">
        <v>4785</v>
      </c>
      <c r="O152">
        <v>90500</v>
      </c>
      <c r="P152">
        <v>3.3000000000000002E-2</v>
      </c>
      <c r="Q152">
        <v>0</v>
      </c>
      <c r="R152" t="s">
        <v>4794</v>
      </c>
      <c r="S152" t="s">
        <v>3411</v>
      </c>
      <c r="T152">
        <v>55</v>
      </c>
      <c r="U152" t="s">
        <v>26</v>
      </c>
      <c r="V152">
        <v>40000</v>
      </c>
      <c r="W152">
        <v>66966.11</v>
      </c>
      <c r="X152">
        <v>1.6739999999999999</v>
      </c>
      <c r="Y152" t="s">
        <v>4784</v>
      </c>
      <c r="Z152">
        <v>2022</v>
      </c>
      <c r="AA152">
        <v>0</v>
      </c>
    </row>
    <row r="153" spans="1:27">
      <c r="A153" t="s">
        <v>4855</v>
      </c>
      <c r="B153" t="s">
        <v>4856</v>
      </c>
      <c r="C153" t="s">
        <v>313</v>
      </c>
      <c r="D153" t="s">
        <v>52</v>
      </c>
      <c r="E153" t="s">
        <v>4857</v>
      </c>
      <c r="F153">
        <v>9837230029</v>
      </c>
      <c r="G153" t="s">
        <v>188</v>
      </c>
      <c r="H153" t="s">
        <v>4833</v>
      </c>
      <c r="I153" t="s">
        <v>4808</v>
      </c>
      <c r="J153" t="s">
        <v>4834</v>
      </c>
      <c r="K153" s="1">
        <v>44780</v>
      </c>
      <c r="L153">
        <v>30203</v>
      </c>
      <c r="M153" s="1">
        <v>44828</v>
      </c>
      <c r="N153" t="s">
        <v>4782</v>
      </c>
      <c r="O153">
        <v>155300</v>
      </c>
      <c r="P153">
        <v>6.6000000000000003E-2</v>
      </c>
      <c r="Q153">
        <v>10249.799999999999</v>
      </c>
      <c r="R153" t="s">
        <v>4786</v>
      </c>
      <c r="S153" t="s">
        <v>3416</v>
      </c>
      <c r="T153">
        <v>12</v>
      </c>
      <c r="U153" t="s">
        <v>4787</v>
      </c>
      <c r="V153">
        <v>40000</v>
      </c>
      <c r="W153">
        <v>160374.92000000001</v>
      </c>
      <c r="X153">
        <v>4.0090000000000003</v>
      </c>
      <c r="Y153" t="s">
        <v>4784</v>
      </c>
      <c r="Z153">
        <v>2022</v>
      </c>
      <c r="AA153">
        <v>1</v>
      </c>
    </row>
    <row r="154" spans="1:27">
      <c r="A154" t="s">
        <v>4855</v>
      </c>
      <c r="B154" t="s">
        <v>4856</v>
      </c>
      <c r="C154" t="s">
        <v>313</v>
      </c>
      <c r="D154" t="s">
        <v>52</v>
      </c>
      <c r="E154" t="s">
        <v>4857</v>
      </c>
      <c r="F154">
        <v>9837230029</v>
      </c>
      <c r="G154" t="s">
        <v>188</v>
      </c>
      <c r="H154" t="s">
        <v>4833</v>
      </c>
      <c r="I154" t="s">
        <v>4808</v>
      </c>
      <c r="J154" t="s">
        <v>4834</v>
      </c>
      <c r="K154" s="1">
        <v>44780</v>
      </c>
      <c r="L154">
        <v>30203</v>
      </c>
      <c r="M154" s="1">
        <v>44880</v>
      </c>
      <c r="N154" t="s">
        <v>4789</v>
      </c>
      <c r="O154">
        <v>31200</v>
      </c>
      <c r="P154">
        <v>9.1999999999999998E-2</v>
      </c>
      <c r="Q154">
        <v>0</v>
      </c>
      <c r="R154" t="s">
        <v>4786</v>
      </c>
      <c r="S154" t="s">
        <v>3317</v>
      </c>
      <c r="T154">
        <v>64</v>
      </c>
      <c r="U154" t="s">
        <v>4795</v>
      </c>
      <c r="V154">
        <v>40000</v>
      </c>
      <c r="W154">
        <v>20278.89</v>
      </c>
      <c r="X154">
        <v>0.50700000000000001</v>
      </c>
      <c r="Y154" t="s">
        <v>4792</v>
      </c>
      <c r="Z154">
        <v>2022</v>
      </c>
      <c r="AA154">
        <v>0</v>
      </c>
    </row>
    <row r="155" spans="1:27">
      <c r="A155" t="s">
        <v>4855</v>
      </c>
      <c r="B155" t="s">
        <v>4856</v>
      </c>
      <c r="C155" t="s">
        <v>313</v>
      </c>
      <c r="D155" t="s">
        <v>52</v>
      </c>
      <c r="E155" t="s">
        <v>4857</v>
      </c>
      <c r="F155">
        <v>9837230029</v>
      </c>
      <c r="G155" t="s">
        <v>188</v>
      </c>
      <c r="H155" t="s">
        <v>4833</v>
      </c>
      <c r="I155" t="s">
        <v>4808</v>
      </c>
      <c r="J155" t="s">
        <v>4834</v>
      </c>
      <c r="K155" s="1">
        <v>44780</v>
      </c>
      <c r="L155">
        <v>30203</v>
      </c>
      <c r="M155" s="1">
        <v>45059</v>
      </c>
      <c r="N155" t="s">
        <v>4782</v>
      </c>
      <c r="O155">
        <v>153500</v>
      </c>
      <c r="P155">
        <v>0.10199999999999999</v>
      </c>
      <c r="Q155">
        <v>15657</v>
      </c>
      <c r="R155" t="s">
        <v>4790</v>
      </c>
      <c r="S155" t="s">
        <v>3322</v>
      </c>
      <c r="T155">
        <v>27</v>
      </c>
      <c r="U155" t="s">
        <v>4795</v>
      </c>
      <c r="V155">
        <v>40000</v>
      </c>
      <c r="W155">
        <v>186669.29</v>
      </c>
      <c r="X155">
        <v>4.6669999999999998</v>
      </c>
      <c r="Y155" t="s">
        <v>4784</v>
      </c>
      <c r="Z155">
        <v>2023</v>
      </c>
      <c r="AA155">
        <v>1</v>
      </c>
    </row>
    <row r="156" spans="1:27">
      <c r="A156" t="s">
        <v>4855</v>
      </c>
      <c r="B156" t="s">
        <v>4856</v>
      </c>
      <c r="C156" t="s">
        <v>313</v>
      </c>
      <c r="D156" t="s">
        <v>52</v>
      </c>
      <c r="E156" t="s">
        <v>4857</v>
      </c>
      <c r="F156">
        <v>9837230029</v>
      </c>
      <c r="G156" t="s">
        <v>188</v>
      </c>
      <c r="H156" t="s">
        <v>4833</v>
      </c>
      <c r="I156" t="s">
        <v>4808</v>
      </c>
      <c r="J156" t="s">
        <v>4834</v>
      </c>
      <c r="K156" s="1">
        <v>44780</v>
      </c>
      <c r="L156">
        <v>30203</v>
      </c>
      <c r="M156" s="1">
        <v>45086</v>
      </c>
      <c r="N156" t="s">
        <v>4782</v>
      </c>
      <c r="O156">
        <v>119300</v>
      </c>
      <c r="P156">
        <v>4.8000000000000001E-2</v>
      </c>
      <c r="Q156">
        <v>5726.4</v>
      </c>
      <c r="R156" t="s">
        <v>4794</v>
      </c>
      <c r="S156" t="s">
        <v>3411</v>
      </c>
      <c r="T156">
        <v>10</v>
      </c>
      <c r="U156" t="s">
        <v>4796</v>
      </c>
      <c r="V156">
        <v>40000</v>
      </c>
      <c r="W156">
        <v>90503.37</v>
      </c>
      <c r="X156">
        <v>2.2629999999999999</v>
      </c>
      <c r="Y156" t="s">
        <v>4784</v>
      </c>
      <c r="Z156">
        <v>2023</v>
      </c>
      <c r="AA156">
        <v>1</v>
      </c>
    </row>
    <row r="157" spans="1:27">
      <c r="A157" t="s">
        <v>4855</v>
      </c>
      <c r="B157" t="s">
        <v>4856</v>
      </c>
      <c r="C157" t="s">
        <v>313</v>
      </c>
      <c r="D157" t="s">
        <v>52</v>
      </c>
      <c r="E157" t="s">
        <v>4857</v>
      </c>
      <c r="F157">
        <v>9837230029</v>
      </c>
      <c r="G157" t="s">
        <v>188</v>
      </c>
      <c r="H157" t="s">
        <v>4833</v>
      </c>
      <c r="I157" t="s">
        <v>4808</v>
      </c>
      <c r="J157" t="s">
        <v>4834</v>
      </c>
      <c r="K157" s="1">
        <v>44780</v>
      </c>
      <c r="L157">
        <v>30203</v>
      </c>
      <c r="M157" s="1">
        <v>45191</v>
      </c>
      <c r="N157" t="s">
        <v>4782</v>
      </c>
      <c r="O157">
        <v>168800</v>
      </c>
      <c r="P157">
        <v>7.5999999999999998E-2</v>
      </c>
      <c r="Q157">
        <v>12828.8</v>
      </c>
      <c r="R157" t="s">
        <v>4794</v>
      </c>
      <c r="S157" t="s">
        <v>3411</v>
      </c>
      <c r="T157">
        <v>71</v>
      </c>
      <c r="U157" t="s">
        <v>4796</v>
      </c>
      <c r="V157">
        <v>40000</v>
      </c>
      <c r="W157">
        <v>218225.81</v>
      </c>
      <c r="X157">
        <v>5.4560000000000004</v>
      </c>
      <c r="Y157" t="s">
        <v>4784</v>
      </c>
      <c r="Z157">
        <v>2023</v>
      </c>
      <c r="AA157">
        <v>1</v>
      </c>
    </row>
    <row r="158" spans="1:27">
      <c r="A158" t="s">
        <v>4855</v>
      </c>
      <c r="B158" t="s">
        <v>4856</v>
      </c>
      <c r="C158" t="s">
        <v>313</v>
      </c>
      <c r="D158" t="s">
        <v>52</v>
      </c>
      <c r="E158" t="s">
        <v>4857</v>
      </c>
      <c r="F158">
        <v>9837230029</v>
      </c>
      <c r="G158" t="s">
        <v>188</v>
      </c>
      <c r="H158" t="s">
        <v>4833</v>
      </c>
      <c r="I158" t="s">
        <v>4808</v>
      </c>
      <c r="J158" t="s">
        <v>4834</v>
      </c>
      <c r="K158" s="1">
        <v>44780</v>
      </c>
      <c r="L158">
        <v>30203</v>
      </c>
      <c r="M158" s="1">
        <v>45422</v>
      </c>
      <c r="N158" t="s">
        <v>4797</v>
      </c>
      <c r="O158">
        <v>140300</v>
      </c>
      <c r="P158">
        <v>0.108</v>
      </c>
      <c r="Q158">
        <v>0</v>
      </c>
      <c r="R158" t="s">
        <v>4783</v>
      </c>
      <c r="S158" t="s">
        <v>3322</v>
      </c>
      <c r="T158">
        <v>28</v>
      </c>
      <c r="U158" t="s">
        <v>26</v>
      </c>
      <c r="V158">
        <v>40000</v>
      </c>
      <c r="W158">
        <v>103982.27</v>
      </c>
      <c r="X158">
        <v>2.6</v>
      </c>
      <c r="Y158" t="s">
        <v>4784</v>
      </c>
      <c r="Z158">
        <v>2024</v>
      </c>
      <c r="AA158">
        <v>0</v>
      </c>
    </row>
    <row r="159" spans="1:27">
      <c r="A159" t="s">
        <v>4855</v>
      </c>
      <c r="B159" t="s">
        <v>4856</v>
      </c>
      <c r="C159" t="s">
        <v>313</v>
      </c>
      <c r="D159" t="s">
        <v>52</v>
      </c>
      <c r="E159" t="s">
        <v>4857</v>
      </c>
      <c r="F159">
        <v>9837230029</v>
      </c>
      <c r="G159" t="s">
        <v>188</v>
      </c>
      <c r="H159" t="s">
        <v>4833</v>
      </c>
      <c r="I159" t="s">
        <v>4808</v>
      </c>
      <c r="J159" t="s">
        <v>4834</v>
      </c>
      <c r="K159" s="1">
        <v>44780</v>
      </c>
      <c r="L159">
        <v>30203</v>
      </c>
      <c r="M159" s="1">
        <v>45433</v>
      </c>
      <c r="N159" t="s">
        <v>4785</v>
      </c>
      <c r="O159">
        <v>217100</v>
      </c>
      <c r="P159">
        <v>8.5000000000000006E-2</v>
      </c>
      <c r="Q159">
        <v>0</v>
      </c>
      <c r="R159" t="s">
        <v>4798</v>
      </c>
      <c r="S159" t="s">
        <v>3322</v>
      </c>
      <c r="T159">
        <v>73</v>
      </c>
      <c r="U159" t="s">
        <v>4787</v>
      </c>
      <c r="V159">
        <v>40000</v>
      </c>
      <c r="W159">
        <v>210596.25</v>
      </c>
      <c r="X159">
        <v>5.2649999999999997</v>
      </c>
      <c r="Y159" t="s">
        <v>4784</v>
      </c>
      <c r="Z159">
        <v>2024</v>
      </c>
      <c r="AA159">
        <v>0</v>
      </c>
    </row>
    <row r="160" spans="1:27">
      <c r="A160" t="s">
        <v>4855</v>
      </c>
      <c r="B160" t="s">
        <v>4856</v>
      </c>
      <c r="C160" t="s">
        <v>313</v>
      </c>
      <c r="D160" t="s">
        <v>52</v>
      </c>
      <c r="E160" t="s">
        <v>4857</v>
      </c>
      <c r="F160">
        <v>9837230029</v>
      </c>
      <c r="G160" t="s">
        <v>188</v>
      </c>
      <c r="H160" t="s">
        <v>4833</v>
      </c>
      <c r="I160" t="s">
        <v>4808</v>
      </c>
      <c r="J160" t="s">
        <v>4834</v>
      </c>
      <c r="K160" s="1">
        <v>44780</v>
      </c>
      <c r="L160">
        <v>30203</v>
      </c>
      <c r="M160" s="1">
        <v>45447</v>
      </c>
      <c r="N160" t="s">
        <v>4782</v>
      </c>
      <c r="O160">
        <v>137300</v>
      </c>
      <c r="P160">
        <v>0.10199999999999999</v>
      </c>
      <c r="Q160">
        <v>14004.6</v>
      </c>
      <c r="R160" t="s">
        <v>4790</v>
      </c>
      <c r="S160" t="s">
        <v>3348</v>
      </c>
      <c r="T160">
        <v>70</v>
      </c>
      <c r="U160" t="s">
        <v>4795</v>
      </c>
      <c r="V160">
        <v>40000</v>
      </c>
      <c r="W160">
        <v>93373.51</v>
      </c>
      <c r="X160">
        <v>2.3340000000000001</v>
      </c>
      <c r="Y160" t="s">
        <v>4784</v>
      </c>
      <c r="Z160">
        <v>2024</v>
      </c>
      <c r="AA160">
        <v>1</v>
      </c>
    </row>
    <row r="161" spans="1:27">
      <c r="A161" t="s">
        <v>4855</v>
      </c>
      <c r="B161" t="s">
        <v>4856</v>
      </c>
      <c r="C161" t="s">
        <v>313</v>
      </c>
      <c r="D161" t="s">
        <v>52</v>
      </c>
      <c r="E161" t="s">
        <v>4857</v>
      </c>
      <c r="F161">
        <v>9837230029</v>
      </c>
      <c r="G161" t="s">
        <v>188</v>
      </c>
      <c r="H161" t="s">
        <v>4833</v>
      </c>
      <c r="I161" t="s">
        <v>4808</v>
      </c>
      <c r="J161" t="s">
        <v>4834</v>
      </c>
      <c r="K161" s="1">
        <v>44780</v>
      </c>
      <c r="L161">
        <v>30203</v>
      </c>
      <c r="M161" s="1">
        <v>45492</v>
      </c>
      <c r="N161" t="s">
        <v>4789</v>
      </c>
      <c r="O161">
        <v>159100</v>
      </c>
      <c r="P161">
        <v>3.2000000000000001E-2</v>
      </c>
      <c r="Q161">
        <v>0</v>
      </c>
      <c r="R161" t="s">
        <v>4788</v>
      </c>
      <c r="S161" t="s">
        <v>3322</v>
      </c>
      <c r="T161">
        <v>74</v>
      </c>
      <c r="U161" t="s">
        <v>26</v>
      </c>
      <c r="V161">
        <v>40000</v>
      </c>
      <c r="W161">
        <v>125717.52</v>
      </c>
      <c r="X161">
        <v>3.1429999999999998</v>
      </c>
      <c r="Y161" t="s">
        <v>4784</v>
      </c>
      <c r="Z161">
        <v>2024</v>
      </c>
      <c r="AA161">
        <v>0</v>
      </c>
    </row>
    <row r="162" spans="1:27">
      <c r="A162" t="s">
        <v>4858</v>
      </c>
      <c r="B162" t="s">
        <v>4859</v>
      </c>
      <c r="C162" t="s">
        <v>313</v>
      </c>
      <c r="D162" t="s">
        <v>605</v>
      </c>
      <c r="E162" t="s">
        <v>4860</v>
      </c>
      <c r="F162">
        <v>9626263082</v>
      </c>
      <c r="G162" t="s">
        <v>35</v>
      </c>
      <c r="H162" t="s">
        <v>4833</v>
      </c>
      <c r="I162" t="s">
        <v>4819</v>
      </c>
      <c r="J162" t="s">
        <v>4781</v>
      </c>
      <c r="K162" s="1">
        <v>43951</v>
      </c>
      <c r="L162">
        <v>37113</v>
      </c>
      <c r="M162" s="1">
        <v>44676</v>
      </c>
      <c r="N162" t="s">
        <v>4789</v>
      </c>
      <c r="O162">
        <v>144800</v>
      </c>
      <c r="P162">
        <v>6.4000000000000001E-2</v>
      </c>
      <c r="Q162">
        <v>0</v>
      </c>
      <c r="R162" t="s">
        <v>4791</v>
      </c>
      <c r="S162" t="s">
        <v>3317</v>
      </c>
      <c r="T162">
        <v>70</v>
      </c>
      <c r="U162" t="s">
        <v>26</v>
      </c>
      <c r="V162">
        <v>35000</v>
      </c>
      <c r="W162">
        <v>134282.99</v>
      </c>
      <c r="X162">
        <v>3.8370000000000002</v>
      </c>
      <c r="Y162" t="s">
        <v>4784</v>
      </c>
      <c r="Z162">
        <v>2022</v>
      </c>
      <c r="AA162">
        <v>0</v>
      </c>
    </row>
    <row r="163" spans="1:27">
      <c r="A163" t="s">
        <v>4858</v>
      </c>
      <c r="B163" t="s">
        <v>4859</v>
      </c>
      <c r="C163" t="s">
        <v>313</v>
      </c>
      <c r="D163" t="s">
        <v>605</v>
      </c>
      <c r="E163" t="s">
        <v>4860</v>
      </c>
      <c r="F163">
        <v>9626263082</v>
      </c>
      <c r="G163" t="s">
        <v>35</v>
      </c>
      <c r="H163" t="s">
        <v>4833</v>
      </c>
      <c r="I163" t="s">
        <v>4819</v>
      </c>
      <c r="J163" t="s">
        <v>4781</v>
      </c>
      <c r="K163" s="1">
        <v>43951</v>
      </c>
      <c r="L163">
        <v>37113</v>
      </c>
      <c r="M163" s="1">
        <v>44693</v>
      </c>
      <c r="N163" t="s">
        <v>4797</v>
      </c>
      <c r="O163">
        <v>58400</v>
      </c>
      <c r="P163">
        <v>0.106</v>
      </c>
      <c r="Q163">
        <v>0</v>
      </c>
      <c r="R163" t="s">
        <v>4788</v>
      </c>
      <c r="S163" t="s">
        <v>3411</v>
      </c>
      <c r="T163">
        <v>37</v>
      </c>
      <c r="U163" t="s">
        <v>4796</v>
      </c>
      <c r="V163">
        <v>35000</v>
      </c>
      <c r="W163">
        <v>42678.84</v>
      </c>
      <c r="X163">
        <v>1.2190000000000001</v>
      </c>
      <c r="Y163" t="s">
        <v>4784</v>
      </c>
      <c r="Z163">
        <v>2022</v>
      </c>
      <c r="AA163">
        <v>0</v>
      </c>
    </row>
    <row r="164" spans="1:27">
      <c r="A164" t="s">
        <v>4858</v>
      </c>
      <c r="B164" t="s">
        <v>4859</v>
      </c>
      <c r="C164" t="s">
        <v>313</v>
      </c>
      <c r="D164" t="s">
        <v>605</v>
      </c>
      <c r="E164" t="s">
        <v>4860</v>
      </c>
      <c r="F164">
        <v>9626263082</v>
      </c>
      <c r="G164" t="s">
        <v>35</v>
      </c>
      <c r="H164" t="s">
        <v>4833</v>
      </c>
      <c r="I164" t="s">
        <v>4819</v>
      </c>
      <c r="J164" t="s">
        <v>4781</v>
      </c>
      <c r="K164" s="1">
        <v>43951</v>
      </c>
      <c r="L164">
        <v>37113</v>
      </c>
      <c r="M164" s="1">
        <v>44733</v>
      </c>
      <c r="N164" t="s">
        <v>4782</v>
      </c>
      <c r="O164">
        <v>162700</v>
      </c>
      <c r="P164">
        <v>5.7000000000000002E-2</v>
      </c>
      <c r="Q164">
        <v>9273.9</v>
      </c>
      <c r="R164" t="s">
        <v>4791</v>
      </c>
      <c r="S164" t="s">
        <v>3322</v>
      </c>
      <c r="T164">
        <v>47</v>
      </c>
      <c r="U164" t="s">
        <v>4787</v>
      </c>
      <c r="V164">
        <v>35000</v>
      </c>
      <c r="W164">
        <v>139467.34</v>
      </c>
      <c r="X164">
        <v>3.9849999999999999</v>
      </c>
      <c r="Y164" t="s">
        <v>4784</v>
      </c>
      <c r="Z164">
        <v>2022</v>
      </c>
      <c r="AA164">
        <v>1</v>
      </c>
    </row>
    <row r="165" spans="1:27">
      <c r="A165" t="s">
        <v>4858</v>
      </c>
      <c r="B165" t="s">
        <v>4859</v>
      </c>
      <c r="C165" t="s">
        <v>313</v>
      </c>
      <c r="D165" t="s">
        <v>605</v>
      </c>
      <c r="E165" t="s">
        <v>4860</v>
      </c>
      <c r="F165">
        <v>9626263082</v>
      </c>
      <c r="G165" t="s">
        <v>35</v>
      </c>
      <c r="H165" t="s">
        <v>4833</v>
      </c>
      <c r="I165" t="s">
        <v>4819</v>
      </c>
      <c r="J165" t="s">
        <v>4781</v>
      </c>
      <c r="K165" s="1">
        <v>43951</v>
      </c>
      <c r="L165">
        <v>37113</v>
      </c>
      <c r="M165" s="1">
        <v>44746</v>
      </c>
      <c r="N165" t="s">
        <v>4782</v>
      </c>
      <c r="O165">
        <v>162200</v>
      </c>
      <c r="P165">
        <v>4.1000000000000002E-2</v>
      </c>
      <c r="Q165">
        <v>6650.2</v>
      </c>
      <c r="R165" t="s">
        <v>4798</v>
      </c>
      <c r="S165" t="s">
        <v>3317</v>
      </c>
      <c r="T165">
        <v>43</v>
      </c>
      <c r="U165" t="s">
        <v>26</v>
      </c>
      <c r="V165">
        <v>35000</v>
      </c>
      <c r="W165">
        <v>198736.76</v>
      </c>
      <c r="X165">
        <v>5.6779999999999999</v>
      </c>
      <c r="Y165" t="s">
        <v>4784</v>
      </c>
      <c r="Z165">
        <v>2022</v>
      </c>
      <c r="AA165">
        <v>1</v>
      </c>
    </row>
    <row r="166" spans="1:27">
      <c r="A166" t="s">
        <v>4858</v>
      </c>
      <c r="B166" t="s">
        <v>4859</v>
      </c>
      <c r="C166" t="s">
        <v>313</v>
      </c>
      <c r="D166" t="s">
        <v>605</v>
      </c>
      <c r="E166" t="s">
        <v>4860</v>
      </c>
      <c r="F166">
        <v>9626263082</v>
      </c>
      <c r="G166" t="s">
        <v>35</v>
      </c>
      <c r="H166" t="s">
        <v>4833</v>
      </c>
      <c r="I166" t="s">
        <v>4819</v>
      </c>
      <c r="J166" t="s">
        <v>4781</v>
      </c>
      <c r="K166" s="1">
        <v>43951</v>
      </c>
      <c r="L166">
        <v>37113</v>
      </c>
      <c r="M166" s="1">
        <v>44849</v>
      </c>
      <c r="N166" t="s">
        <v>4782</v>
      </c>
      <c r="O166">
        <v>34300</v>
      </c>
      <c r="P166">
        <v>8.1000000000000003E-2</v>
      </c>
      <c r="Q166">
        <v>2778.3</v>
      </c>
      <c r="R166" t="s">
        <v>4783</v>
      </c>
      <c r="S166" t="s">
        <v>3302</v>
      </c>
      <c r="T166">
        <v>67</v>
      </c>
      <c r="U166" t="s">
        <v>4795</v>
      </c>
      <c r="V166">
        <v>35000</v>
      </c>
      <c r="W166">
        <v>32475.45</v>
      </c>
      <c r="X166">
        <v>0.92800000000000005</v>
      </c>
      <c r="Y166" t="s">
        <v>4793</v>
      </c>
      <c r="Z166">
        <v>2022</v>
      </c>
      <c r="AA166">
        <v>1</v>
      </c>
    </row>
    <row r="167" spans="1:27">
      <c r="A167" t="s">
        <v>4858</v>
      </c>
      <c r="B167" t="s">
        <v>4859</v>
      </c>
      <c r="C167" t="s">
        <v>313</v>
      </c>
      <c r="D167" t="s">
        <v>605</v>
      </c>
      <c r="E167" t="s">
        <v>4860</v>
      </c>
      <c r="F167">
        <v>9626263082</v>
      </c>
      <c r="G167" t="s">
        <v>35</v>
      </c>
      <c r="H167" t="s">
        <v>4833</v>
      </c>
      <c r="I167" t="s">
        <v>4819</v>
      </c>
      <c r="J167" t="s">
        <v>4781</v>
      </c>
      <c r="K167" s="1">
        <v>43951</v>
      </c>
      <c r="L167">
        <v>37113</v>
      </c>
      <c r="M167" s="1">
        <v>45045</v>
      </c>
      <c r="N167" t="s">
        <v>4789</v>
      </c>
      <c r="O167">
        <v>67500</v>
      </c>
      <c r="P167">
        <v>0.04</v>
      </c>
      <c r="Q167">
        <v>0</v>
      </c>
      <c r="R167" t="s">
        <v>4786</v>
      </c>
      <c r="S167" t="s">
        <v>3302</v>
      </c>
      <c r="T167">
        <v>32</v>
      </c>
      <c r="U167" t="s">
        <v>4795</v>
      </c>
      <c r="V167">
        <v>35000</v>
      </c>
      <c r="W167">
        <v>61947.7</v>
      </c>
      <c r="X167">
        <v>1.77</v>
      </c>
      <c r="Y167" t="s">
        <v>4784</v>
      </c>
      <c r="Z167">
        <v>2023</v>
      </c>
      <c r="AA167">
        <v>0</v>
      </c>
    </row>
    <row r="168" spans="1:27">
      <c r="A168" t="s">
        <v>4858</v>
      </c>
      <c r="B168" t="s">
        <v>4859</v>
      </c>
      <c r="C168" t="s">
        <v>313</v>
      </c>
      <c r="D168" t="s">
        <v>605</v>
      </c>
      <c r="E168" t="s">
        <v>4860</v>
      </c>
      <c r="F168">
        <v>9626263082</v>
      </c>
      <c r="G168" t="s">
        <v>35</v>
      </c>
      <c r="H168" t="s">
        <v>4833</v>
      </c>
      <c r="I168" t="s">
        <v>4819</v>
      </c>
      <c r="J168" t="s">
        <v>4781</v>
      </c>
      <c r="K168" s="1">
        <v>43951</v>
      </c>
      <c r="L168">
        <v>37113</v>
      </c>
      <c r="M168" s="1">
        <v>45045</v>
      </c>
      <c r="N168" t="s">
        <v>4789</v>
      </c>
      <c r="O168">
        <v>62100</v>
      </c>
      <c r="P168">
        <v>4.2999999999999997E-2</v>
      </c>
      <c r="Q168">
        <v>0</v>
      </c>
      <c r="R168" t="s">
        <v>4786</v>
      </c>
      <c r="S168" t="s">
        <v>3310</v>
      </c>
      <c r="T168">
        <v>36</v>
      </c>
      <c r="U168" t="s">
        <v>26</v>
      </c>
      <c r="V168">
        <v>35000</v>
      </c>
      <c r="W168">
        <v>53874.11</v>
      </c>
      <c r="X168">
        <v>1.5389999999999999</v>
      </c>
      <c r="Y168" t="s">
        <v>4784</v>
      </c>
      <c r="Z168">
        <v>2023</v>
      </c>
      <c r="AA168">
        <v>0</v>
      </c>
    </row>
    <row r="169" spans="1:27">
      <c r="A169" t="s">
        <v>4858</v>
      </c>
      <c r="B169" t="s">
        <v>4859</v>
      </c>
      <c r="C169" t="s">
        <v>313</v>
      </c>
      <c r="D169" t="s">
        <v>605</v>
      </c>
      <c r="E169" t="s">
        <v>4860</v>
      </c>
      <c r="F169">
        <v>9626263082</v>
      </c>
      <c r="G169" t="s">
        <v>35</v>
      </c>
      <c r="H169" t="s">
        <v>4833</v>
      </c>
      <c r="I169" t="s">
        <v>4819</v>
      </c>
      <c r="J169" t="s">
        <v>4781</v>
      </c>
      <c r="K169" s="1">
        <v>43951</v>
      </c>
      <c r="L169">
        <v>37113</v>
      </c>
      <c r="M169" s="1">
        <v>45130</v>
      </c>
      <c r="N169" t="s">
        <v>4797</v>
      </c>
      <c r="O169">
        <v>149400</v>
      </c>
      <c r="P169">
        <v>4.5999999999999999E-2</v>
      </c>
      <c r="Q169">
        <v>0</v>
      </c>
      <c r="R169" t="s">
        <v>4798</v>
      </c>
      <c r="S169" t="s">
        <v>3302</v>
      </c>
      <c r="T169">
        <v>63</v>
      </c>
      <c r="U169" t="s">
        <v>4787</v>
      </c>
      <c r="V169">
        <v>35000</v>
      </c>
      <c r="W169">
        <v>82139.31</v>
      </c>
      <c r="X169">
        <v>2.347</v>
      </c>
      <c r="Y169" t="s">
        <v>4784</v>
      </c>
      <c r="Z169">
        <v>2023</v>
      </c>
      <c r="AA169">
        <v>0</v>
      </c>
    </row>
    <row r="170" spans="1:27">
      <c r="A170" t="s">
        <v>4858</v>
      </c>
      <c r="B170" t="s">
        <v>4859</v>
      </c>
      <c r="C170" t="s">
        <v>313</v>
      </c>
      <c r="D170" t="s">
        <v>605</v>
      </c>
      <c r="E170" t="s">
        <v>4860</v>
      </c>
      <c r="F170">
        <v>9626263082</v>
      </c>
      <c r="G170" t="s">
        <v>35</v>
      </c>
      <c r="H170" t="s">
        <v>4833</v>
      </c>
      <c r="I170" t="s">
        <v>4819</v>
      </c>
      <c r="J170" t="s">
        <v>4781</v>
      </c>
      <c r="K170" s="1">
        <v>43951</v>
      </c>
      <c r="L170">
        <v>37113</v>
      </c>
      <c r="M170" s="1">
        <v>45308</v>
      </c>
      <c r="N170" t="s">
        <v>4789</v>
      </c>
      <c r="O170">
        <v>43700</v>
      </c>
      <c r="P170">
        <v>5.1999999999999998E-2</v>
      </c>
      <c r="Q170">
        <v>0</v>
      </c>
      <c r="R170" t="s">
        <v>4794</v>
      </c>
      <c r="S170" t="s">
        <v>3348</v>
      </c>
      <c r="T170">
        <v>39</v>
      </c>
      <c r="U170" t="s">
        <v>26</v>
      </c>
      <c r="V170">
        <v>35000</v>
      </c>
      <c r="W170">
        <v>37985.54</v>
      </c>
      <c r="X170">
        <v>1.085</v>
      </c>
      <c r="Y170" t="s">
        <v>4793</v>
      </c>
      <c r="Z170">
        <v>2024</v>
      </c>
      <c r="AA170">
        <v>0</v>
      </c>
    </row>
    <row r="171" spans="1:27">
      <c r="A171" t="s">
        <v>4858</v>
      </c>
      <c r="B171" t="s">
        <v>4859</v>
      </c>
      <c r="C171" t="s">
        <v>313</v>
      </c>
      <c r="D171" t="s">
        <v>605</v>
      </c>
      <c r="E171" t="s">
        <v>4860</v>
      </c>
      <c r="F171">
        <v>9626263082</v>
      </c>
      <c r="G171" t="s">
        <v>35</v>
      </c>
      <c r="H171" t="s">
        <v>4833</v>
      </c>
      <c r="I171" t="s">
        <v>4819</v>
      </c>
      <c r="J171" t="s">
        <v>4781</v>
      </c>
      <c r="K171" s="1">
        <v>43951</v>
      </c>
      <c r="L171">
        <v>37113</v>
      </c>
      <c r="M171" s="1">
        <v>45455</v>
      </c>
      <c r="N171" t="s">
        <v>4789</v>
      </c>
      <c r="O171">
        <v>174600</v>
      </c>
      <c r="P171">
        <v>0.112</v>
      </c>
      <c r="Q171">
        <v>0</v>
      </c>
      <c r="R171" t="s">
        <v>4786</v>
      </c>
      <c r="S171" t="s">
        <v>3310</v>
      </c>
      <c r="T171">
        <v>35</v>
      </c>
      <c r="U171" t="s">
        <v>4796</v>
      </c>
      <c r="V171">
        <v>35000</v>
      </c>
      <c r="W171">
        <v>91879.35</v>
      </c>
      <c r="X171">
        <v>2.625</v>
      </c>
      <c r="Y171" t="s">
        <v>4784</v>
      </c>
      <c r="Z171">
        <v>2024</v>
      </c>
      <c r="AA171">
        <v>0</v>
      </c>
    </row>
    <row r="172" spans="1:27">
      <c r="A172" t="s">
        <v>4861</v>
      </c>
      <c r="B172" t="s">
        <v>4862</v>
      </c>
      <c r="C172" t="s">
        <v>4957</v>
      </c>
      <c r="D172" t="s">
        <v>112</v>
      </c>
      <c r="E172" t="s">
        <v>4863</v>
      </c>
      <c r="F172">
        <v>9958091042</v>
      </c>
      <c r="G172" t="s">
        <v>35</v>
      </c>
      <c r="H172" t="s">
        <v>4823</v>
      </c>
      <c r="I172" t="s">
        <v>4824</v>
      </c>
      <c r="J172" t="s">
        <v>4781</v>
      </c>
      <c r="K172" s="1">
        <v>43233</v>
      </c>
      <c r="L172">
        <v>62885</v>
      </c>
      <c r="M172" s="1">
        <v>44605</v>
      </c>
      <c r="N172" t="s">
        <v>4797</v>
      </c>
      <c r="O172">
        <v>242300</v>
      </c>
      <c r="P172">
        <v>8.5000000000000006E-2</v>
      </c>
      <c r="Q172">
        <v>0</v>
      </c>
      <c r="R172" t="s">
        <v>4798</v>
      </c>
      <c r="S172" t="s">
        <v>3348</v>
      </c>
      <c r="T172">
        <v>85</v>
      </c>
      <c r="U172" t="s">
        <v>4787</v>
      </c>
      <c r="V172">
        <v>35000</v>
      </c>
      <c r="W172">
        <v>271767.12</v>
      </c>
      <c r="X172">
        <v>7.7649999999999997</v>
      </c>
      <c r="Y172" t="s">
        <v>4784</v>
      </c>
      <c r="Z172">
        <v>2022</v>
      </c>
      <c r="AA172">
        <v>0</v>
      </c>
    </row>
    <row r="173" spans="1:27">
      <c r="A173" t="s">
        <v>4861</v>
      </c>
      <c r="B173" t="s">
        <v>4862</v>
      </c>
      <c r="C173" t="s">
        <v>4957</v>
      </c>
      <c r="D173" t="s">
        <v>112</v>
      </c>
      <c r="E173" t="s">
        <v>4863</v>
      </c>
      <c r="F173">
        <v>9958091042</v>
      </c>
      <c r="G173" t="s">
        <v>35</v>
      </c>
      <c r="H173" t="s">
        <v>4823</v>
      </c>
      <c r="I173" t="s">
        <v>4824</v>
      </c>
      <c r="J173" t="s">
        <v>4781</v>
      </c>
      <c r="K173" s="1">
        <v>43233</v>
      </c>
      <c r="L173">
        <v>62885</v>
      </c>
      <c r="M173" s="1">
        <v>44668</v>
      </c>
      <c r="N173" t="s">
        <v>4797</v>
      </c>
      <c r="O173">
        <v>173200</v>
      </c>
      <c r="P173">
        <v>4.7E-2</v>
      </c>
      <c r="Q173">
        <v>0</v>
      </c>
      <c r="R173" t="s">
        <v>4790</v>
      </c>
      <c r="S173" t="s">
        <v>3411</v>
      </c>
      <c r="T173">
        <v>83</v>
      </c>
      <c r="U173" t="s">
        <v>4796</v>
      </c>
      <c r="V173">
        <v>35000</v>
      </c>
      <c r="W173">
        <v>87079.46</v>
      </c>
      <c r="X173">
        <v>2.488</v>
      </c>
      <c r="Y173" t="s">
        <v>4784</v>
      </c>
      <c r="Z173">
        <v>2022</v>
      </c>
      <c r="AA173">
        <v>0</v>
      </c>
    </row>
    <row r="174" spans="1:27">
      <c r="A174" t="s">
        <v>4861</v>
      </c>
      <c r="B174" t="s">
        <v>4862</v>
      </c>
      <c r="C174" t="s">
        <v>4957</v>
      </c>
      <c r="D174" t="s">
        <v>112</v>
      </c>
      <c r="E174" t="s">
        <v>4863</v>
      </c>
      <c r="F174">
        <v>9958091042</v>
      </c>
      <c r="G174" t="s">
        <v>35</v>
      </c>
      <c r="H174" t="s">
        <v>4823</v>
      </c>
      <c r="I174" t="s">
        <v>4824</v>
      </c>
      <c r="J174" t="s">
        <v>4781</v>
      </c>
      <c r="K174" s="1">
        <v>43233</v>
      </c>
      <c r="L174">
        <v>62885</v>
      </c>
      <c r="M174" s="1">
        <v>44971</v>
      </c>
      <c r="N174" t="s">
        <v>4797</v>
      </c>
      <c r="O174">
        <v>85100</v>
      </c>
      <c r="P174">
        <v>5.8000000000000003E-2</v>
      </c>
      <c r="Q174">
        <v>0</v>
      </c>
      <c r="R174" t="s">
        <v>4791</v>
      </c>
      <c r="S174" t="s">
        <v>3302</v>
      </c>
      <c r="T174">
        <v>21</v>
      </c>
      <c r="U174" t="s">
        <v>4796</v>
      </c>
      <c r="V174">
        <v>35000</v>
      </c>
      <c r="W174">
        <v>82098.460000000006</v>
      </c>
      <c r="X174">
        <v>2.3460000000000001</v>
      </c>
      <c r="Y174" t="s">
        <v>4784</v>
      </c>
      <c r="Z174">
        <v>2023</v>
      </c>
      <c r="AA174">
        <v>0</v>
      </c>
    </row>
    <row r="175" spans="1:27">
      <c r="A175" t="s">
        <v>4861</v>
      </c>
      <c r="B175" t="s">
        <v>4862</v>
      </c>
      <c r="C175" t="s">
        <v>4957</v>
      </c>
      <c r="D175" t="s">
        <v>112</v>
      </c>
      <c r="E175" t="s">
        <v>4863</v>
      </c>
      <c r="F175">
        <v>9958091042</v>
      </c>
      <c r="G175" t="s">
        <v>35</v>
      </c>
      <c r="H175" t="s">
        <v>4823</v>
      </c>
      <c r="I175" t="s">
        <v>4824</v>
      </c>
      <c r="J175" t="s">
        <v>4781</v>
      </c>
      <c r="K175" s="1">
        <v>43233</v>
      </c>
      <c r="L175">
        <v>62885</v>
      </c>
      <c r="M175" s="1">
        <v>45044</v>
      </c>
      <c r="N175" t="s">
        <v>4782</v>
      </c>
      <c r="O175">
        <v>60200</v>
      </c>
      <c r="P175">
        <v>0.107</v>
      </c>
      <c r="Q175">
        <v>6441.4</v>
      </c>
      <c r="R175" t="s">
        <v>4786</v>
      </c>
      <c r="S175" t="s">
        <v>3322</v>
      </c>
      <c r="T175">
        <v>81</v>
      </c>
      <c r="U175" t="s">
        <v>4795</v>
      </c>
      <c r="V175">
        <v>35000</v>
      </c>
      <c r="W175">
        <v>77749.539999999994</v>
      </c>
      <c r="X175">
        <v>2.2210000000000001</v>
      </c>
      <c r="Y175" t="s">
        <v>4784</v>
      </c>
      <c r="Z175">
        <v>2023</v>
      </c>
      <c r="AA175">
        <v>1</v>
      </c>
    </row>
    <row r="176" spans="1:27">
      <c r="A176" t="s">
        <v>4861</v>
      </c>
      <c r="B176" t="s">
        <v>4862</v>
      </c>
      <c r="C176" t="s">
        <v>4957</v>
      </c>
      <c r="D176" t="s">
        <v>112</v>
      </c>
      <c r="E176" t="s">
        <v>4863</v>
      </c>
      <c r="F176">
        <v>9958091042</v>
      </c>
      <c r="G176" t="s">
        <v>35</v>
      </c>
      <c r="H176" t="s">
        <v>4823</v>
      </c>
      <c r="I176" t="s">
        <v>4824</v>
      </c>
      <c r="J176" t="s">
        <v>4781</v>
      </c>
      <c r="K176" s="1">
        <v>43233</v>
      </c>
      <c r="L176">
        <v>62885</v>
      </c>
      <c r="M176" s="1">
        <v>45046</v>
      </c>
      <c r="N176" t="s">
        <v>4789</v>
      </c>
      <c r="O176">
        <v>106800</v>
      </c>
      <c r="P176">
        <v>3.1E-2</v>
      </c>
      <c r="Q176">
        <v>0</v>
      </c>
      <c r="R176" t="s">
        <v>4790</v>
      </c>
      <c r="S176" t="s">
        <v>3317</v>
      </c>
      <c r="T176">
        <v>39</v>
      </c>
      <c r="U176" t="s">
        <v>4787</v>
      </c>
      <c r="V176">
        <v>35000</v>
      </c>
      <c r="W176">
        <v>143399.31</v>
      </c>
      <c r="X176">
        <v>4.0970000000000004</v>
      </c>
      <c r="Y176" t="s">
        <v>4784</v>
      </c>
      <c r="Z176">
        <v>2023</v>
      </c>
      <c r="AA176">
        <v>0</v>
      </c>
    </row>
    <row r="177" spans="1:27">
      <c r="A177" t="s">
        <v>4861</v>
      </c>
      <c r="B177" t="s">
        <v>4862</v>
      </c>
      <c r="C177" t="s">
        <v>4957</v>
      </c>
      <c r="D177" t="s">
        <v>112</v>
      </c>
      <c r="E177" t="s">
        <v>4863</v>
      </c>
      <c r="F177">
        <v>9958091042</v>
      </c>
      <c r="G177" t="s">
        <v>35</v>
      </c>
      <c r="H177" t="s">
        <v>4823</v>
      </c>
      <c r="I177" t="s">
        <v>4824</v>
      </c>
      <c r="J177" t="s">
        <v>4781</v>
      </c>
      <c r="K177" s="1">
        <v>43233</v>
      </c>
      <c r="L177">
        <v>62885</v>
      </c>
      <c r="M177" s="1">
        <v>45052</v>
      </c>
      <c r="N177" t="s">
        <v>4782</v>
      </c>
      <c r="O177">
        <v>149900</v>
      </c>
      <c r="P177">
        <v>6.5000000000000002E-2</v>
      </c>
      <c r="Q177">
        <v>9743.5</v>
      </c>
      <c r="R177" t="s">
        <v>4794</v>
      </c>
      <c r="S177" t="s">
        <v>3348</v>
      </c>
      <c r="T177">
        <v>47</v>
      </c>
      <c r="U177" t="s">
        <v>4787</v>
      </c>
      <c r="V177">
        <v>35000</v>
      </c>
      <c r="W177">
        <v>147114.79999999999</v>
      </c>
      <c r="X177">
        <v>4.2030000000000003</v>
      </c>
      <c r="Y177" t="s">
        <v>4784</v>
      </c>
      <c r="Z177">
        <v>2023</v>
      </c>
      <c r="AA177">
        <v>1</v>
      </c>
    </row>
    <row r="178" spans="1:27">
      <c r="A178" t="s">
        <v>4861</v>
      </c>
      <c r="B178" t="s">
        <v>4862</v>
      </c>
      <c r="C178" t="s">
        <v>4957</v>
      </c>
      <c r="D178" t="s">
        <v>112</v>
      </c>
      <c r="E178" t="s">
        <v>4863</v>
      </c>
      <c r="F178">
        <v>9958091042</v>
      </c>
      <c r="G178" t="s">
        <v>35</v>
      </c>
      <c r="H178" t="s">
        <v>4823</v>
      </c>
      <c r="I178" t="s">
        <v>4824</v>
      </c>
      <c r="J178" t="s">
        <v>4781</v>
      </c>
      <c r="K178" s="1">
        <v>43233</v>
      </c>
      <c r="L178">
        <v>62885</v>
      </c>
      <c r="M178" s="1">
        <v>45066</v>
      </c>
      <c r="N178" t="s">
        <v>4782</v>
      </c>
      <c r="O178">
        <v>235500</v>
      </c>
      <c r="P178">
        <v>0.10100000000000001</v>
      </c>
      <c r="Q178">
        <v>23785.5</v>
      </c>
      <c r="R178" t="s">
        <v>4786</v>
      </c>
      <c r="S178" t="s">
        <v>3317</v>
      </c>
      <c r="T178">
        <v>61</v>
      </c>
      <c r="U178" t="s">
        <v>4795</v>
      </c>
      <c r="V178">
        <v>35000</v>
      </c>
      <c r="W178">
        <v>291838.39</v>
      </c>
      <c r="X178">
        <v>8.3379999999999992</v>
      </c>
      <c r="Y178" t="s">
        <v>4784</v>
      </c>
      <c r="Z178">
        <v>2023</v>
      </c>
      <c r="AA178">
        <v>1</v>
      </c>
    </row>
    <row r="179" spans="1:27">
      <c r="A179" t="s">
        <v>4861</v>
      </c>
      <c r="B179" t="s">
        <v>4862</v>
      </c>
      <c r="C179" t="s">
        <v>4957</v>
      </c>
      <c r="D179" t="s">
        <v>112</v>
      </c>
      <c r="E179" t="s">
        <v>4863</v>
      </c>
      <c r="F179">
        <v>9958091042</v>
      </c>
      <c r="G179" t="s">
        <v>35</v>
      </c>
      <c r="H179" t="s">
        <v>4823</v>
      </c>
      <c r="I179" t="s">
        <v>4824</v>
      </c>
      <c r="J179" t="s">
        <v>4781</v>
      </c>
      <c r="K179" s="1">
        <v>43233</v>
      </c>
      <c r="L179">
        <v>62885</v>
      </c>
      <c r="M179" s="1">
        <v>45243</v>
      </c>
      <c r="N179" t="s">
        <v>4797</v>
      </c>
      <c r="O179">
        <v>115700</v>
      </c>
      <c r="P179">
        <v>0.109</v>
      </c>
      <c r="Q179">
        <v>0</v>
      </c>
      <c r="R179" t="s">
        <v>4798</v>
      </c>
      <c r="S179" t="s">
        <v>3302</v>
      </c>
      <c r="T179">
        <v>21</v>
      </c>
      <c r="U179" t="s">
        <v>4795</v>
      </c>
      <c r="V179">
        <v>35000</v>
      </c>
      <c r="W179">
        <v>110574.61</v>
      </c>
      <c r="X179">
        <v>3.1589999999999998</v>
      </c>
      <c r="Y179" t="s">
        <v>4784</v>
      </c>
      <c r="Z179">
        <v>2023</v>
      </c>
      <c r="AA179">
        <v>0</v>
      </c>
    </row>
    <row r="180" spans="1:27">
      <c r="A180" t="s">
        <v>4861</v>
      </c>
      <c r="B180" t="s">
        <v>4862</v>
      </c>
      <c r="C180" t="s">
        <v>4957</v>
      </c>
      <c r="D180" t="s">
        <v>112</v>
      </c>
      <c r="E180" t="s">
        <v>4863</v>
      </c>
      <c r="F180">
        <v>9958091042</v>
      </c>
      <c r="G180" t="s">
        <v>35</v>
      </c>
      <c r="H180" t="s">
        <v>4823</v>
      </c>
      <c r="I180" t="s">
        <v>4824</v>
      </c>
      <c r="J180" t="s">
        <v>4781</v>
      </c>
      <c r="K180" s="1">
        <v>43233</v>
      </c>
      <c r="L180">
        <v>62885</v>
      </c>
      <c r="M180" s="1">
        <v>45282</v>
      </c>
      <c r="N180" t="s">
        <v>4789</v>
      </c>
      <c r="O180">
        <v>162800</v>
      </c>
      <c r="P180">
        <v>9.6000000000000002E-2</v>
      </c>
      <c r="Q180">
        <v>0</v>
      </c>
      <c r="R180" t="s">
        <v>4783</v>
      </c>
      <c r="S180" t="s">
        <v>3348</v>
      </c>
      <c r="T180">
        <v>42</v>
      </c>
      <c r="U180" t="s">
        <v>26</v>
      </c>
      <c r="V180">
        <v>35000</v>
      </c>
      <c r="W180">
        <v>183262.18</v>
      </c>
      <c r="X180">
        <v>5.2359999999999998</v>
      </c>
      <c r="Y180" t="s">
        <v>4784</v>
      </c>
      <c r="Z180">
        <v>2023</v>
      </c>
      <c r="AA180">
        <v>0</v>
      </c>
    </row>
    <row r="181" spans="1:27">
      <c r="A181" t="s">
        <v>4861</v>
      </c>
      <c r="B181" t="s">
        <v>4862</v>
      </c>
      <c r="C181" t="s">
        <v>4957</v>
      </c>
      <c r="D181" t="s">
        <v>112</v>
      </c>
      <c r="E181" t="s">
        <v>4863</v>
      </c>
      <c r="F181">
        <v>9958091042</v>
      </c>
      <c r="G181" t="s">
        <v>35</v>
      </c>
      <c r="H181" t="s">
        <v>4823</v>
      </c>
      <c r="I181" t="s">
        <v>4824</v>
      </c>
      <c r="J181" t="s">
        <v>4781</v>
      </c>
      <c r="K181" s="1">
        <v>43233</v>
      </c>
      <c r="L181">
        <v>62885</v>
      </c>
      <c r="M181" s="1">
        <v>45394</v>
      </c>
      <c r="N181" t="s">
        <v>4782</v>
      </c>
      <c r="O181">
        <v>76800</v>
      </c>
      <c r="P181">
        <v>0.108</v>
      </c>
      <c r="Q181">
        <v>8294.4</v>
      </c>
      <c r="R181" t="s">
        <v>4798</v>
      </c>
      <c r="S181" t="s">
        <v>3411</v>
      </c>
      <c r="T181">
        <v>63</v>
      </c>
      <c r="U181" t="s">
        <v>26</v>
      </c>
      <c r="V181">
        <v>35000</v>
      </c>
      <c r="W181">
        <v>89337.43</v>
      </c>
      <c r="X181">
        <v>2.552</v>
      </c>
      <c r="Y181" t="s">
        <v>4784</v>
      </c>
      <c r="Z181">
        <v>2024</v>
      </c>
      <c r="AA181">
        <v>1</v>
      </c>
    </row>
    <row r="182" spans="1:27">
      <c r="A182" t="s">
        <v>4864</v>
      </c>
      <c r="B182" t="s">
        <v>4865</v>
      </c>
      <c r="C182" t="s">
        <v>428</v>
      </c>
      <c r="D182" t="s">
        <v>238</v>
      </c>
      <c r="E182" t="s">
        <v>4866</v>
      </c>
      <c r="F182">
        <v>9960825838</v>
      </c>
      <c r="G182" t="s">
        <v>24</v>
      </c>
      <c r="H182" t="s">
        <v>4823</v>
      </c>
      <c r="I182" t="s">
        <v>4808</v>
      </c>
      <c r="J182" t="s">
        <v>4809</v>
      </c>
      <c r="K182" s="1">
        <v>43761</v>
      </c>
      <c r="L182">
        <v>43637</v>
      </c>
      <c r="M182" s="1">
        <v>44828</v>
      </c>
      <c r="N182" t="s">
        <v>4785</v>
      </c>
      <c r="O182">
        <v>184800</v>
      </c>
      <c r="P182">
        <v>6.7000000000000004E-2</v>
      </c>
      <c r="Q182">
        <v>0</v>
      </c>
      <c r="R182" t="s">
        <v>4788</v>
      </c>
      <c r="S182" t="s">
        <v>3322</v>
      </c>
      <c r="T182">
        <v>62</v>
      </c>
      <c r="U182" t="s">
        <v>4796</v>
      </c>
      <c r="V182">
        <v>37500</v>
      </c>
      <c r="W182">
        <v>135756.28</v>
      </c>
      <c r="X182">
        <v>3.62</v>
      </c>
      <c r="Y182" t="s">
        <v>4784</v>
      </c>
      <c r="Z182">
        <v>2022</v>
      </c>
      <c r="AA182">
        <v>0</v>
      </c>
    </row>
    <row r="183" spans="1:27">
      <c r="A183" t="s">
        <v>4864</v>
      </c>
      <c r="B183" t="s">
        <v>4865</v>
      </c>
      <c r="C183" t="s">
        <v>428</v>
      </c>
      <c r="D183" t="s">
        <v>238</v>
      </c>
      <c r="E183" t="s">
        <v>4866</v>
      </c>
      <c r="F183">
        <v>9960825838</v>
      </c>
      <c r="G183" t="s">
        <v>24</v>
      </c>
      <c r="H183" t="s">
        <v>4823</v>
      </c>
      <c r="I183" t="s">
        <v>4808</v>
      </c>
      <c r="J183" t="s">
        <v>4809</v>
      </c>
      <c r="K183" s="1">
        <v>43761</v>
      </c>
      <c r="L183">
        <v>43637</v>
      </c>
      <c r="M183" s="1">
        <v>44867</v>
      </c>
      <c r="N183" t="s">
        <v>4782</v>
      </c>
      <c r="O183">
        <v>101400</v>
      </c>
      <c r="P183">
        <v>4.4999999999999998E-2</v>
      </c>
      <c r="Q183">
        <v>4563</v>
      </c>
      <c r="R183" t="s">
        <v>4783</v>
      </c>
      <c r="S183" t="s">
        <v>3302</v>
      </c>
      <c r="T183">
        <v>2</v>
      </c>
      <c r="U183" t="s">
        <v>26</v>
      </c>
      <c r="V183">
        <v>37500</v>
      </c>
      <c r="W183">
        <v>121276.77</v>
      </c>
      <c r="X183">
        <v>3.234</v>
      </c>
      <c r="Y183" t="s">
        <v>4784</v>
      </c>
      <c r="Z183">
        <v>2022</v>
      </c>
      <c r="AA183">
        <v>1</v>
      </c>
    </row>
    <row r="184" spans="1:27">
      <c r="A184" t="s">
        <v>4864</v>
      </c>
      <c r="B184" t="s">
        <v>4865</v>
      </c>
      <c r="C184" t="s">
        <v>428</v>
      </c>
      <c r="D184" t="s">
        <v>238</v>
      </c>
      <c r="E184" t="s">
        <v>4866</v>
      </c>
      <c r="F184">
        <v>9960825838</v>
      </c>
      <c r="G184" t="s">
        <v>24</v>
      </c>
      <c r="H184" t="s">
        <v>4823</v>
      </c>
      <c r="I184" t="s">
        <v>4808</v>
      </c>
      <c r="J184" t="s">
        <v>4809</v>
      </c>
      <c r="K184" s="1">
        <v>43761</v>
      </c>
      <c r="L184">
        <v>43637</v>
      </c>
      <c r="M184" s="1">
        <v>44949</v>
      </c>
      <c r="N184" t="s">
        <v>4789</v>
      </c>
      <c r="O184">
        <v>52300</v>
      </c>
      <c r="P184">
        <v>6.7000000000000004E-2</v>
      </c>
      <c r="Q184">
        <v>0</v>
      </c>
      <c r="R184" t="s">
        <v>4786</v>
      </c>
      <c r="S184" t="s">
        <v>3302</v>
      </c>
      <c r="T184">
        <v>38</v>
      </c>
      <c r="U184" t="s">
        <v>4795</v>
      </c>
      <c r="V184">
        <v>37500</v>
      </c>
      <c r="W184">
        <v>37234.31</v>
      </c>
      <c r="X184">
        <v>0.99299999999999999</v>
      </c>
      <c r="Y184" t="s">
        <v>4793</v>
      </c>
      <c r="Z184">
        <v>2023</v>
      </c>
      <c r="AA184">
        <v>0</v>
      </c>
    </row>
    <row r="185" spans="1:27">
      <c r="A185" t="s">
        <v>4864</v>
      </c>
      <c r="B185" t="s">
        <v>4865</v>
      </c>
      <c r="C185" t="s">
        <v>428</v>
      </c>
      <c r="D185" t="s">
        <v>238</v>
      </c>
      <c r="E185" t="s">
        <v>4866</v>
      </c>
      <c r="F185">
        <v>9960825838</v>
      </c>
      <c r="G185" t="s">
        <v>24</v>
      </c>
      <c r="H185" t="s">
        <v>4823</v>
      </c>
      <c r="I185" t="s">
        <v>4808</v>
      </c>
      <c r="J185" t="s">
        <v>4809</v>
      </c>
      <c r="K185" s="1">
        <v>43761</v>
      </c>
      <c r="L185">
        <v>43637</v>
      </c>
      <c r="M185" s="1">
        <v>45021</v>
      </c>
      <c r="N185" t="s">
        <v>4782</v>
      </c>
      <c r="O185">
        <v>11000</v>
      </c>
      <c r="P185">
        <v>0.113</v>
      </c>
      <c r="Q185">
        <v>1243</v>
      </c>
      <c r="R185" t="s">
        <v>4794</v>
      </c>
      <c r="S185" t="s">
        <v>3416</v>
      </c>
      <c r="T185">
        <v>81</v>
      </c>
      <c r="U185" t="s">
        <v>4796</v>
      </c>
      <c r="V185">
        <v>37500</v>
      </c>
      <c r="W185">
        <v>14477.76</v>
      </c>
      <c r="X185">
        <v>0.38600000000000001</v>
      </c>
      <c r="Y185" t="s">
        <v>4792</v>
      </c>
      <c r="Z185">
        <v>2023</v>
      </c>
      <c r="AA185">
        <v>1</v>
      </c>
    </row>
    <row r="186" spans="1:27">
      <c r="A186" t="s">
        <v>4864</v>
      </c>
      <c r="B186" t="s">
        <v>4865</v>
      </c>
      <c r="C186" t="s">
        <v>428</v>
      </c>
      <c r="D186" t="s">
        <v>238</v>
      </c>
      <c r="E186" t="s">
        <v>4866</v>
      </c>
      <c r="F186">
        <v>9960825838</v>
      </c>
      <c r="G186" t="s">
        <v>24</v>
      </c>
      <c r="H186" t="s">
        <v>4823</v>
      </c>
      <c r="I186" t="s">
        <v>4808</v>
      </c>
      <c r="J186" t="s">
        <v>4809</v>
      </c>
      <c r="K186" s="1">
        <v>43761</v>
      </c>
      <c r="L186">
        <v>43637</v>
      </c>
      <c r="M186" s="1">
        <v>45224</v>
      </c>
      <c r="N186" t="s">
        <v>4797</v>
      </c>
      <c r="O186">
        <v>109200</v>
      </c>
      <c r="P186">
        <v>9.1999999999999998E-2</v>
      </c>
      <c r="Q186">
        <v>0</v>
      </c>
      <c r="R186" t="s">
        <v>4794</v>
      </c>
      <c r="S186" t="s">
        <v>3322</v>
      </c>
      <c r="T186">
        <v>55</v>
      </c>
      <c r="U186" t="s">
        <v>4795</v>
      </c>
      <c r="V186">
        <v>37500</v>
      </c>
      <c r="W186">
        <v>61779.91</v>
      </c>
      <c r="X186">
        <v>1.647</v>
      </c>
      <c r="Y186" t="s">
        <v>4784</v>
      </c>
      <c r="Z186">
        <v>2023</v>
      </c>
      <c r="AA186">
        <v>0</v>
      </c>
    </row>
    <row r="187" spans="1:27">
      <c r="A187" t="s">
        <v>4864</v>
      </c>
      <c r="B187" t="s">
        <v>4865</v>
      </c>
      <c r="C187" t="s">
        <v>428</v>
      </c>
      <c r="D187" t="s">
        <v>238</v>
      </c>
      <c r="E187" t="s">
        <v>4866</v>
      </c>
      <c r="F187">
        <v>9960825838</v>
      </c>
      <c r="G187" t="s">
        <v>24</v>
      </c>
      <c r="H187" t="s">
        <v>4823</v>
      </c>
      <c r="I187" t="s">
        <v>4808</v>
      </c>
      <c r="J187" t="s">
        <v>4809</v>
      </c>
      <c r="K187" s="1">
        <v>43761</v>
      </c>
      <c r="L187">
        <v>43637</v>
      </c>
      <c r="M187" s="1">
        <v>45232</v>
      </c>
      <c r="N187" t="s">
        <v>4782</v>
      </c>
      <c r="O187">
        <v>57100</v>
      </c>
      <c r="P187">
        <v>3.7999999999999999E-2</v>
      </c>
      <c r="Q187">
        <v>2169.8000000000002</v>
      </c>
      <c r="R187" t="s">
        <v>4788</v>
      </c>
      <c r="S187" t="s">
        <v>3310</v>
      </c>
      <c r="T187">
        <v>51</v>
      </c>
      <c r="U187" t="s">
        <v>26</v>
      </c>
      <c r="V187">
        <v>37500</v>
      </c>
      <c r="W187">
        <v>77101.070000000007</v>
      </c>
      <c r="X187">
        <v>2.056</v>
      </c>
      <c r="Y187" t="s">
        <v>4784</v>
      </c>
      <c r="Z187">
        <v>2023</v>
      </c>
      <c r="AA187">
        <v>1</v>
      </c>
    </row>
    <row r="188" spans="1:27">
      <c r="A188" t="s">
        <v>4864</v>
      </c>
      <c r="B188" t="s">
        <v>4865</v>
      </c>
      <c r="C188" t="s">
        <v>428</v>
      </c>
      <c r="D188" t="s">
        <v>238</v>
      </c>
      <c r="E188" t="s">
        <v>4866</v>
      </c>
      <c r="F188">
        <v>9960825838</v>
      </c>
      <c r="G188" t="s">
        <v>24</v>
      </c>
      <c r="H188" t="s">
        <v>4823</v>
      </c>
      <c r="I188" t="s">
        <v>4808</v>
      </c>
      <c r="J188" t="s">
        <v>4809</v>
      </c>
      <c r="K188" s="1">
        <v>43761</v>
      </c>
      <c r="L188">
        <v>43637</v>
      </c>
      <c r="M188" s="1">
        <v>45485</v>
      </c>
      <c r="N188" t="s">
        <v>4782</v>
      </c>
      <c r="O188">
        <v>101900</v>
      </c>
      <c r="P188">
        <v>8.2000000000000003E-2</v>
      </c>
      <c r="Q188">
        <v>8355.7999999999993</v>
      </c>
      <c r="R188" t="s">
        <v>4794</v>
      </c>
      <c r="S188" t="s">
        <v>3322</v>
      </c>
      <c r="T188">
        <v>11</v>
      </c>
      <c r="U188" t="s">
        <v>4787</v>
      </c>
      <c r="V188">
        <v>37500</v>
      </c>
      <c r="W188">
        <v>93951.13</v>
      </c>
      <c r="X188">
        <v>2.5049999999999999</v>
      </c>
      <c r="Y188" t="s">
        <v>4784</v>
      </c>
      <c r="Z188">
        <v>2024</v>
      </c>
      <c r="AA188">
        <v>1</v>
      </c>
    </row>
    <row r="189" spans="1:27">
      <c r="A189" t="s">
        <v>4864</v>
      </c>
      <c r="B189" t="s">
        <v>4865</v>
      </c>
      <c r="C189" t="s">
        <v>428</v>
      </c>
      <c r="D189" t="s">
        <v>238</v>
      </c>
      <c r="E189" t="s">
        <v>4866</v>
      </c>
      <c r="F189">
        <v>9960825838</v>
      </c>
      <c r="G189" t="s">
        <v>24</v>
      </c>
      <c r="H189" t="s">
        <v>4823</v>
      </c>
      <c r="I189" t="s">
        <v>4808</v>
      </c>
      <c r="J189" t="s">
        <v>4809</v>
      </c>
      <c r="K189" s="1">
        <v>43761</v>
      </c>
      <c r="L189">
        <v>43637</v>
      </c>
      <c r="M189" s="1">
        <v>45491</v>
      </c>
      <c r="N189" t="s">
        <v>4797</v>
      </c>
      <c r="O189">
        <v>134500</v>
      </c>
      <c r="P189">
        <v>4.1000000000000002E-2</v>
      </c>
      <c r="Q189">
        <v>0</v>
      </c>
      <c r="R189" t="s">
        <v>4794</v>
      </c>
      <c r="S189" t="s">
        <v>3310</v>
      </c>
      <c r="T189">
        <v>25</v>
      </c>
      <c r="U189" t="s">
        <v>4795</v>
      </c>
      <c r="V189">
        <v>37500</v>
      </c>
      <c r="W189">
        <v>102107.8</v>
      </c>
      <c r="X189">
        <v>2.7229999999999999</v>
      </c>
      <c r="Y189" t="s">
        <v>4784</v>
      </c>
      <c r="Z189">
        <v>2024</v>
      </c>
      <c r="AA189">
        <v>0</v>
      </c>
    </row>
    <row r="190" spans="1:27">
      <c r="A190" t="s">
        <v>4864</v>
      </c>
      <c r="B190" t="s">
        <v>4865</v>
      </c>
      <c r="C190" t="s">
        <v>428</v>
      </c>
      <c r="D190" t="s">
        <v>238</v>
      </c>
      <c r="E190" t="s">
        <v>4866</v>
      </c>
      <c r="F190">
        <v>9960825838</v>
      </c>
      <c r="G190" t="s">
        <v>24</v>
      </c>
      <c r="H190" t="s">
        <v>4823</v>
      </c>
      <c r="I190" t="s">
        <v>4808</v>
      </c>
      <c r="J190" t="s">
        <v>4809</v>
      </c>
      <c r="K190" s="1">
        <v>43761</v>
      </c>
      <c r="L190">
        <v>43637</v>
      </c>
      <c r="M190" s="1">
        <v>45509</v>
      </c>
      <c r="N190" t="s">
        <v>4782</v>
      </c>
      <c r="O190">
        <v>73600</v>
      </c>
      <c r="P190">
        <v>9.2999999999999999E-2</v>
      </c>
      <c r="Q190">
        <v>6844.8</v>
      </c>
      <c r="R190" t="s">
        <v>4786</v>
      </c>
      <c r="S190" t="s">
        <v>3302</v>
      </c>
      <c r="T190">
        <v>52</v>
      </c>
      <c r="U190" t="s">
        <v>26</v>
      </c>
      <c r="V190">
        <v>37500</v>
      </c>
      <c r="W190">
        <v>76570.009999999995</v>
      </c>
      <c r="X190">
        <v>2.0419999999999998</v>
      </c>
      <c r="Y190" t="s">
        <v>4784</v>
      </c>
      <c r="Z190">
        <v>2024</v>
      </c>
      <c r="AA190">
        <v>1</v>
      </c>
    </row>
    <row r="191" spans="1:27">
      <c r="A191" t="s">
        <v>4864</v>
      </c>
      <c r="B191" t="s">
        <v>4865</v>
      </c>
      <c r="C191" t="s">
        <v>428</v>
      </c>
      <c r="D191" t="s">
        <v>238</v>
      </c>
      <c r="E191" t="s">
        <v>4866</v>
      </c>
      <c r="F191">
        <v>9960825838</v>
      </c>
      <c r="G191" t="s">
        <v>24</v>
      </c>
      <c r="H191" t="s">
        <v>4823</v>
      </c>
      <c r="I191" t="s">
        <v>4808</v>
      </c>
      <c r="J191" t="s">
        <v>4809</v>
      </c>
      <c r="K191" s="1">
        <v>43761</v>
      </c>
      <c r="L191">
        <v>43637</v>
      </c>
      <c r="M191" s="1">
        <v>45574</v>
      </c>
      <c r="N191" t="s">
        <v>4789</v>
      </c>
      <c r="O191">
        <v>39100</v>
      </c>
      <c r="P191">
        <v>6.9000000000000006E-2</v>
      </c>
      <c r="Q191">
        <v>0</v>
      </c>
      <c r="R191" t="s">
        <v>4786</v>
      </c>
      <c r="S191" t="s">
        <v>3416</v>
      </c>
      <c r="T191">
        <v>28</v>
      </c>
      <c r="U191" t="s">
        <v>4795</v>
      </c>
      <c r="V191">
        <v>37500</v>
      </c>
      <c r="W191">
        <v>45122.86</v>
      </c>
      <c r="X191">
        <v>1.2030000000000001</v>
      </c>
      <c r="Y191" t="s">
        <v>4784</v>
      </c>
      <c r="Z191">
        <v>2024</v>
      </c>
      <c r="AA191">
        <v>0</v>
      </c>
    </row>
    <row r="192" spans="1:27">
      <c r="A192" t="s">
        <v>4867</v>
      </c>
      <c r="B192" t="s">
        <v>4839</v>
      </c>
      <c r="C192" t="s">
        <v>61</v>
      </c>
      <c r="D192" t="s">
        <v>301</v>
      </c>
      <c r="E192" t="s">
        <v>4868</v>
      </c>
      <c r="F192">
        <v>9773313663</v>
      </c>
      <c r="G192" t="s">
        <v>76</v>
      </c>
      <c r="H192" t="s">
        <v>4802</v>
      </c>
      <c r="I192" t="s">
        <v>4780</v>
      </c>
      <c r="J192" t="s">
        <v>4845</v>
      </c>
      <c r="K192" s="1">
        <v>44326</v>
      </c>
      <c r="L192">
        <v>49154</v>
      </c>
      <c r="M192" s="1">
        <v>44646</v>
      </c>
      <c r="N192" t="s">
        <v>4785</v>
      </c>
      <c r="O192">
        <v>52000</v>
      </c>
      <c r="P192">
        <v>5.2999999999999999E-2</v>
      </c>
      <c r="Q192">
        <v>0</v>
      </c>
      <c r="R192" t="s">
        <v>4783</v>
      </c>
      <c r="S192" t="s">
        <v>3322</v>
      </c>
      <c r="T192">
        <v>44</v>
      </c>
      <c r="U192" t="s">
        <v>26</v>
      </c>
      <c r="V192">
        <v>33333.33</v>
      </c>
      <c r="W192">
        <v>32173.83</v>
      </c>
      <c r="X192">
        <v>0.96499999999999997</v>
      </c>
      <c r="Y192" t="s">
        <v>4793</v>
      </c>
      <c r="Z192">
        <v>2022</v>
      </c>
      <c r="AA192">
        <v>0</v>
      </c>
    </row>
    <row r="193" spans="1:27">
      <c r="A193" t="s">
        <v>4867</v>
      </c>
      <c r="B193" t="s">
        <v>4839</v>
      </c>
      <c r="C193" t="s">
        <v>61</v>
      </c>
      <c r="D193" t="s">
        <v>301</v>
      </c>
      <c r="E193" t="s">
        <v>4868</v>
      </c>
      <c r="F193">
        <v>9773313663</v>
      </c>
      <c r="G193" t="s">
        <v>76</v>
      </c>
      <c r="H193" t="s">
        <v>4802</v>
      </c>
      <c r="I193" t="s">
        <v>4780</v>
      </c>
      <c r="J193" t="s">
        <v>4845</v>
      </c>
      <c r="K193" s="1">
        <v>44326</v>
      </c>
      <c r="L193">
        <v>49154</v>
      </c>
      <c r="M193" s="1">
        <v>44682</v>
      </c>
      <c r="N193" t="s">
        <v>4782</v>
      </c>
      <c r="O193">
        <v>92300</v>
      </c>
      <c r="P193">
        <v>0.114</v>
      </c>
      <c r="Q193">
        <v>10522.2</v>
      </c>
      <c r="R193" t="s">
        <v>4790</v>
      </c>
      <c r="S193" t="s">
        <v>3317</v>
      </c>
      <c r="T193">
        <v>78</v>
      </c>
      <c r="U193" t="s">
        <v>4787</v>
      </c>
      <c r="V193">
        <v>33333.33</v>
      </c>
      <c r="W193">
        <v>46595.34</v>
      </c>
      <c r="X193">
        <v>1.3979999999999999</v>
      </c>
      <c r="Y193" t="s">
        <v>4784</v>
      </c>
      <c r="Z193">
        <v>2022</v>
      </c>
      <c r="AA193">
        <v>1</v>
      </c>
    </row>
    <row r="194" spans="1:27">
      <c r="A194" t="s">
        <v>4867</v>
      </c>
      <c r="B194" t="s">
        <v>4839</v>
      </c>
      <c r="C194" t="s">
        <v>61</v>
      </c>
      <c r="D194" t="s">
        <v>301</v>
      </c>
      <c r="E194" t="s">
        <v>4868</v>
      </c>
      <c r="F194">
        <v>9773313663</v>
      </c>
      <c r="G194" t="s">
        <v>76</v>
      </c>
      <c r="H194" t="s">
        <v>4802</v>
      </c>
      <c r="I194" t="s">
        <v>4780</v>
      </c>
      <c r="J194" t="s">
        <v>4845</v>
      </c>
      <c r="K194" s="1">
        <v>44326</v>
      </c>
      <c r="L194">
        <v>49154</v>
      </c>
      <c r="M194" s="1">
        <v>44865</v>
      </c>
      <c r="N194" t="s">
        <v>4782</v>
      </c>
      <c r="O194">
        <v>96600</v>
      </c>
      <c r="P194">
        <v>3.7999999999999999E-2</v>
      </c>
      <c r="Q194">
        <v>3670.8</v>
      </c>
      <c r="R194" t="s">
        <v>4798</v>
      </c>
      <c r="S194" t="s">
        <v>3317</v>
      </c>
      <c r="T194">
        <v>24</v>
      </c>
      <c r="U194" t="s">
        <v>4796</v>
      </c>
      <c r="V194">
        <v>33333.33</v>
      </c>
      <c r="W194">
        <v>113499.49</v>
      </c>
      <c r="X194">
        <v>3.4049999999999998</v>
      </c>
      <c r="Y194" t="s">
        <v>4784</v>
      </c>
      <c r="Z194">
        <v>2022</v>
      </c>
      <c r="AA194">
        <v>1</v>
      </c>
    </row>
    <row r="195" spans="1:27">
      <c r="A195" t="s">
        <v>4867</v>
      </c>
      <c r="B195" t="s">
        <v>4839</v>
      </c>
      <c r="C195" t="s">
        <v>61</v>
      </c>
      <c r="D195" t="s">
        <v>301</v>
      </c>
      <c r="E195" t="s">
        <v>4868</v>
      </c>
      <c r="F195">
        <v>9773313663</v>
      </c>
      <c r="G195" t="s">
        <v>76</v>
      </c>
      <c r="H195" t="s">
        <v>4802</v>
      </c>
      <c r="I195" t="s">
        <v>4780</v>
      </c>
      <c r="J195" t="s">
        <v>4845</v>
      </c>
      <c r="K195" s="1">
        <v>44326</v>
      </c>
      <c r="L195">
        <v>49154</v>
      </c>
      <c r="M195" s="1">
        <v>44866</v>
      </c>
      <c r="N195" t="s">
        <v>4782</v>
      </c>
      <c r="O195">
        <v>65300</v>
      </c>
      <c r="P195">
        <v>4.5999999999999999E-2</v>
      </c>
      <c r="Q195">
        <v>3003.8</v>
      </c>
      <c r="R195" t="s">
        <v>4790</v>
      </c>
      <c r="S195" t="s">
        <v>3317</v>
      </c>
      <c r="T195">
        <v>21</v>
      </c>
      <c r="U195" t="s">
        <v>26</v>
      </c>
      <c r="V195">
        <v>33333.33</v>
      </c>
      <c r="W195">
        <v>58298.98</v>
      </c>
      <c r="X195">
        <v>1.7490000000000001</v>
      </c>
      <c r="Y195" t="s">
        <v>4784</v>
      </c>
      <c r="Z195">
        <v>2022</v>
      </c>
      <c r="AA195">
        <v>1</v>
      </c>
    </row>
    <row r="196" spans="1:27">
      <c r="A196" t="s">
        <v>4867</v>
      </c>
      <c r="B196" t="s">
        <v>4839</v>
      </c>
      <c r="C196" t="s">
        <v>61</v>
      </c>
      <c r="D196" t="s">
        <v>301</v>
      </c>
      <c r="E196" t="s">
        <v>4868</v>
      </c>
      <c r="F196">
        <v>9773313663</v>
      </c>
      <c r="G196" t="s">
        <v>76</v>
      </c>
      <c r="H196" t="s">
        <v>4802</v>
      </c>
      <c r="I196" t="s">
        <v>4780</v>
      </c>
      <c r="J196" t="s">
        <v>4845</v>
      </c>
      <c r="K196" s="1">
        <v>44326</v>
      </c>
      <c r="L196">
        <v>49154</v>
      </c>
      <c r="M196" s="1">
        <v>45120</v>
      </c>
      <c r="N196" t="s">
        <v>4785</v>
      </c>
      <c r="O196">
        <v>238500</v>
      </c>
      <c r="P196">
        <v>0.09</v>
      </c>
      <c r="Q196">
        <v>0</v>
      </c>
      <c r="R196" t="s">
        <v>4786</v>
      </c>
      <c r="S196" t="s">
        <v>3416</v>
      </c>
      <c r="T196">
        <v>1</v>
      </c>
      <c r="U196" t="s">
        <v>4796</v>
      </c>
      <c r="V196">
        <v>33333.33</v>
      </c>
      <c r="W196">
        <v>208634.34</v>
      </c>
      <c r="X196">
        <v>6.2590000000000003</v>
      </c>
      <c r="Y196" t="s">
        <v>4784</v>
      </c>
      <c r="Z196">
        <v>2023</v>
      </c>
      <c r="AA196">
        <v>0</v>
      </c>
    </row>
    <row r="197" spans="1:27">
      <c r="A197" t="s">
        <v>4867</v>
      </c>
      <c r="B197" t="s">
        <v>4839</v>
      </c>
      <c r="C197" t="s">
        <v>61</v>
      </c>
      <c r="D197" t="s">
        <v>301</v>
      </c>
      <c r="E197" t="s">
        <v>4868</v>
      </c>
      <c r="F197">
        <v>9773313663</v>
      </c>
      <c r="G197" t="s">
        <v>76</v>
      </c>
      <c r="H197" t="s">
        <v>4802</v>
      </c>
      <c r="I197" t="s">
        <v>4780</v>
      </c>
      <c r="J197" t="s">
        <v>4845</v>
      </c>
      <c r="K197" s="1">
        <v>44326</v>
      </c>
      <c r="L197">
        <v>49154</v>
      </c>
      <c r="M197" s="1">
        <v>45211</v>
      </c>
      <c r="N197" t="s">
        <v>4797</v>
      </c>
      <c r="O197">
        <v>144000</v>
      </c>
      <c r="P197">
        <v>6.9000000000000006E-2</v>
      </c>
      <c r="Q197">
        <v>0</v>
      </c>
      <c r="R197" t="s">
        <v>4788</v>
      </c>
      <c r="S197" t="s">
        <v>3302</v>
      </c>
      <c r="T197">
        <v>41</v>
      </c>
      <c r="U197" t="s">
        <v>4787</v>
      </c>
      <c r="V197">
        <v>33333.33</v>
      </c>
      <c r="W197">
        <v>198815.75</v>
      </c>
      <c r="X197">
        <v>5.9640000000000004</v>
      </c>
      <c r="Y197" t="s">
        <v>4784</v>
      </c>
      <c r="Z197">
        <v>2023</v>
      </c>
      <c r="AA197">
        <v>0</v>
      </c>
    </row>
    <row r="198" spans="1:27">
      <c r="A198" t="s">
        <v>4867</v>
      </c>
      <c r="B198" t="s">
        <v>4839</v>
      </c>
      <c r="C198" t="s">
        <v>61</v>
      </c>
      <c r="D198" t="s">
        <v>301</v>
      </c>
      <c r="E198" t="s">
        <v>4868</v>
      </c>
      <c r="F198">
        <v>9773313663</v>
      </c>
      <c r="G198" t="s">
        <v>76</v>
      </c>
      <c r="H198" t="s">
        <v>4802</v>
      </c>
      <c r="I198" t="s">
        <v>4780</v>
      </c>
      <c r="J198" t="s">
        <v>4845</v>
      </c>
      <c r="K198" s="1">
        <v>44326</v>
      </c>
      <c r="L198">
        <v>49154</v>
      </c>
      <c r="M198" s="1">
        <v>45454</v>
      </c>
      <c r="N198" t="s">
        <v>4782</v>
      </c>
      <c r="O198">
        <v>87700</v>
      </c>
      <c r="P198">
        <v>9.6000000000000002E-2</v>
      </c>
      <c r="Q198">
        <v>8419.2000000000007</v>
      </c>
      <c r="R198" t="s">
        <v>4790</v>
      </c>
      <c r="S198" t="s">
        <v>3411</v>
      </c>
      <c r="T198">
        <v>20</v>
      </c>
      <c r="U198" t="s">
        <v>26</v>
      </c>
      <c r="V198">
        <v>33333.33</v>
      </c>
      <c r="W198">
        <v>48050.83</v>
      </c>
      <c r="X198">
        <v>1.4419999999999999</v>
      </c>
      <c r="Y198" t="s">
        <v>4784</v>
      </c>
      <c r="Z198">
        <v>2024</v>
      </c>
      <c r="AA198">
        <v>1</v>
      </c>
    </row>
    <row r="199" spans="1:27">
      <c r="A199" t="s">
        <v>4867</v>
      </c>
      <c r="B199" t="s">
        <v>4839</v>
      </c>
      <c r="C199" t="s">
        <v>61</v>
      </c>
      <c r="D199" t="s">
        <v>301</v>
      </c>
      <c r="E199" t="s">
        <v>4868</v>
      </c>
      <c r="F199">
        <v>9773313663</v>
      </c>
      <c r="G199" t="s">
        <v>76</v>
      </c>
      <c r="H199" t="s">
        <v>4802</v>
      </c>
      <c r="I199" t="s">
        <v>4780</v>
      </c>
      <c r="J199" t="s">
        <v>4845</v>
      </c>
      <c r="K199" s="1">
        <v>44326</v>
      </c>
      <c r="L199">
        <v>49154</v>
      </c>
      <c r="M199" s="1">
        <v>45575</v>
      </c>
      <c r="N199" t="s">
        <v>4782</v>
      </c>
      <c r="O199">
        <v>120700</v>
      </c>
      <c r="P199">
        <v>6.2E-2</v>
      </c>
      <c r="Q199">
        <v>7483.4</v>
      </c>
      <c r="R199" t="s">
        <v>4794</v>
      </c>
      <c r="S199" t="s">
        <v>3416</v>
      </c>
      <c r="T199">
        <v>63</v>
      </c>
      <c r="U199" t="s">
        <v>26</v>
      </c>
      <c r="V199">
        <v>33333.33</v>
      </c>
      <c r="W199">
        <v>113903.35</v>
      </c>
      <c r="X199">
        <v>3.4169999999999998</v>
      </c>
      <c r="Y199" t="s">
        <v>4784</v>
      </c>
      <c r="Z199">
        <v>2024</v>
      </c>
      <c r="AA199">
        <v>1</v>
      </c>
    </row>
    <row r="200" spans="1:27">
      <c r="A200" t="s">
        <v>4867</v>
      </c>
      <c r="B200" t="s">
        <v>4839</v>
      </c>
      <c r="C200" t="s">
        <v>61</v>
      </c>
      <c r="D200" t="s">
        <v>301</v>
      </c>
      <c r="E200" t="s">
        <v>4868</v>
      </c>
      <c r="F200">
        <v>9773313663</v>
      </c>
      <c r="G200" t="s">
        <v>76</v>
      </c>
      <c r="H200" t="s">
        <v>4802</v>
      </c>
      <c r="I200" t="s">
        <v>4780</v>
      </c>
      <c r="J200" t="s">
        <v>4845</v>
      </c>
      <c r="K200" s="1">
        <v>44326</v>
      </c>
      <c r="L200">
        <v>49154</v>
      </c>
      <c r="M200" s="1">
        <v>45584</v>
      </c>
      <c r="N200" t="s">
        <v>4782</v>
      </c>
      <c r="O200">
        <v>201000</v>
      </c>
      <c r="P200">
        <v>6.2E-2</v>
      </c>
      <c r="Q200">
        <v>12462</v>
      </c>
      <c r="R200" t="s">
        <v>4790</v>
      </c>
      <c r="S200" t="s">
        <v>3317</v>
      </c>
      <c r="T200">
        <v>34</v>
      </c>
      <c r="U200" t="s">
        <v>4795</v>
      </c>
      <c r="V200">
        <v>33333.33</v>
      </c>
      <c r="W200">
        <v>194020.36</v>
      </c>
      <c r="X200">
        <v>5.8209999999999997</v>
      </c>
      <c r="Y200" t="s">
        <v>4784</v>
      </c>
      <c r="Z200">
        <v>2024</v>
      </c>
      <c r="AA200">
        <v>1</v>
      </c>
    </row>
    <row r="201" spans="1:27">
      <c r="A201" t="s">
        <v>4867</v>
      </c>
      <c r="B201" t="s">
        <v>4839</v>
      </c>
      <c r="C201" t="s">
        <v>61</v>
      </c>
      <c r="D201" t="s">
        <v>301</v>
      </c>
      <c r="E201" t="s">
        <v>4868</v>
      </c>
      <c r="F201">
        <v>9773313663</v>
      </c>
      <c r="G201" t="s">
        <v>76</v>
      </c>
      <c r="H201" t="s">
        <v>4802</v>
      </c>
      <c r="I201" t="s">
        <v>4780</v>
      </c>
      <c r="J201" t="s">
        <v>4845</v>
      </c>
      <c r="K201" s="1">
        <v>44326</v>
      </c>
      <c r="L201">
        <v>49154</v>
      </c>
      <c r="M201" s="1">
        <v>45595</v>
      </c>
      <c r="N201" t="s">
        <v>4785</v>
      </c>
      <c r="O201">
        <v>104900</v>
      </c>
      <c r="P201">
        <v>5.7000000000000002E-2</v>
      </c>
      <c r="Q201">
        <v>0</v>
      </c>
      <c r="R201" t="s">
        <v>4790</v>
      </c>
      <c r="S201" t="s">
        <v>3348</v>
      </c>
      <c r="T201">
        <v>48</v>
      </c>
      <c r="U201" t="s">
        <v>4796</v>
      </c>
      <c r="V201">
        <v>33333.33</v>
      </c>
      <c r="W201">
        <v>143844.34</v>
      </c>
      <c r="X201">
        <v>4.3150000000000004</v>
      </c>
      <c r="Y201" t="s">
        <v>4784</v>
      </c>
      <c r="Z201">
        <v>2024</v>
      </c>
      <c r="AA201">
        <v>0</v>
      </c>
    </row>
    <row r="202" spans="1:27">
      <c r="A202" t="s">
        <v>4869</v>
      </c>
      <c r="B202" t="s">
        <v>4870</v>
      </c>
      <c r="C202" t="s">
        <v>834</v>
      </c>
      <c r="D202" t="s">
        <v>385</v>
      </c>
      <c r="E202" t="s">
        <v>4871</v>
      </c>
      <c r="F202">
        <v>9672233721</v>
      </c>
      <c r="G202" t="s">
        <v>46</v>
      </c>
      <c r="H202" t="s">
        <v>4833</v>
      </c>
      <c r="I202" t="s">
        <v>4780</v>
      </c>
      <c r="J202" t="s">
        <v>4829</v>
      </c>
      <c r="K202" s="1">
        <v>45029</v>
      </c>
      <c r="L202">
        <v>32996</v>
      </c>
      <c r="M202" s="1">
        <v>45073</v>
      </c>
      <c r="N202" t="s">
        <v>4797</v>
      </c>
      <c r="O202">
        <v>168100</v>
      </c>
      <c r="P202">
        <v>0.11600000000000001</v>
      </c>
      <c r="Q202">
        <v>0</v>
      </c>
      <c r="R202" t="s">
        <v>4788</v>
      </c>
      <c r="S202" t="s">
        <v>3348</v>
      </c>
      <c r="T202">
        <v>73</v>
      </c>
      <c r="U202" t="s">
        <v>4796</v>
      </c>
      <c r="V202">
        <v>41666.67</v>
      </c>
      <c r="W202">
        <v>116027.69</v>
      </c>
      <c r="X202">
        <v>2.7850000000000001</v>
      </c>
      <c r="Y202" t="s">
        <v>4784</v>
      </c>
      <c r="Z202">
        <v>2023</v>
      </c>
      <c r="AA202">
        <v>0</v>
      </c>
    </row>
    <row r="203" spans="1:27">
      <c r="A203" t="s">
        <v>4869</v>
      </c>
      <c r="B203" t="s">
        <v>4870</v>
      </c>
      <c r="C203" t="s">
        <v>834</v>
      </c>
      <c r="D203" t="s">
        <v>385</v>
      </c>
      <c r="E203" t="s">
        <v>4871</v>
      </c>
      <c r="F203">
        <v>9672233721</v>
      </c>
      <c r="G203" t="s">
        <v>46</v>
      </c>
      <c r="H203" t="s">
        <v>4833</v>
      </c>
      <c r="I203" t="s">
        <v>4780</v>
      </c>
      <c r="J203" t="s">
        <v>4829</v>
      </c>
      <c r="K203" s="1">
        <v>45029</v>
      </c>
      <c r="L203">
        <v>32996</v>
      </c>
      <c r="M203" s="1">
        <v>45078</v>
      </c>
      <c r="N203" t="s">
        <v>4797</v>
      </c>
      <c r="O203">
        <v>79200</v>
      </c>
      <c r="P203">
        <v>5.8999999999999997E-2</v>
      </c>
      <c r="Q203">
        <v>0</v>
      </c>
      <c r="R203" t="s">
        <v>4791</v>
      </c>
      <c r="S203" t="s">
        <v>3348</v>
      </c>
      <c r="T203">
        <v>10</v>
      </c>
      <c r="U203" t="s">
        <v>26</v>
      </c>
      <c r="V203">
        <v>41666.67</v>
      </c>
      <c r="W203">
        <v>46197.04</v>
      </c>
      <c r="X203">
        <v>1.109</v>
      </c>
      <c r="Y203" t="s">
        <v>4784</v>
      </c>
      <c r="Z203">
        <v>2023</v>
      </c>
      <c r="AA203">
        <v>0</v>
      </c>
    </row>
    <row r="204" spans="1:27">
      <c r="A204" t="s">
        <v>4869</v>
      </c>
      <c r="B204" t="s">
        <v>4870</v>
      </c>
      <c r="C204" t="s">
        <v>834</v>
      </c>
      <c r="D204" t="s">
        <v>385</v>
      </c>
      <c r="E204" t="s">
        <v>4871</v>
      </c>
      <c r="F204">
        <v>9672233721</v>
      </c>
      <c r="G204" t="s">
        <v>46</v>
      </c>
      <c r="H204" t="s">
        <v>4833</v>
      </c>
      <c r="I204" t="s">
        <v>4780</v>
      </c>
      <c r="J204" t="s">
        <v>4829</v>
      </c>
      <c r="K204" s="1">
        <v>45029</v>
      </c>
      <c r="L204">
        <v>32996</v>
      </c>
      <c r="M204" s="1">
        <v>45107</v>
      </c>
      <c r="N204" t="s">
        <v>4782</v>
      </c>
      <c r="O204">
        <v>206400</v>
      </c>
      <c r="P204">
        <v>7.4999999999999997E-2</v>
      </c>
      <c r="Q204">
        <v>15480</v>
      </c>
      <c r="R204" t="s">
        <v>4791</v>
      </c>
      <c r="S204" t="s">
        <v>3317</v>
      </c>
      <c r="T204">
        <v>4</v>
      </c>
      <c r="U204" t="s">
        <v>4795</v>
      </c>
      <c r="V204">
        <v>41666.67</v>
      </c>
      <c r="W204">
        <v>229760.58</v>
      </c>
      <c r="X204">
        <v>5.5140000000000002</v>
      </c>
      <c r="Y204" t="s">
        <v>4784</v>
      </c>
      <c r="Z204">
        <v>2023</v>
      </c>
      <c r="AA204">
        <v>1</v>
      </c>
    </row>
    <row r="205" spans="1:27">
      <c r="A205" t="s">
        <v>4869</v>
      </c>
      <c r="B205" t="s">
        <v>4870</v>
      </c>
      <c r="C205" t="s">
        <v>834</v>
      </c>
      <c r="D205" t="s">
        <v>385</v>
      </c>
      <c r="E205" t="s">
        <v>4871</v>
      </c>
      <c r="F205">
        <v>9672233721</v>
      </c>
      <c r="G205" t="s">
        <v>46</v>
      </c>
      <c r="H205" t="s">
        <v>4833</v>
      </c>
      <c r="I205" t="s">
        <v>4780</v>
      </c>
      <c r="J205" t="s">
        <v>4829</v>
      </c>
      <c r="K205" s="1">
        <v>45029</v>
      </c>
      <c r="L205">
        <v>32996</v>
      </c>
      <c r="M205" s="1">
        <v>45127</v>
      </c>
      <c r="N205" t="s">
        <v>4782</v>
      </c>
      <c r="O205">
        <v>139400</v>
      </c>
      <c r="P205">
        <v>4.8000000000000001E-2</v>
      </c>
      <c r="Q205">
        <v>6691.2</v>
      </c>
      <c r="R205" t="s">
        <v>4790</v>
      </c>
      <c r="S205" t="s">
        <v>3322</v>
      </c>
      <c r="T205">
        <v>61</v>
      </c>
      <c r="U205" t="s">
        <v>4795</v>
      </c>
      <c r="V205">
        <v>41666.67</v>
      </c>
      <c r="W205">
        <v>140341.14000000001</v>
      </c>
      <c r="X205">
        <v>3.3679999999999999</v>
      </c>
      <c r="Y205" t="s">
        <v>4784</v>
      </c>
      <c r="Z205">
        <v>2023</v>
      </c>
      <c r="AA205">
        <v>1</v>
      </c>
    </row>
    <row r="206" spans="1:27">
      <c r="A206" t="s">
        <v>4869</v>
      </c>
      <c r="B206" t="s">
        <v>4870</v>
      </c>
      <c r="C206" t="s">
        <v>834</v>
      </c>
      <c r="D206" t="s">
        <v>385</v>
      </c>
      <c r="E206" t="s">
        <v>4871</v>
      </c>
      <c r="F206">
        <v>9672233721</v>
      </c>
      <c r="G206" t="s">
        <v>46</v>
      </c>
      <c r="H206" t="s">
        <v>4833</v>
      </c>
      <c r="I206" t="s">
        <v>4780</v>
      </c>
      <c r="J206" t="s">
        <v>4829</v>
      </c>
      <c r="K206" s="1">
        <v>45029</v>
      </c>
      <c r="L206">
        <v>32996</v>
      </c>
      <c r="M206" s="1">
        <v>45153</v>
      </c>
      <c r="N206" t="s">
        <v>4789</v>
      </c>
      <c r="O206">
        <v>102900</v>
      </c>
      <c r="P206">
        <v>8.3000000000000004E-2</v>
      </c>
      <c r="Q206">
        <v>0</v>
      </c>
      <c r="R206" t="s">
        <v>4791</v>
      </c>
      <c r="S206" t="s">
        <v>3411</v>
      </c>
      <c r="T206">
        <v>42</v>
      </c>
      <c r="U206" t="s">
        <v>4796</v>
      </c>
      <c r="V206">
        <v>41666.67</v>
      </c>
      <c r="W206">
        <v>54124.07</v>
      </c>
      <c r="X206">
        <v>1.2989999999999999</v>
      </c>
      <c r="Y206" t="s">
        <v>4784</v>
      </c>
      <c r="Z206">
        <v>2023</v>
      </c>
      <c r="AA206">
        <v>0</v>
      </c>
    </row>
    <row r="207" spans="1:27">
      <c r="A207" t="s">
        <v>4869</v>
      </c>
      <c r="B207" t="s">
        <v>4870</v>
      </c>
      <c r="C207" t="s">
        <v>834</v>
      </c>
      <c r="D207" t="s">
        <v>385</v>
      </c>
      <c r="E207" t="s">
        <v>4871</v>
      </c>
      <c r="F207">
        <v>9672233721</v>
      </c>
      <c r="G207" t="s">
        <v>46</v>
      </c>
      <c r="H207" t="s">
        <v>4833</v>
      </c>
      <c r="I207" t="s">
        <v>4780</v>
      </c>
      <c r="J207" t="s">
        <v>4829</v>
      </c>
      <c r="K207" s="1">
        <v>45029</v>
      </c>
      <c r="L207">
        <v>32996</v>
      </c>
      <c r="M207" s="1">
        <v>45195</v>
      </c>
      <c r="N207" t="s">
        <v>4789</v>
      </c>
      <c r="O207">
        <v>209300</v>
      </c>
      <c r="P207">
        <v>6.6000000000000003E-2</v>
      </c>
      <c r="Q207">
        <v>0</v>
      </c>
      <c r="R207" t="s">
        <v>4794</v>
      </c>
      <c r="S207" t="s">
        <v>3411</v>
      </c>
      <c r="T207">
        <v>84</v>
      </c>
      <c r="U207" t="s">
        <v>4796</v>
      </c>
      <c r="V207">
        <v>41666.67</v>
      </c>
      <c r="W207">
        <v>127367.8</v>
      </c>
      <c r="X207">
        <v>3.0569999999999999</v>
      </c>
      <c r="Y207" t="s">
        <v>4784</v>
      </c>
      <c r="Z207">
        <v>2023</v>
      </c>
      <c r="AA207">
        <v>0</v>
      </c>
    </row>
    <row r="208" spans="1:27">
      <c r="A208" t="s">
        <v>4869</v>
      </c>
      <c r="B208" t="s">
        <v>4870</v>
      </c>
      <c r="C208" t="s">
        <v>834</v>
      </c>
      <c r="D208" t="s">
        <v>385</v>
      </c>
      <c r="E208" t="s">
        <v>4871</v>
      </c>
      <c r="F208">
        <v>9672233721</v>
      </c>
      <c r="G208" t="s">
        <v>46</v>
      </c>
      <c r="H208" t="s">
        <v>4833</v>
      </c>
      <c r="I208" t="s">
        <v>4780</v>
      </c>
      <c r="J208" t="s">
        <v>4829</v>
      </c>
      <c r="K208" s="1">
        <v>45029</v>
      </c>
      <c r="L208">
        <v>32996</v>
      </c>
      <c r="M208" s="1">
        <v>45290</v>
      </c>
      <c r="N208" t="s">
        <v>4782</v>
      </c>
      <c r="O208">
        <v>67900</v>
      </c>
      <c r="P208">
        <v>0.11700000000000001</v>
      </c>
      <c r="Q208">
        <v>7944.3</v>
      </c>
      <c r="R208" t="s">
        <v>4798</v>
      </c>
      <c r="S208" t="s">
        <v>3322</v>
      </c>
      <c r="T208">
        <v>12</v>
      </c>
      <c r="U208" t="s">
        <v>4787</v>
      </c>
      <c r="V208">
        <v>41666.67</v>
      </c>
      <c r="W208">
        <v>86036.85</v>
      </c>
      <c r="X208">
        <v>2.0649999999999999</v>
      </c>
      <c r="Y208" t="s">
        <v>4784</v>
      </c>
      <c r="Z208">
        <v>2023</v>
      </c>
      <c r="AA208">
        <v>1</v>
      </c>
    </row>
    <row r="209" spans="1:27">
      <c r="A209" t="s">
        <v>4869</v>
      </c>
      <c r="B209" t="s">
        <v>4870</v>
      </c>
      <c r="C209" t="s">
        <v>834</v>
      </c>
      <c r="D209" t="s">
        <v>385</v>
      </c>
      <c r="E209" t="s">
        <v>4871</v>
      </c>
      <c r="F209">
        <v>9672233721</v>
      </c>
      <c r="G209" t="s">
        <v>46</v>
      </c>
      <c r="H209" t="s">
        <v>4833</v>
      </c>
      <c r="I209" t="s">
        <v>4780</v>
      </c>
      <c r="J209" t="s">
        <v>4829</v>
      </c>
      <c r="K209" s="1">
        <v>45029</v>
      </c>
      <c r="L209">
        <v>32996</v>
      </c>
      <c r="M209" s="1">
        <v>45462</v>
      </c>
      <c r="N209" t="s">
        <v>4782</v>
      </c>
      <c r="O209">
        <v>203300</v>
      </c>
      <c r="P209">
        <v>6.8000000000000005E-2</v>
      </c>
      <c r="Q209">
        <v>13824.4</v>
      </c>
      <c r="R209" t="s">
        <v>4788</v>
      </c>
      <c r="S209" t="s">
        <v>3416</v>
      </c>
      <c r="T209">
        <v>24</v>
      </c>
      <c r="U209" t="s">
        <v>26</v>
      </c>
      <c r="V209">
        <v>41666.67</v>
      </c>
      <c r="W209">
        <v>217046.66</v>
      </c>
      <c r="X209">
        <v>5.2089999999999996</v>
      </c>
      <c r="Y209" t="s">
        <v>4784</v>
      </c>
      <c r="Z209">
        <v>2024</v>
      </c>
      <c r="AA209">
        <v>1</v>
      </c>
    </row>
    <row r="210" spans="1:27">
      <c r="A210" t="s">
        <v>4869</v>
      </c>
      <c r="B210" t="s">
        <v>4870</v>
      </c>
      <c r="C210" t="s">
        <v>834</v>
      </c>
      <c r="D210" t="s">
        <v>385</v>
      </c>
      <c r="E210" t="s">
        <v>4871</v>
      </c>
      <c r="F210">
        <v>9672233721</v>
      </c>
      <c r="G210" t="s">
        <v>46</v>
      </c>
      <c r="H210" t="s">
        <v>4833</v>
      </c>
      <c r="I210" t="s">
        <v>4780</v>
      </c>
      <c r="J210" t="s">
        <v>4829</v>
      </c>
      <c r="K210" s="1">
        <v>45029</v>
      </c>
      <c r="L210">
        <v>32996</v>
      </c>
      <c r="M210" s="1">
        <v>45500</v>
      </c>
      <c r="N210" t="s">
        <v>4797</v>
      </c>
      <c r="O210">
        <v>177900</v>
      </c>
      <c r="P210">
        <v>7.2999999999999995E-2</v>
      </c>
      <c r="Q210">
        <v>0</v>
      </c>
      <c r="R210" t="s">
        <v>4794</v>
      </c>
      <c r="S210" t="s">
        <v>3317</v>
      </c>
      <c r="T210">
        <v>77</v>
      </c>
      <c r="U210" t="s">
        <v>4787</v>
      </c>
      <c r="V210">
        <v>41666.67</v>
      </c>
      <c r="W210">
        <v>141694.54</v>
      </c>
      <c r="X210">
        <v>3.4009999999999998</v>
      </c>
      <c r="Y210" t="s">
        <v>4784</v>
      </c>
      <c r="Z210">
        <v>2024</v>
      </c>
      <c r="AA210">
        <v>0</v>
      </c>
    </row>
    <row r="211" spans="1:27">
      <c r="A211" t="s">
        <v>4869</v>
      </c>
      <c r="B211" t="s">
        <v>4870</v>
      </c>
      <c r="C211" t="s">
        <v>834</v>
      </c>
      <c r="D211" t="s">
        <v>385</v>
      </c>
      <c r="E211" t="s">
        <v>4871</v>
      </c>
      <c r="F211">
        <v>9672233721</v>
      </c>
      <c r="G211" t="s">
        <v>46</v>
      </c>
      <c r="H211" t="s">
        <v>4833</v>
      </c>
      <c r="I211" t="s">
        <v>4780</v>
      </c>
      <c r="J211" t="s">
        <v>4829</v>
      </c>
      <c r="K211" s="1">
        <v>45029</v>
      </c>
      <c r="L211">
        <v>32996</v>
      </c>
      <c r="M211" s="1">
        <v>45531</v>
      </c>
      <c r="N211" t="s">
        <v>4789</v>
      </c>
      <c r="O211">
        <v>197900</v>
      </c>
      <c r="P211">
        <v>0.10299999999999999</v>
      </c>
      <c r="Q211">
        <v>0</v>
      </c>
      <c r="R211" t="s">
        <v>4788</v>
      </c>
      <c r="S211" t="s">
        <v>3348</v>
      </c>
      <c r="T211">
        <v>78</v>
      </c>
      <c r="U211" t="s">
        <v>4796</v>
      </c>
      <c r="V211">
        <v>41666.67</v>
      </c>
      <c r="W211">
        <v>162899.37</v>
      </c>
      <c r="X211">
        <v>3.91</v>
      </c>
      <c r="Y211" t="s">
        <v>4784</v>
      </c>
      <c r="Z211">
        <v>2024</v>
      </c>
      <c r="AA211">
        <v>0</v>
      </c>
    </row>
    <row r="212" spans="1:27">
      <c r="A212" t="s">
        <v>4872</v>
      </c>
      <c r="B212" t="s">
        <v>4873</v>
      </c>
      <c r="C212" t="s">
        <v>784</v>
      </c>
      <c r="D212" t="s">
        <v>238</v>
      </c>
      <c r="E212" t="s">
        <v>4874</v>
      </c>
      <c r="F212">
        <v>9928593854</v>
      </c>
      <c r="G212" t="s">
        <v>46</v>
      </c>
      <c r="H212" t="s">
        <v>4833</v>
      </c>
      <c r="I212" t="s">
        <v>4824</v>
      </c>
      <c r="J212" t="s">
        <v>4803</v>
      </c>
      <c r="K212" s="1">
        <v>43957</v>
      </c>
      <c r="L212">
        <v>28813</v>
      </c>
      <c r="M212" s="1">
        <v>44595</v>
      </c>
      <c r="N212" t="s">
        <v>4782</v>
      </c>
      <c r="O212">
        <v>199100</v>
      </c>
      <c r="P212">
        <v>0.09</v>
      </c>
      <c r="Q212">
        <v>17919</v>
      </c>
      <c r="R212" t="s">
        <v>4786</v>
      </c>
      <c r="S212" t="s">
        <v>3411</v>
      </c>
      <c r="T212">
        <v>24</v>
      </c>
      <c r="U212" t="s">
        <v>26</v>
      </c>
      <c r="V212">
        <v>41666.67</v>
      </c>
      <c r="W212">
        <v>107659.91</v>
      </c>
      <c r="X212">
        <v>2.5840000000000001</v>
      </c>
      <c r="Y212" t="s">
        <v>4784</v>
      </c>
      <c r="Z212">
        <v>2022</v>
      </c>
      <c r="AA212">
        <v>1</v>
      </c>
    </row>
    <row r="213" spans="1:27">
      <c r="A213" t="s">
        <v>4872</v>
      </c>
      <c r="B213" t="s">
        <v>4873</v>
      </c>
      <c r="C213" t="s">
        <v>784</v>
      </c>
      <c r="D213" t="s">
        <v>238</v>
      </c>
      <c r="E213" t="s">
        <v>4874</v>
      </c>
      <c r="F213">
        <v>9928593854</v>
      </c>
      <c r="G213" t="s">
        <v>46</v>
      </c>
      <c r="H213" t="s">
        <v>4833</v>
      </c>
      <c r="I213" t="s">
        <v>4824</v>
      </c>
      <c r="J213" t="s">
        <v>4803</v>
      </c>
      <c r="K213" s="1">
        <v>43957</v>
      </c>
      <c r="L213">
        <v>28813</v>
      </c>
      <c r="M213" s="1">
        <v>44659</v>
      </c>
      <c r="N213" t="s">
        <v>4785</v>
      </c>
      <c r="O213">
        <v>25100</v>
      </c>
      <c r="P213">
        <v>0.113</v>
      </c>
      <c r="Q213">
        <v>0</v>
      </c>
      <c r="R213" t="s">
        <v>4783</v>
      </c>
      <c r="S213" t="s">
        <v>3302</v>
      </c>
      <c r="T213">
        <v>66</v>
      </c>
      <c r="U213" t="s">
        <v>26</v>
      </c>
      <c r="V213">
        <v>41666.67</v>
      </c>
      <c r="W213">
        <v>21880.11</v>
      </c>
      <c r="X213">
        <v>0.52500000000000002</v>
      </c>
      <c r="Y213" t="s">
        <v>4792</v>
      </c>
      <c r="Z213">
        <v>2022</v>
      </c>
      <c r="AA213">
        <v>0</v>
      </c>
    </row>
    <row r="214" spans="1:27">
      <c r="A214" t="s">
        <v>4872</v>
      </c>
      <c r="B214" t="s">
        <v>4873</v>
      </c>
      <c r="C214" t="s">
        <v>784</v>
      </c>
      <c r="D214" t="s">
        <v>238</v>
      </c>
      <c r="E214" t="s">
        <v>4874</v>
      </c>
      <c r="F214">
        <v>9928593854</v>
      </c>
      <c r="G214" t="s">
        <v>46</v>
      </c>
      <c r="H214" t="s">
        <v>4833</v>
      </c>
      <c r="I214" t="s">
        <v>4824</v>
      </c>
      <c r="J214" t="s">
        <v>4803</v>
      </c>
      <c r="K214" s="1">
        <v>43957</v>
      </c>
      <c r="L214">
        <v>28813</v>
      </c>
      <c r="M214" s="1">
        <v>44752</v>
      </c>
      <c r="N214" t="s">
        <v>4782</v>
      </c>
      <c r="O214">
        <v>139600</v>
      </c>
      <c r="P214">
        <v>6.0999999999999999E-2</v>
      </c>
      <c r="Q214">
        <v>8515.6</v>
      </c>
      <c r="R214" t="s">
        <v>4790</v>
      </c>
      <c r="S214" t="s">
        <v>3348</v>
      </c>
      <c r="T214">
        <v>29</v>
      </c>
      <c r="U214" t="s">
        <v>4796</v>
      </c>
      <c r="V214">
        <v>41666.67</v>
      </c>
      <c r="W214">
        <v>186729.08</v>
      </c>
      <c r="X214">
        <v>4.4809999999999999</v>
      </c>
      <c r="Y214" t="s">
        <v>4784</v>
      </c>
      <c r="Z214">
        <v>2022</v>
      </c>
      <c r="AA214">
        <v>1</v>
      </c>
    </row>
    <row r="215" spans="1:27">
      <c r="A215" t="s">
        <v>4872</v>
      </c>
      <c r="B215" t="s">
        <v>4873</v>
      </c>
      <c r="C215" t="s">
        <v>784</v>
      </c>
      <c r="D215" t="s">
        <v>238</v>
      </c>
      <c r="E215" t="s">
        <v>4874</v>
      </c>
      <c r="F215">
        <v>9928593854</v>
      </c>
      <c r="G215" t="s">
        <v>46</v>
      </c>
      <c r="H215" t="s">
        <v>4833</v>
      </c>
      <c r="I215" t="s">
        <v>4824</v>
      </c>
      <c r="J215" t="s">
        <v>4803</v>
      </c>
      <c r="K215" s="1">
        <v>43957</v>
      </c>
      <c r="L215">
        <v>28813</v>
      </c>
      <c r="M215" s="1">
        <v>45093</v>
      </c>
      <c r="N215" t="s">
        <v>4797</v>
      </c>
      <c r="O215">
        <v>32900</v>
      </c>
      <c r="P215">
        <v>6.9000000000000006E-2</v>
      </c>
      <c r="Q215">
        <v>0</v>
      </c>
      <c r="R215" t="s">
        <v>4791</v>
      </c>
      <c r="S215" t="s">
        <v>3302</v>
      </c>
      <c r="T215">
        <v>51</v>
      </c>
      <c r="U215" t="s">
        <v>4787</v>
      </c>
      <c r="V215">
        <v>41666.67</v>
      </c>
      <c r="W215">
        <v>16843.95</v>
      </c>
      <c r="X215">
        <v>0.40400000000000003</v>
      </c>
      <c r="Y215" t="s">
        <v>4792</v>
      </c>
      <c r="Z215">
        <v>2023</v>
      </c>
      <c r="AA215">
        <v>0</v>
      </c>
    </row>
    <row r="216" spans="1:27">
      <c r="A216" t="s">
        <v>4872</v>
      </c>
      <c r="B216" t="s">
        <v>4873</v>
      </c>
      <c r="C216" t="s">
        <v>784</v>
      </c>
      <c r="D216" t="s">
        <v>238</v>
      </c>
      <c r="E216" t="s">
        <v>4874</v>
      </c>
      <c r="F216">
        <v>9928593854</v>
      </c>
      <c r="G216" t="s">
        <v>46</v>
      </c>
      <c r="H216" t="s">
        <v>4833</v>
      </c>
      <c r="I216" t="s">
        <v>4824</v>
      </c>
      <c r="J216" t="s">
        <v>4803</v>
      </c>
      <c r="K216" s="1">
        <v>43957</v>
      </c>
      <c r="L216">
        <v>28813</v>
      </c>
      <c r="M216" s="1">
        <v>45104</v>
      </c>
      <c r="N216" t="s">
        <v>4782</v>
      </c>
      <c r="O216">
        <v>245700</v>
      </c>
      <c r="P216">
        <v>0.108</v>
      </c>
      <c r="Q216">
        <v>26535.599999999999</v>
      </c>
      <c r="R216" t="s">
        <v>4786</v>
      </c>
      <c r="S216" t="s">
        <v>3310</v>
      </c>
      <c r="T216">
        <v>24</v>
      </c>
      <c r="U216" t="s">
        <v>4787</v>
      </c>
      <c r="V216">
        <v>41666.67</v>
      </c>
      <c r="W216">
        <v>288040.59000000003</v>
      </c>
      <c r="X216">
        <v>6.9130000000000003</v>
      </c>
      <c r="Y216" t="s">
        <v>4784</v>
      </c>
      <c r="Z216">
        <v>2023</v>
      </c>
      <c r="AA216">
        <v>1</v>
      </c>
    </row>
    <row r="217" spans="1:27">
      <c r="A217" t="s">
        <v>4872</v>
      </c>
      <c r="B217" t="s">
        <v>4873</v>
      </c>
      <c r="C217" t="s">
        <v>784</v>
      </c>
      <c r="D217" t="s">
        <v>238</v>
      </c>
      <c r="E217" t="s">
        <v>4874</v>
      </c>
      <c r="F217">
        <v>9928593854</v>
      </c>
      <c r="G217" t="s">
        <v>46</v>
      </c>
      <c r="H217" t="s">
        <v>4833</v>
      </c>
      <c r="I217" t="s">
        <v>4824</v>
      </c>
      <c r="J217" t="s">
        <v>4803</v>
      </c>
      <c r="K217" s="1">
        <v>43957</v>
      </c>
      <c r="L217">
        <v>28813</v>
      </c>
      <c r="M217" s="1">
        <v>45414</v>
      </c>
      <c r="N217" t="s">
        <v>4797</v>
      </c>
      <c r="O217">
        <v>83000</v>
      </c>
      <c r="P217">
        <v>5.8000000000000003E-2</v>
      </c>
      <c r="Q217">
        <v>0</v>
      </c>
      <c r="R217" t="s">
        <v>4794</v>
      </c>
      <c r="S217" t="s">
        <v>3322</v>
      </c>
      <c r="T217">
        <v>86</v>
      </c>
      <c r="U217" t="s">
        <v>26</v>
      </c>
      <c r="V217">
        <v>41666.67</v>
      </c>
      <c r="W217">
        <v>88098.64</v>
      </c>
      <c r="X217">
        <v>2.1139999999999999</v>
      </c>
      <c r="Y217" t="s">
        <v>4784</v>
      </c>
      <c r="Z217">
        <v>2024</v>
      </c>
      <c r="AA217">
        <v>0</v>
      </c>
    </row>
    <row r="218" spans="1:27">
      <c r="A218" t="s">
        <v>4872</v>
      </c>
      <c r="B218" t="s">
        <v>4873</v>
      </c>
      <c r="C218" t="s">
        <v>784</v>
      </c>
      <c r="D218" t="s">
        <v>238</v>
      </c>
      <c r="E218" t="s">
        <v>4874</v>
      </c>
      <c r="F218">
        <v>9928593854</v>
      </c>
      <c r="G218" t="s">
        <v>46</v>
      </c>
      <c r="H218" t="s">
        <v>4833</v>
      </c>
      <c r="I218" t="s">
        <v>4824</v>
      </c>
      <c r="J218" t="s">
        <v>4803</v>
      </c>
      <c r="K218" s="1">
        <v>43957</v>
      </c>
      <c r="L218">
        <v>28813</v>
      </c>
      <c r="M218" s="1">
        <v>45513</v>
      </c>
      <c r="N218" t="s">
        <v>4797</v>
      </c>
      <c r="O218">
        <v>193800</v>
      </c>
      <c r="P218">
        <v>8.1000000000000003E-2</v>
      </c>
      <c r="Q218">
        <v>0</v>
      </c>
      <c r="R218" t="s">
        <v>4788</v>
      </c>
      <c r="S218" t="s">
        <v>3317</v>
      </c>
      <c r="T218">
        <v>33</v>
      </c>
      <c r="U218" t="s">
        <v>4787</v>
      </c>
      <c r="V218">
        <v>41666.67</v>
      </c>
      <c r="W218">
        <v>230967.37</v>
      </c>
      <c r="X218">
        <v>5.5430000000000001</v>
      </c>
      <c r="Y218" t="s">
        <v>4784</v>
      </c>
      <c r="Z218">
        <v>2024</v>
      </c>
      <c r="AA218">
        <v>0</v>
      </c>
    </row>
    <row r="219" spans="1:27">
      <c r="A219" t="s">
        <v>4872</v>
      </c>
      <c r="B219" t="s">
        <v>4873</v>
      </c>
      <c r="C219" t="s">
        <v>784</v>
      </c>
      <c r="D219" t="s">
        <v>238</v>
      </c>
      <c r="E219" t="s">
        <v>4874</v>
      </c>
      <c r="F219">
        <v>9928593854</v>
      </c>
      <c r="G219" t="s">
        <v>46</v>
      </c>
      <c r="H219" t="s">
        <v>4833</v>
      </c>
      <c r="I219" t="s">
        <v>4824</v>
      </c>
      <c r="J219" t="s">
        <v>4803</v>
      </c>
      <c r="K219" s="1">
        <v>43957</v>
      </c>
      <c r="L219">
        <v>28813</v>
      </c>
      <c r="M219" s="1">
        <v>45539</v>
      </c>
      <c r="N219" t="s">
        <v>4789</v>
      </c>
      <c r="O219">
        <v>186400</v>
      </c>
      <c r="P219">
        <v>6.6000000000000003E-2</v>
      </c>
      <c r="Q219">
        <v>0</v>
      </c>
      <c r="R219" t="s">
        <v>4794</v>
      </c>
      <c r="S219" t="s">
        <v>3348</v>
      </c>
      <c r="T219">
        <v>78</v>
      </c>
      <c r="U219" t="s">
        <v>26</v>
      </c>
      <c r="V219">
        <v>41666.67</v>
      </c>
      <c r="W219">
        <v>143997.72</v>
      </c>
      <c r="X219">
        <v>3.456</v>
      </c>
      <c r="Y219" t="s">
        <v>4784</v>
      </c>
      <c r="Z219">
        <v>2024</v>
      </c>
      <c r="AA219">
        <v>0</v>
      </c>
    </row>
    <row r="220" spans="1:27">
      <c r="A220" t="s">
        <v>4872</v>
      </c>
      <c r="B220" t="s">
        <v>4873</v>
      </c>
      <c r="C220" t="s">
        <v>784</v>
      </c>
      <c r="D220" t="s">
        <v>238</v>
      </c>
      <c r="E220" t="s">
        <v>4874</v>
      </c>
      <c r="F220">
        <v>9928593854</v>
      </c>
      <c r="G220" t="s">
        <v>46</v>
      </c>
      <c r="H220" t="s">
        <v>4833</v>
      </c>
      <c r="I220" t="s">
        <v>4824</v>
      </c>
      <c r="J220" t="s">
        <v>4803</v>
      </c>
      <c r="K220" s="1">
        <v>43957</v>
      </c>
      <c r="L220">
        <v>28813</v>
      </c>
      <c r="M220" s="1">
        <v>45540</v>
      </c>
      <c r="N220" t="s">
        <v>4782</v>
      </c>
      <c r="O220">
        <v>44000</v>
      </c>
      <c r="P220">
        <v>0.11899999999999999</v>
      </c>
      <c r="Q220">
        <v>5236</v>
      </c>
      <c r="R220" t="s">
        <v>4794</v>
      </c>
      <c r="S220" t="s">
        <v>3317</v>
      </c>
      <c r="T220">
        <v>32</v>
      </c>
      <c r="U220" t="s">
        <v>26</v>
      </c>
      <c r="V220">
        <v>41666.67</v>
      </c>
      <c r="W220">
        <v>33701.07</v>
      </c>
      <c r="X220">
        <v>0.80900000000000005</v>
      </c>
      <c r="Y220" t="s">
        <v>4792</v>
      </c>
      <c r="Z220">
        <v>2024</v>
      </c>
      <c r="AA220">
        <v>1</v>
      </c>
    </row>
    <row r="221" spans="1:27">
      <c r="A221" t="s">
        <v>4872</v>
      </c>
      <c r="B221" t="s">
        <v>4873</v>
      </c>
      <c r="C221" t="s">
        <v>784</v>
      </c>
      <c r="D221" t="s">
        <v>238</v>
      </c>
      <c r="E221" t="s">
        <v>4874</v>
      </c>
      <c r="F221">
        <v>9928593854</v>
      </c>
      <c r="G221" t="s">
        <v>46</v>
      </c>
      <c r="H221" t="s">
        <v>4833</v>
      </c>
      <c r="I221" t="s">
        <v>4824</v>
      </c>
      <c r="J221" t="s">
        <v>4803</v>
      </c>
      <c r="K221" s="1">
        <v>43957</v>
      </c>
      <c r="L221">
        <v>28813</v>
      </c>
      <c r="M221" s="1">
        <v>45641</v>
      </c>
      <c r="N221" t="s">
        <v>4797</v>
      </c>
      <c r="O221">
        <v>174700</v>
      </c>
      <c r="P221">
        <v>7.6999999999999999E-2</v>
      </c>
      <c r="Q221">
        <v>0</v>
      </c>
      <c r="R221" t="s">
        <v>4788</v>
      </c>
      <c r="S221" t="s">
        <v>3322</v>
      </c>
      <c r="T221">
        <v>56</v>
      </c>
      <c r="U221" t="s">
        <v>4787</v>
      </c>
      <c r="V221">
        <v>41666.67</v>
      </c>
      <c r="W221">
        <v>229990.27</v>
      </c>
      <c r="X221">
        <v>5.52</v>
      </c>
      <c r="Y221" t="s">
        <v>4784</v>
      </c>
      <c r="Z221">
        <v>2024</v>
      </c>
      <c r="AA221">
        <v>0</v>
      </c>
    </row>
    <row r="222" spans="1:27">
      <c r="A222" t="s">
        <v>4875</v>
      </c>
      <c r="B222" t="s">
        <v>4876</v>
      </c>
      <c r="C222" t="s">
        <v>2586</v>
      </c>
      <c r="D222" t="s">
        <v>18</v>
      </c>
      <c r="E222" t="s">
        <v>4877</v>
      </c>
      <c r="F222">
        <v>9739403922</v>
      </c>
      <c r="G222" t="s">
        <v>76</v>
      </c>
      <c r="H222" t="s">
        <v>4802</v>
      </c>
      <c r="I222" t="s">
        <v>4808</v>
      </c>
      <c r="J222" t="s">
        <v>4825</v>
      </c>
      <c r="K222" s="1">
        <v>44397</v>
      </c>
      <c r="L222">
        <v>59432</v>
      </c>
      <c r="M222" s="1">
        <v>44578</v>
      </c>
      <c r="N222" t="s">
        <v>4782</v>
      </c>
      <c r="O222">
        <v>170300</v>
      </c>
      <c r="P222">
        <v>0.106</v>
      </c>
      <c r="Q222">
        <v>18051.8</v>
      </c>
      <c r="R222" t="s">
        <v>4790</v>
      </c>
      <c r="S222" t="s">
        <v>3322</v>
      </c>
      <c r="T222">
        <v>64</v>
      </c>
      <c r="U222" t="s">
        <v>4795</v>
      </c>
      <c r="V222">
        <v>33333.33</v>
      </c>
      <c r="W222">
        <v>90823.63</v>
      </c>
      <c r="X222">
        <v>2.7250000000000001</v>
      </c>
      <c r="Y222" t="s">
        <v>4784</v>
      </c>
      <c r="Z222">
        <v>2022</v>
      </c>
      <c r="AA222">
        <v>1</v>
      </c>
    </row>
    <row r="223" spans="1:27">
      <c r="A223" t="s">
        <v>4875</v>
      </c>
      <c r="B223" t="s">
        <v>4876</v>
      </c>
      <c r="C223" t="s">
        <v>2586</v>
      </c>
      <c r="D223" t="s">
        <v>18</v>
      </c>
      <c r="E223" t="s">
        <v>4877</v>
      </c>
      <c r="F223">
        <v>9739403922</v>
      </c>
      <c r="G223" t="s">
        <v>76</v>
      </c>
      <c r="H223" t="s">
        <v>4802</v>
      </c>
      <c r="I223" t="s">
        <v>4808</v>
      </c>
      <c r="J223" t="s">
        <v>4825</v>
      </c>
      <c r="K223" s="1">
        <v>44397</v>
      </c>
      <c r="L223">
        <v>59432</v>
      </c>
      <c r="M223" s="1">
        <v>44590</v>
      </c>
      <c r="N223" t="s">
        <v>4782</v>
      </c>
      <c r="O223">
        <v>34300</v>
      </c>
      <c r="P223">
        <v>0.10299999999999999</v>
      </c>
      <c r="Q223">
        <v>3532.9</v>
      </c>
      <c r="R223" t="s">
        <v>4794</v>
      </c>
      <c r="S223" t="s">
        <v>3310</v>
      </c>
      <c r="T223">
        <v>4</v>
      </c>
      <c r="U223" t="s">
        <v>4796</v>
      </c>
      <c r="V223">
        <v>33333.33</v>
      </c>
      <c r="W223">
        <v>32002.09</v>
      </c>
      <c r="X223">
        <v>0.96</v>
      </c>
      <c r="Y223" t="s">
        <v>4793</v>
      </c>
      <c r="Z223">
        <v>2022</v>
      </c>
      <c r="AA223">
        <v>1</v>
      </c>
    </row>
    <row r="224" spans="1:27">
      <c r="A224" t="s">
        <v>4875</v>
      </c>
      <c r="B224" t="s">
        <v>4876</v>
      </c>
      <c r="C224" t="s">
        <v>2586</v>
      </c>
      <c r="D224" t="s">
        <v>18</v>
      </c>
      <c r="E224" t="s">
        <v>4877</v>
      </c>
      <c r="F224">
        <v>9739403922</v>
      </c>
      <c r="G224" t="s">
        <v>76</v>
      </c>
      <c r="H224" t="s">
        <v>4802</v>
      </c>
      <c r="I224" t="s">
        <v>4808</v>
      </c>
      <c r="J224" t="s">
        <v>4825</v>
      </c>
      <c r="K224" s="1">
        <v>44397</v>
      </c>
      <c r="L224">
        <v>59432</v>
      </c>
      <c r="M224" s="1">
        <v>44801</v>
      </c>
      <c r="N224" t="s">
        <v>4789</v>
      </c>
      <c r="O224">
        <v>168200</v>
      </c>
      <c r="P224">
        <v>0.115</v>
      </c>
      <c r="Q224">
        <v>0</v>
      </c>
      <c r="R224" t="s">
        <v>4788</v>
      </c>
      <c r="S224" t="s">
        <v>3322</v>
      </c>
      <c r="T224">
        <v>90</v>
      </c>
      <c r="U224" t="s">
        <v>26</v>
      </c>
      <c r="V224">
        <v>33333.33</v>
      </c>
      <c r="W224">
        <v>87249.75</v>
      </c>
      <c r="X224">
        <v>2.617</v>
      </c>
      <c r="Y224" t="s">
        <v>4784</v>
      </c>
      <c r="Z224">
        <v>2022</v>
      </c>
      <c r="AA224">
        <v>0</v>
      </c>
    </row>
    <row r="225" spans="1:27">
      <c r="A225" t="s">
        <v>4875</v>
      </c>
      <c r="B225" t="s">
        <v>4876</v>
      </c>
      <c r="C225" t="s">
        <v>2586</v>
      </c>
      <c r="D225" t="s">
        <v>18</v>
      </c>
      <c r="E225" t="s">
        <v>4877</v>
      </c>
      <c r="F225">
        <v>9739403922</v>
      </c>
      <c r="G225" t="s">
        <v>76</v>
      </c>
      <c r="H225" t="s">
        <v>4802</v>
      </c>
      <c r="I225" t="s">
        <v>4808</v>
      </c>
      <c r="J225" t="s">
        <v>4825</v>
      </c>
      <c r="K225" s="1">
        <v>44397</v>
      </c>
      <c r="L225">
        <v>59432</v>
      </c>
      <c r="M225" s="1">
        <v>44859</v>
      </c>
      <c r="N225" t="s">
        <v>4797</v>
      </c>
      <c r="O225">
        <v>68400</v>
      </c>
      <c r="P225">
        <v>6.9000000000000006E-2</v>
      </c>
      <c r="Q225">
        <v>0</v>
      </c>
      <c r="R225" t="s">
        <v>4794</v>
      </c>
      <c r="S225" t="s">
        <v>3411</v>
      </c>
      <c r="T225">
        <v>69</v>
      </c>
      <c r="U225" t="s">
        <v>4796</v>
      </c>
      <c r="V225">
        <v>33333.33</v>
      </c>
      <c r="W225">
        <v>39499.919999999998</v>
      </c>
      <c r="X225">
        <v>1.1850000000000001</v>
      </c>
      <c r="Y225" t="s">
        <v>4784</v>
      </c>
      <c r="Z225">
        <v>2022</v>
      </c>
      <c r="AA225">
        <v>0</v>
      </c>
    </row>
    <row r="226" spans="1:27">
      <c r="A226" t="s">
        <v>4875</v>
      </c>
      <c r="B226" t="s">
        <v>4876</v>
      </c>
      <c r="C226" t="s">
        <v>2586</v>
      </c>
      <c r="D226" t="s">
        <v>18</v>
      </c>
      <c r="E226" t="s">
        <v>4877</v>
      </c>
      <c r="F226">
        <v>9739403922</v>
      </c>
      <c r="G226" t="s">
        <v>76</v>
      </c>
      <c r="H226" t="s">
        <v>4802</v>
      </c>
      <c r="I226" t="s">
        <v>4808</v>
      </c>
      <c r="J226" t="s">
        <v>4825</v>
      </c>
      <c r="K226" s="1">
        <v>44397</v>
      </c>
      <c r="L226">
        <v>59432</v>
      </c>
      <c r="M226" s="1">
        <v>45151</v>
      </c>
      <c r="N226" t="s">
        <v>4797</v>
      </c>
      <c r="O226">
        <v>55400</v>
      </c>
      <c r="P226">
        <v>7.1999999999999995E-2</v>
      </c>
      <c r="Q226">
        <v>0</v>
      </c>
      <c r="R226" t="s">
        <v>4790</v>
      </c>
      <c r="S226" t="s">
        <v>3310</v>
      </c>
      <c r="T226">
        <v>65</v>
      </c>
      <c r="U226" t="s">
        <v>4796</v>
      </c>
      <c r="V226">
        <v>33333.33</v>
      </c>
      <c r="W226">
        <v>57000.66</v>
      </c>
      <c r="X226">
        <v>1.71</v>
      </c>
      <c r="Y226" t="s">
        <v>4784</v>
      </c>
      <c r="Z226">
        <v>2023</v>
      </c>
      <c r="AA226">
        <v>0</v>
      </c>
    </row>
    <row r="227" spans="1:27">
      <c r="A227" t="s">
        <v>4875</v>
      </c>
      <c r="B227" t="s">
        <v>4876</v>
      </c>
      <c r="C227" t="s">
        <v>2586</v>
      </c>
      <c r="D227" t="s">
        <v>18</v>
      </c>
      <c r="E227" t="s">
        <v>4877</v>
      </c>
      <c r="F227">
        <v>9739403922</v>
      </c>
      <c r="G227" t="s">
        <v>76</v>
      </c>
      <c r="H227" t="s">
        <v>4802</v>
      </c>
      <c r="I227" t="s">
        <v>4808</v>
      </c>
      <c r="J227" t="s">
        <v>4825</v>
      </c>
      <c r="K227" s="1">
        <v>44397</v>
      </c>
      <c r="L227">
        <v>59432</v>
      </c>
      <c r="M227" s="1">
        <v>45300</v>
      </c>
      <c r="N227" t="s">
        <v>4797</v>
      </c>
      <c r="O227">
        <v>181600</v>
      </c>
      <c r="P227">
        <v>0.11700000000000001</v>
      </c>
      <c r="Q227">
        <v>0</v>
      </c>
      <c r="R227" t="s">
        <v>4794</v>
      </c>
      <c r="S227" t="s">
        <v>3322</v>
      </c>
      <c r="T227">
        <v>39</v>
      </c>
      <c r="U227" t="s">
        <v>4787</v>
      </c>
      <c r="V227">
        <v>33333.33</v>
      </c>
      <c r="W227">
        <v>111244.63</v>
      </c>
      <c r="X227">
        <v>3.3370000000000002</v>
      </c>
      <c r="Y227" t="s">
        <v>4784</v>
      </c>
      <c r="Z227">
        <v>2024</v>
      </c>
      <c r="AA227">
        <v>0</v>
      </c>
    </row>
    <row r="228" spans="1:27">
      <c r="A228" t="s">
        <v>4875</v>
      </c>
      <c r="B228" t="s">
        <v>4876</v>
      </c>
      <c r="C228" t="s">
        <v>2586</v>
      </c>
      <c r="D228" t="s">
        <v>18</v>
      </c>
      <c r="E228" t="s">
        <v>4877</v>
      </c>
      <c r="F228">
        <v>9739403922</v>
      </c>
      <c r="G228" t="s">
        <v>76</v>
      </c>
      <c r="H228" t="s">
        <v>4802</v>
      </c>
      <c r="I228" t="s">
        <v>4808</v>
      </c>
      <c r="J228" t="s">
        <v>4825</v>
      </c>
      <c r="K228" s="1">
        <v>44397</v>
      </c>
      <c r="L228">
        <v>59432</v>
      </c>
      <c r="M228" s="1">
        <v>45380</v>
      </c>
      <c r="N228" t="s">
        <v>4789</v>
      </c>
      <c r="O228">
        <v>139600</v>
      </c>
      <c r="P228">
        <v>8.3000000000000004E-2</v>
      </c>
      <c r="Q228">
        <v>0</v>
      </c>
      <c r="R228" t="s">
        <v>4783</v>
      </c>
      <c r="S228" t="s">
        <v>3348</v>
      </c>
      <c r="T228">
        <v>63</v>
      </c>
      <c r="U228" t="s">
        <v>4796</v>
      </c>
      <c r="V228">
        <v>33333.33</v>
      </c>
      <c r="W228">
        <v>159543.44</v>
      </c>
      <c r="X228">
        <v>4.7859999999999996</v>
      </c>
      <c r="Y228" t="s">
        <v>4784</v>
      </c>
      <c r="Z228">
        <v>2024</v>
      </c>
      <c r="AA228">
        <v>0</v>
      </c>
    </row>
    <row r="229" spans="1:27">
      <c r="A229" t="s">
        <v>4875</v>
      </c>
      <c r="B229" t="s">
        <v>4876</v>
      </c>
      <c r="C229" t="s">
        <v>2586</v>
      </c>
      <c r="D229" t="s">
        <v>18</v>
      </c>
      <c r="E229" t="s">
        <v>4877</v>
      </c>
      <c r="F229">
        <v>9739403922</v>
      </c>
      <c r="G229" t="s">
        <v>76</v>
      </c>
      <c r="H229" t="s">
        <v>4802</v>
      </c>
      <c r="I229" t="s">
        <v>4808</v>
      </c>
      <c r="J229" t="s">
        <v>4825</v>
      </c>
      <c r="K229" s="1">
        <v>44397</v>
      </c>
      <c r="L229">
        <v>59432</v>
      </c>
      <c r="M229" s="1">
        <v>45511</v>
      </c>
      <c r="N229" t="s">
        <v>4782</v>
      </c>
      <c r="O229">
        <v>129300</v>
      </c>
      <c r="P229">
        <v>6.8000000000000005E-2</v>
      </c>
      <c r="Q229">
        <v>8792.4</v>
      </c>
      <c r="R229" t="s">
        <v>4791</v>
      </c>
      <c r="S229" t="s">
        <v>3310</v>
      </c>
      <c r="T229">
        <v>20</v>
      </c>
      <c r="U229" t="s">
        <v>26</v>
      </c>
      <c r="V229">
        <v>33333.33</v>
      </c>
      <c r="W229">
        <v>176815.19</v>
      </c>
      <c r="X229">
        <v>5.3040000000000003</v>
      </c>
      <c r="Y229" t="s">
        <v>4784</v>
      </c>
      <c r="Z229">
        <v>2024</v>
      </c>
      <c r="AA229">
        <v>1</v>
      </c>
    </row>
    <row r="230" spans="1:27">
      <c r="A230" t="s">
        <v>4875</v>
      </c>
      <c r="B230" t="s">
        <v>4876</v>
      </c>
      <c r="C230" t="s">
        <v>2586</v>
      </c>
      <c r="D230" t="s">
        <v>18</v>
      </c>
      <c r="E230" t="s">
        <v>4877</v>
      </c>
      <c r="F230">
        <v>9739403922</v>
      </c>
      <c r="G230" t="s">
        <v>76</v>
      </c>
      <c r="H230" t="s">
        <v>4802</v>
      </c>
      <c r="I230" t="s">
        <v>4808</v>
      </c>
      <c r="J230" t="s">
        <v>4825</v>
      </c>
      <c r="K230" s="1">
        <v>44397</v>
      </c>
      <c r="L230">
        <v>59432</v>
      </c>
      <c r="M230" s="1">
        <v>45527</v>
      </c>
      <c r="N230" t="s">
        <v>4782</v>
      </c>
      <c r="O230">
        <v>230400</v>
      </c>
      <c r="P230">
        <v>7.0000000000000007E-2</v>
      </c>
      <c r="Q230">
        <v>16128</v>
      </c>
      <c r="R230" t="s">
        <v>4786</v>
      </c>
      <c r="S230" t="s">
        <v>3310</v>
      </c>
      <c r="T230">
        <v>38</v>
      </c>
      <c r="U230" t="s">
        <v>26</v>
      </c>
      <c r="V230">
        <v>33333.33</v>
      </c>
      <c r="W230">
        <v>125759.22</v>
      </c>
      <c r="X230">
        <v>3.7730000000000001</v>
      </c>
      <c r="Y230" t="s">
        <v>4784</v>
      </c>
      <c r="Z230">
        <v>2024</v>
      </c>
      <c r="AA230">
        <v>1</v>
      </c>
    </row>
    <row r="231" spans="1:27">
      <c r="A231" t="s">
        <v>4875</v>
      </c>
      <c r="B231" t="s">
        <v>4876</v>
      </c>
      <c r="C231" t="s">
        <v>2586</v>
      </c>
      <c r="D231" t="s">
        <v>18</v>
      </c>
      <c r="E231" t="s">
        <v>4877</v>
      </c>
      <c r="F231">
        <v>9739403922</v>
      </c>
      <c r="G231" t="s">
        <v>76</v>
      </c>
      <c r="H231" t="s">
        <v>4802</v>
      </c>
      <c r="I231" t="s">
        <v>4808</v>
      </c>
      <c r="J231" t="s">
        <v>4825</v>
      </c>
      <c r="K231" s="1">
        <v>44397</v>
      </c>
      <c r="L231">
        <v>59432</v>
      </c>
      <c r="M231" s="1">
        <v>45643</v>
      </c>
      <c r="N231" t="s">
        <v>4782</v>
      </c>
      <c r="O231">
        <v>115600</v>
      </c>
      <c r="P231">
        <v>8.2000000000000003E-2</v>
      </c>
      <c r="Q231">
        <v>9479.2000000000007</v>
      </c>
      <c r="R231" t="s">
        <v>4783</v>
      </c>
      <c r="S231" t="s">
        <v>3302</v>
      </c>
      <c r="T231">
        <v>35</v>
      </c>
      <c r="U231" t="s">
        <v>26</v>
      </c>
      <c r="V231">
        <v>33333.33</v>
      </c>
      <c r="W231">
        <v>150306.19</v>
      </c>
      <c r="X231">
        <v>4.5090000000000003</v>
      </c>
      <c r="Y231" t="s">
        <v>4784</v>
      </c>
      <c r="Z231">
        <v>2024</v>
      </c>
      <c r="AA231">
        <v>1</v>
      </c>
    </row>
    <row r="232" spans="1:27">
      <c r="A232" t="s">
        <v>4878</v>
      </c>
      <c r="B232" t="s">
        <v>4879</v>
      </c>
      <c r="C232" t="s">
        <v>805</v>
      </c>
      <c r="D232" t="s">
        <v>231</v>
      </c>
      <c r="E232" t="s">
        <v>4880</v>
      </c>
      <c r="F232">
        <v>9864411314</v>
      </c>
      <c r="G232" t="s">
        <v>76</v>
      </c>
      <c r="H232" t="s">
        <v>4807</v>
      </c>
      <c r="I232" t="s">
        <v>4819</v>
      </c>
      <c r="J232" t="s">
        <v>4803</v>
      </c>
      <c r="K232" s="1">
        <v>45139</v>
      </c>
      <c r="L232">
        <v>77951</v>
      </c>
      <c r="M232" s="1">
        <v>45187</v>
      </c>
      <c r="N232" t="s">
        <v>4782</v>
      </c>
      <c r="O232">
        <v>99100</v>
      </c>
      <c r="P232">
        <v>0.109</v>
      </c>
      <c r="Q232">
        <v>10801.9</v>
      </c>
      <c r="R232" t="s">
        <v>4788</v>
      </c>
      <c r="S232" t="s">
        <v>3348</v>
      </c>
      <c r="T232">
        <v>21</v>
      </c>
      <c r="U232" t="s">
        <v>4796</v>
      </c>
      <c r="V232">
        <v>33333.33</v>
      </c>
      <c r="W232">
        <v>123394.74</v>
      </c>
      <c r="X232">
        <v>3.702</v>
      </c>
      <c r="Y232" t="s">
        <v>4784</v>
      </c>
      <c r="Z232">
        <v>2023</v>
      </c>
      <c r="AA232">
        <v>1</v>
      </c>
    </row>
    <row r="233" spans="1:27">
      <c r="A233" t="s">
        <v>4878</v>
      </c>
      <c r="B233" t="s">
        <v>4879</v>
      </c>
      <c r="C233" t="s">
        <v>805</v>
      </c>
      <c r="D233" t="s">
        <v>231</v>
      </c>
      <c r="E233" t="s">
        <v>4880</v>
      </c>
      <c r="F233">
        <v>9864411314</v>
      </c>
      <c r="G233" t="s">
        <v>76</v>
      </c>
      <c r="H233" t="s">
        <v>4807</v>
      </c>
      <c r="I233" t="s">
        <v>4819</v>
      </c>
      <c r="J233" t="s">
        <v>4803</v>
      </c>
      <c r="K233" s="1">
        <v>45139</v>
      </c>
      <c r="L233">
        <v>77951</v>
      </c>
      <c r="M233" s="1">
        <v>45243</v>
      </c>
      <c r="N233" t="s">
        <v>4785</v>
      </c>
      <c r="O233">
        <v>16000</v>
      </c>
      <c r="P233">
        <v>7.5999999999999998E-2</v>
      </c>
      <c r="Q233">
        <v>0</v>
      </c>
      <c r="R233" t="s">
        <v>4786</v>
      </c>
      <c r="S233" t="s">
        <v>3348</v>
      </c>
      <c r="T233">
        <v>16</v>
      </c>
      <c r="U233" t="s">
        <v>4796</v>
      </c>
      <c r="V233">
        <v>33333.33</v>
      </c>
      <c r="W233">
        <v>21118.2</v>
      </c>
      <c r="X233">
        <v>0.63400000000000001</v>
      </c>
      <c r="Y233" t="s">
        <v>4792</v>
      </c>
      <c r="Z233">
        <v>2023</v>
      </c>
      <c r="AA233">
        <v>0</v>
      </c>
    </row>
    <row r="234" spans="1:27">
      <c r="A234" t="s">
        <v>4878</v>
      </c>
      <c r="B234" t="s">
        <v>4879</v>
      </c>
      <c r="C234" t="s">
        <v>805</v>
      </c>
      <c r="D234" t="s">
        <v>231</v>
      </c>
      <c r="E234" t="s">
        <v>4880</v>
      </c>
      <c r="F234">
        <v>9864411314</v>
      </c>
      <c r="G234" t="s">
        <v>76</v>
      </c>
      <c r="H234" t="s">
        <v>4807</v>
      </c>
      <c r="I234" t="s">
        <v>4819</v>
      </c>
      <c r="J234" t="s">
        <v>4803</v>
      </c>
      <c r="K234" s="1">
        <v>45139</v>
      </c>
      <c r="L234">
        <v>77951</v>
      </c>
      <c r="M234" s="1">
        <v>45245</v>
      </c>
      <c r="N234" t="s">
        <v>4797</v>
      </c>
      <c r="O234">
        <v>18200</v>
      </c>
      <c r="P234">
        <v>0.113</v>
      </c>
      <c r="Q234">
        <v>0</v>
      </c>
      <c r="R234" t="s">
        <v>4790</v>
      </c>
      <c r="S234" t="s">
        <v>3411</v>
      </c>
      <c r="T234">
        <v>59</v>
      </c>
      <c r="U234" t="s">
        <v>4787</v>
      </c>
      <c r="V234">
        <v>33333.33</v>
      </c>
      <c r="W234">
        <v>25064.93</v>
      </c>
      <c r="X234">
        <v>0.752</v>
      </c>
      <c r="Y234" t="s">
        <v>4792</v>
      </c>
      <c r="Z234">
        <v>2023</v>
      </c>
      <c r="AA234">
        <v>0</v>
      </c>
    </row>
    <row r="235" spans="1:27">
      <c r="A235" t="s">
        <v>4878</v>
      </c>
      <c r="B235" t="s">
        <v>4879</v>
      </c>
      <c r="C235" t="s">
        <v>805</v>
      </c>
      <c r="D235" t="s">
        <v>231</v>
      </c>
      <c r="E235" t="s">
        <v>4880</v>
      </c>
      <c r="F235">
        <v>9864411314</v>
      </c>
      <c r="G235" t="s">
        <v>76</v>
      </c>
      <c r="H235" t="s">
        <v>4807</v>
      </c>
      <c r="I235" t="s">
        <v>4819</v>
      </c>
      <c r="J235" t="s">
        <v>4803</v>
      </c>
      <c r="K235" s="1">
        <v>45139</v>
      </c>
      <c r="L235">
        <v>77951</v>
      </c>
      <c r="M235" s="1">
        <v>45299</v>
      </c>
      <c r="N235" t="s">
        <v>4797</v>
      </c>
      <c r="O235">
        <v>81600</v>
      </c>
      <c r="P235">
        <v>9.4E-2</v>
      </c>
      <c r="Q235">
        <v>0</v>
      </c>
      <c r="R235" t="s">
        <v>4798</v>
      </c>
      <c r="S235" t="s">
        <v>3416</v>
      </c>
      <c r="T235">
        <v>64</v>
      </c>
      <c r="U235" t="s">
        <v>4787</v>
      </c>
      <c r="V235">
        <v>33333.33</v>
      </c>
      <c r="W235">
        <v>52131.48</v>
      </c>
      <c r="X235">
        <v>1.5640000000000001</v>
      </c>
      <c r="Y235" t="s">
        <v>4784</v>
      </c>
      <c r="Z235">
        <v>2024</v>
      </c>
      <c r="AA235">
        <v>0</v>
      </c>
    </row>
    <row r="236" spans="1:27">
      <c r="A236" t="s">
        <v>4878</v>
      </c>
      <c r="B236" t="s">
        <v>4879</v>
      </c>
      <c r="C236" t="s">
        <v>805</v>
      </c>
      <c r="D236" t="s">
        <v>231</v>
      </c>
      <c r="E236" t="s">
        <v>4880</v>
      </c>
      <c r="F236">
        <v>9864411314</v>
      </c>
      <c r="G236" t="s">
        <v>76</v>
      </c>
      <c r="H236" t="s">
        <v>4807</v>
      </c>
      <c r="I236" t="s">
        <v>4819</v>
      </c>
      <c r="J236" t="s">
        <v>4803</v>
      </c>
      <c r="K236" s="1">
        <v>45139</v>
      </c>
      <c r="L236">
        <v>77951</v>
      </c>
      <c r="M236" s="1">
        <v>45304</v>
      </c>
      <c r="N236" t="s">
        <v>4785</v>
      </c>
      <c r="O236">
        <v>59300</v>
      </c>
      <c r="P236">
        <v>5.5E-2</v>
      </c>
      <c r="Q236">
        <v>0</v>
      </c>
      <c r="R236" t="s">
        <v>4794</v>
      </c>
      <c r="S236" t="s">
        <v>3302</v>
      </c>
      <c r="T236">
        <v>86</v>
      </c>
      <c r="U236" t="s">
        <v>26</v>
      </c>
      <c r="V236">
        <v>33333.33</v>
      </c>
      <c r="W236">
        <v>36539.879999999997</v>
      </c>
      <c r="X236">
        <v>1.0960000000000001</v>
      </c>
      <c r="Y236" t="s">
        <v>4793</v>
      </c>
      <c r="Z236">
        <v>2024</v>
      </c>
      <c r="AA236">
        <v>0</v>
      </c>
    </row>
    <row r="237" spans="1:27">
      <c r="A237" t="s">
        <v>4878</v>
      </c>
      <c r="B237" t="s">
        <v>4879</v>
      </c>
      <c r="C237" t="s">
        <v>805</v>
      </c>
      <c r="D237" t="s">
        <v>231</v>
      </c>
      <c r="E237" t="s">
        <v>4880</v>
      </c>
      <c r="F237">
        <v>9864411314</v>
      </c>
      <c r="G237" t="s">
        <v>76</v>
      </c>
      <c r="H237" t="s">
        <v>4807</v>
      </c>
      <c r="I237" t="s">
        <v>4819</v>
      </c>
      <c r="J237" t="s">
        <v>4803</v>
      </c>
      <c r="K237" s="1">
        <v>45139</v>
      </c>
      <c r="L237">
        <v>77951</v>
      </c>
      <c r="M237" s="1">
        <v>45343</v>
      </c>
      <c r="N237" t="s">
        <v>4782</v>
      </c>
      <c r="O237">
        <v>163800</v>
      </c>
      <c r="P237">
        <v>7.3999999999999996E-2</v>
      </c>
      <c r="Q237">
        <v>12121.2</v>
      </c>
      <c r="R237" t="s">
        <v>4798</v>
      </c>
      <c r="S237" t="s">
        <v>3322</v>
      </c>
      <c r="T237">
        <v>64</v>
      </c>
      <c r="U237" t="s">
        <v>4795</v>
      </c>
      <c r="V237">
        <v>33333.33</v>
      </c>
      <c r="W237">
        <v>116502.26</v>
      </c>
      <c r="X237">
        <v>3.4950000000000001</v>
      </c>
      <c r="Y237" t="s">
        <v>4784</v>
      </c>
      <c r="Z237">
        <v>2024</v>
      </c>
      <c r="AA237">
        <v>1</v>
      </c>
    </row>
    <row r="238" spans="1:27">
      <c r="A238" t="s">
        <v>4878</v>
      </c>
      <c r="B238" t="s">
        <v>4879</v>
      </c>
      <c r="C238" t="s">
        <v>805</v>
      </c>
      <c r="D238" t="s">
        <v>231</v>
      </c>
      <c r="E238" t="s">
        <v>4880</v>
      </c>
      <c r="F238">
        <v>9864411314</v>
      </c>
      <c r="G238" t="s">
        <v>76</v>
      </c>
      <c r="H238" t="s">
        <v>4807</v>
      </c>
      <c r="I238" t="s">
        <v>4819</v>
      </c>
      <c r="J238" t="s">
        <v>4803</v>
      </c>
      <c r="K238" s="1">
        <v>45139</v>
      </c>
      <c r="L238">
        <v>77951</v>
      </c>
      <c r="M238" s="1">
        <v>45368</v>
      </c>
      <c r="N238" t="s">
        <v>4789</v>
      </c>
      <c r="O238">
        <v>72600</v>
      </c>
      <c r="P238">
        <v>0.11899999999999999</v>
      </c>
      <c r="Q238">
        <v>0</v>
      </c>
      <c r="R238" t="s">
        <v>4798</v>
      </c>
      <c r="S238" t="s">
        <v>3317</v>
      </c>
      <c r="T238">
        <v>6</v>
      </c>
      <c r="U238" t="s">
        <v>4795</v>
      </c>
      <c r="V238">
        <v>33333.33</v>
      </c>
      <c r="W238">
        <v>94865.4</v>
      </c>
      <c r="X238">
        <v>2.8460000000000001</v>
      </c>
      <c r="Y238" t="s">
        <v>4784</v>
      </c>
      <c r="Z238">
        <v>2024</v>
      </c>
      <c r="AA238">
        <v>0</v>
      </c>
    </row>
    <row r="239" spans="1:27">
      <c r="A239" t="s">
        <v>4878</v>
      </c>
      <c r="B239" t="s">
        <v>4879</v>
      </c>
      <c r="C239" t="s">
        <v>805</v>
      </c>
      <c r="D239" t="s">
        <v>231</v>
      </c>
      <c r="E239" t="s">
        <v>4880</v>
      </c>
      <c r="F239">
        <v>9864411314</v>
      </c>
      <c r="G239" t="s">
        <v>76</v>
      </c>
      <c r="H239" t="s">
        <v>4807</v>
      </c>
      <c r="I239" t="s">
        <v>4819</v>
      </c>
      <c r="J239" t="s">
        <v>4803</v>
      </c>
      <c r="K239" s="1">
        <v>45139</v>
      </c>
      <c r="L239">
        <v>77951</v>
      </c>
      <c r="M239" s="1">
        <v>45486</v>
      </c>
      <c r="N239" t="s">
        <v>4785</v>
      </c>
      <c r="O239">
        <v>228700</v>
      </c>
      <c r="P239">
        <v>0.106</v>
      </c>
      <c r="Q239">
        <v>0</v>
      </c>
      <c r="R239" t="s">
        <v>4794</v>
      </c>
      <c r="S239" t="s">
        <v>3322</v>
      </c>
      <c r="T239">
        <v>17</v>
      </c>
      <c r="U239" t="s">
        <v>4795</v>
      </c>
      <c r="V239">
        <v>33333.33</v>
      </c>
      <c r="W239">
        <v>263164.06</v>
      </c>
      <c r="X239">
        <v>7.8949999999999996</v>
      </c>
      <c r="Y239" t="s">
        <v>4784</v>
      </c>
      <c r="Z239">
        <v>2024</v>
      </c>
      <c r="AA239">
        <v>0</v>
      </c>
    </row>
    <row r="240" spans="1:27">
      <c r="A240" t="s">
        <v>4878</v>
      </c>
      <c r="B240" t="s">
        <v>4879</v>
      </c>
      <c r="C240" t="s">
        <v>805</v>
      </c>
      <c r="D240" t="s">
        <v>231</v>
      </c>
      <c r="E240" t="s">
        <v>4880</v>
      </c>
      <c r="F240">
        <v>9864411314</v>
      </c>
      <c r="G240" t="s">
        <v>76</v>
      </c>
      <c r="H240" t="s">
        <v>4807</v>
      </c>
      <c r="I240" t="s">
        <v>4819</v>
      </c>
      <c r="J240" t="s">
        <v>4803</v>
      </c>
      <c r="K240" s="1">
        <v>45139</v>
      </c>
      <c r="L240">
        <v>77951</v>
      </c>
      <c r="M240" s="1">
        <v>45538</v>
      </c>
      <c r="N240" t="s">
        <v>4789</v>
      </c>
      <c r="O240">
        <v>223400</v>
      </c>
      <c r="P240">
        <v>0.115</v>
      </c>
      <c r="Q240">
        <v>0</v>
      </c>
      <c r="R240" t="s">
        <v>4794</v>
      </c>
      <c r="S240" t="s">
        <v>3348</v>
      </c>
      <c r="T240">
        <v>47</v>
      </c>
      <c r="U240" t="s">
        <v>26</v>
      </c>
      <c r="V240">
        <v>33333.33</v>
      </c>
      <c r="W240">
        <v>272498.75</v>
      </c>
      <c r="X240">
        <v>8.1750000000000007</v>
      </c>
      <c r="Y240" t="s">
        <v>4784</v>
      </c>
      <c r="Z240">
        <v>2024</v>
      </c>
      <c r="AA240">
        <v>0</v>
      </c>
    </row>
    <row r="241" spans="1:27">
      <c r="A241" t="s">
        <v>4878</v>
      </c>
      <c r="B241" t="s">
        <v>4879</v>
      </c>
      <c r="C241" t="s">
        <v>805</v>
      </c>
      <c r="D241" t="s">
        <v>231</v>
      </c>
      <c r="E241" t="s">
        <v>4880</v>
      </c>
      <c r="F241">
        <v>9864411314</v>
      </c>
      <c r="G241" t="s">
        <v>76</v>
      </c>
      <c r="H241" t="s">
        <v>4807</v>
      </c>
      <c r="I241" t="s">
        <v>4819</v>
      </c>
      <c r="J241" t="s">
        <v>4803</v>
      </c>
      <c r="K241" s="1">
        <v>45139</v>
      </c>
      <c r="L241">
        <v>77951</v>
      </c>
      <c r="M241" s="1">
        <v>45654</v>
      </c>
      <c r="N241" t="s">
        <v>4782</v>
      </c>
      <c r="O241">
        <v>216500</v>
      </c>
      <c r="P241">
        <v>3.5999999999999997E-2</v>
      </c>
      <c r="Q241">
        <v>7794</v>
      </c>
      <c r="R241" t="s">
        <v>4790</v>
      </c>
      <c r="S241" t="s">
        <v>3302</v>
      </c>
      <c r="T241">
        <v>80</v>
      </c>
      <c r="U241" t="s">
        <v>4796</v>
      </c>
      <c r="V241">
        <v>33333.33</v>
      </c>
      <c r="W241">
        <v>131766.06</v>
      </c>
      <c r="X241">
        <v>3.9529999999999998</v>
      </c>
      <c r="Y241" t="s">
        <v>4784</v>
      </c>
      <c r="Z241">
        <v>2024</v>
      </c>
      <c r="AA241">
        <v>1</v>
      </c>
    </row>
    <row r="242" spans="1:27">
      <c r="A242" t="s">
        <v>4881</v>
      </c>
      <c r="B242" t="s">
        <v>4882</v>
      </c>
      <c r="C242" t="s">
        <v>61</v>
      </c>
      <c r="D242" t="s">
        <v>440</v>
      </c>
      <c r="E242" t="s">
        <v>4883</v>
      </c>
      <c r="F242">
        <v>9849583575</v>
      </c>
      <c r="G242" t="s">
        <v>35</v>
      </c>
      <c r="H242" t="s">
        <v>4779</v>
      </c>
      <c r="I242" t="s">
        <v>4780</v>
      </c>
      <c r="J242" t="s">
        <v>4845</v>
      </c>
      <c r="K242" s="1">
        <v>43199</v>
      </c>
      <c r="L242">
        <v>65990</v>
      </c>
      <c r="M242" s="1">
        <v>44575</v>
      </c>
      <c r="N242" t="s">
        <v>4782</v>
      </c>
      <c r="O242">
        <v>223800</v>
      </c>
      <c r="P242">
        <v>0.10299999999999999</v>
      </c>
      <c r="Q242">
        <v>23051.4</v>
      </c>
      <c r="R242" t="s">
        <v>4788</v>
      </c>
      <c r="S242" t="s">
        <v>3317</v>
      </c>
      <c r="T242">
        <v>65</v>
      </c>
      <c r="U242" t="s">
        <v>4796</v>
      </c>
      <c r="V242">
        <v>35000</v>
      </c>
      <c r="W242">
        <v>129067.8</v>
      </c>
      <c r="X242">
        <v>3.6880000000000002</v>
      </c>
      <c r="Y242" t="s">
        <v>4784</v>
      </c>
      <c r="Z242">
        <v>2022</v>
      </c>
      <c r="AA242">
        <v>1</v>
      </c>
    </row>
    <row r="243" spans="1:27">
      <c r="A243" t="s">
        <v>4881</v>
      </c>
      <c r="B243" t="s">
        <v>4882</v>
      </c>
      <c r="C243" t="s">
        <v>61</v>
      </c>
      <c r="D243" t="s">
        <v>440</v>
      </c>
      <c r="E243" t="s">
        <v>4883</v>
      </c>
      <c r="F243">
        <v>9849583575</v>
      </c>
      <c r="G243" t="s">
        <v>35</v>
      </c>
      <c r="H243" t="s">
        <v>4779</v>
      </c>
      <c r="I243" t="s">
        <v>4780</v>
      </c>
      <c r="J243" t="s">
        <v>4845</v>
      </c>
      <c r="K243" s="1">
        <v>43199</v>
      </c>
      <c r="L243">
        <v>65990</v>
      </c>
      <c r="M243" s="1">
        <v>44680</v>
      </c>
      <c r="N243" t="s">
        <v>4797</v>
      </c>
      <c r="O243">
        <v>192000</v>
      </c>
      <c r="P243">
        <v>0.10199999999999999</v>
      </c>
      <c r="Q243">
        <v>0</v>
      </c>
      <c r="R243" t="s">
        <v>4783</v>
      </c>
      <c r="S243" t="s">
        <v>3317</v>
      </c>
      <c r="T243">
        <v>54</v>
      </c>
      <c r="U243" t="s">
        <v>26</v>
      </c>
      <c r="V243">
        <v>35000</v>
      </c>
      <c r="W243">
        <v>249063.28</v>
      </c>
      <c r="X243">
        <v>7.1159999999999997</v>
      </c>
      <c r="Y243" t="s">
        <v>4784</v>
      </c>
      <c r="Z243">
        <v>2022</v>
      </c>
      <c r="AA243">
        <v>0</v>
      </c>
    </row>
    <row r="244" spans="1:27">
      <c r="A244" t="s">
        <v>4881</v>
      </c>
      <c r="B244" t="s">
        <v>4882</v>
      </c>
      <c r="C244" t="s">
        <v>61</v>
      </c>
      <c r="D244" t="s">
        <v>440</v>
      </c>
      <c r="E244" t="s">
        <v>4883</v>
      </c>
      <c r="F244">
        <v>9849583575</v>
      </c>
      <c r="G244" t="s">
        <v>35</v>
      </c>
      <c r="H244" t="s">
        <v>4779</v>
      </c>
      <c r="I244" t="s">
        <v>4780</v>
      </c>
      <c r="J244" t="s">
        <v>4845</v>
      </c>
      <c r="K244" s="1">
        <v>43199</v>
      </c>
      <c r="L244">
        <v>65990</v>
      </c>
      <c r="M244" s="1">
        <v>45185</v>
      </c>
      <c r="N244" t="s">
        <v>4797</v>
      </c>
      <c r="O244">
        <v>199700</v>
      </c>
      <c r="P244">
        <v>5.8000000000000003E-2</v>
      </c>
      <c r="Q244">
        <v>0</v>
      </c>
      <c r="R244" t="s">
        <v>4788</v>
      </c>
      <c r="S244" t="s">
        <v>3302</v>
      </c>
      <c r="T244">
        <v>36</v>
      </c>
      <c r="U244" t="s">
        <v>4796</v>
      </c>
      <c r="V244">
        <v>35000</v>
      </c>
      <c r="W244">
        <v>225714.03</v>
      </c>
      <c r="X244">
        <v>6.4489999999999998</v>
      </c>
      <c r="Y244" t="s">
        <v>4784</v>
      </c>
      <c r="Z244">
        <v>2023</v>
      </c>
      <c r="AA244">
        <v>0</v>
      </c>
    </row>
    <row r="245" spans="1:27">
      <c r="A245" t="s">
        <v>4881</v>
      </c>
      <c r="B245" t="s">
        <v>4882</v>
      </c>
      <c r="C245" t="s">
        <v>61</v>
      </c>
      <c r="D245" t="s">
        <v>440</v>
      </c>
      <c r="E245" t="s">
        <v>4883</v>
      </c>
      <c r="F245">
        <v>9849583575</v>
      </c>
      <c r="G245" t="s">
        <v>35</v>
      </c>
      <c r="H245" t="s">
        <v>4779</v>
      </c>
      <c r="I245" t="s">
        <v>4780</v>
      </c>
      <c r="J245" t="s">
        <v>4845</v>
      </c>
      <c r="K245" s="1">
        <v>43199</v>
      </c>
      <c r="L245">
        <v>65990</v>
      </c>
      <c r="M245" s="1">
        <v>45206</v>
      </c>
      <c r="N245" t="s">
        <v>4789</v>
      </c>
      <c r="O245">
        <v>207500</v>
      </c>
      <c r="P245">
        <v>4.4999999999999998E-2</v>
      </c>
      <c r="Q245">
        <v>0</v>
      </c>
      <c r="R245" t="s">
        <v>4791</v>
      </c>
      <c r="S245" t="s">
        <v>3322</v>
      </c>
      <c r="T245">
        <v>5</v>
      </c>
      <c r="U245" t="s">
        <v>4796</v>
      </c>
      <c r="V245">
        <v>35000</v>
      </c>
      <c r="W245">
        <v>272293.95</v>
      </c>
      <c r="X245">
        <v>7.78</v>
      </c>
      <c r="Y245" t="s">
        <v>4784</v>
      </c>
      <c r="Z245">
        <v>2023</v>
      </c>
      <c r="AA245">
        <v>0</v>
      </c>
    </row>
    <row r="246" spans="1:27">
      <c r="A246" t="s">
        <v>4881</v>
      </c>
      <c r="B246" t="s">
        <v>4882</v>
      </c>
      <c r="C246" t="s">
        <v>61</v>
      </c>
      <c r="D246" t="s">
        <v>440</v>
      </c>
      <c r="E246" t="s">
        <v>4883</v>
      </c>
      <c r="F246">
        <v>9849583575</v>
      </c>
      <c r="G246" t="s">
        <v>35</v>
      </c>
      <c r="H246" t="s">
        <v>4779</v>
      </c>
      <c r="I246" t="s">
        <v>4780</v>
      </c>
      <c r="J246" t="s">
        <v>4845</v>
      </c>
      <c r="K246" s="1">
        <v>43199</v>
      </c>
      <c r="L246">
        <v>65990</v>
      </c>
      <c r="M246" s="1">
        <v>45306</v>
      </c>
      <c r="N246" t="s">
        <v>4782</v>
      </c>
      <c r="O246">
        <v>219700</v>
      </c>
      <c r="P246">
        <v>4.2000000000000003E-2</v>
      </c>
      <c r="Q246">
        <v>9227.4</v>
      </c>
      <c r="R246" t="s">
        <v>4798</v>
      </c>
      <c r="S246" t="s">
        <v>3310</v>
      </c>
      <c r="T246">
        <v>57</v>
      </c>
      <c r="U246" t="s">
        <v>26</v>
      </c>
      <c r="V246">
        <v>35000</v>
      </c>
      <c r="W246">
        <v>261947.73</v>
      </c>
      <c r="X246">
        <v>7.484</v>
      </c>
      <c r="Y246" t="s">
        <v>4784</v>
      </c>
      <c r="Z246">
        <v>2024</v>
      </c>
      <c r="AA246">
        <v>1</v>
      </c>
    </row>
    <row r="247" spans="1:27">
      <c r="A247" t="s">
        <v>4881</v>
      </c>
      <c r="B247" t="s">
        <v>4882</v>
      </c>
      <c r="C247" t="s">
        <v>61</v>
      </c>
      <c r="D247" t="s">
        <v>440</v>
      </c>
      <c r="E247" t="s">
        <v>4883</v>
      </c>
      <c r="F247">
        <v>9849583575</v>
      </c>
      <c r="G247" t="s">
        <v>35</v>
      </c>
      <c r="H247" t="s">
        <v>4779</v>
      </c>
      <c r="I247" t="s">
        <v>4780</v>
      </c>
      <c r="J247" t="s">
        <v>4845</v>
      </c>
      <c r="K247" s="1">
        <v>43199</v>
      </c>
      <c r="L247">
        <v>65990</v>
      </c>
      <c r="M247" s="1">
        <v>45324</v>
      </c>
      <c r="N247" t="s">
        <v>4797</v>
      </c>
      <c r="O247">
        <v>202900</v>
      </c>
      <c r="P247">
        <v>6.7000000000000004E-2</v>
      </c>
      <c r="Q247">
        <v>0</v>
      </c>
      <c r="R247" t="s">
        <v>4794</v>
      </c>
      <c r="S247" t="s">
        <v>3348</v>
      </c>
      <c r="T247">
        <v>32</v>
      </c>
      <c r="U247" t="s">
        <v>4796</v>
      </c>
      <c r="V247">
        <v>35000</v>
      </c>
      <c r="W247">
        <v>238992.99</v>
      </c>
      <c r="X247">
        <v>6.8280000000000003</v>
      </c>
      <c r="Y247" t="s">
        <v>4784</v>
      </c>
      <c r="Z247">
        <v>2024</v>
      </c>
      <c r="AA247">
        <v>0</v>
      </c>
    </row>
    <row r="248" spans="1:27">
      <c r="A248" t="s">
        <v>4881</v>
      </c>
      <c r="B248" t="s">
        <v>4882</v>
      </c>
      <c r="C248" t="s">
        <v>61</v>
      </c>
      <c r="D248" t="s">
        <v>440</v>
      </c>
      <c r="E248" t="s">
        <v>4883</v>
      </c>
      <c r="F248">
        <v>9849583575</v>
      </c>
      <c r="G248" t="s">
        <v>35</v>
      </c>
      <c r="H248" t="s">
        <v>4779</v>
      </c>
      <c r="I248" t="s">
        <v>4780</v>
      </c>
      <c r="J248" t="s">
        <v>4845</v>
      </c>
      <c r="K248" s="1">
        <v>43199</v>
      </c>
      <c r="L248">
        <v>65990</v>
      </c>
      <c r="M248" s="1">
        <v>45390</v>
      </c>
      <c r="N248" t="s">
        <v>4782</v>
      </c>
      <c r="O248">
        <v>235900</v>
      </c>
      <c r="P248">
        <v>5.7000000000000002E-2</v>
      </c>
      <c r="Q248">
        <v>13446.3</v>
      </c>
      <c r="R248" t="s">
        <v>4791</v>
      </c>
      <c r="S248" t="s">
        <v>3416</v>
      </c>
      <c r="T248">
        <v>43</v>
      </c>
      <c r="U248" t="s">
        <v>26</v>
      </c>
      <c r="V248">
        <v>35000</v>
      </c>
      <c r="W248">
        <v>271895.7</v>
      </c>
      <c r="X248">
        <v>7.7679999999999998</v>
      </c>
      <c r="Y248" t="s">
        <v>4784</v>
      </c>
      <c r="Z248">
        <v>2024</v>
      </c>
      <c r="AA248">
        <v>1</v>
      </c>
    </row>
    <row r="249" spans="1:27">
      <c r="A249" t="s">
        <v>4881</v>
      </c>
      <c r="B249" t="s">
        <v>4882</v>
      </c>
      <c r="C249" t="s">
        <v>61</v>
      </c>
      <c r="D249" t="s">
        <v>440</v>
      </c>
      <c r="E249" t="s">
        <v>4883</v>
      </c>
      <c r="F249">
        <v>9849583575</v>
      </c>
      <c r="G249" t="s">
        <v>35</v>
      </c>
      <c r="H249" t="s">
        <v>4779</v>
      </c>
      <c r="I249" t="s">
        <v>4780</v>
      </c>
      <c r="J249" t="s">
        <v>4845</v>
      </c>
      <c r="K249" s="1">
        <v>43199</v>
      </c>
      <c r="L249">
        <v>65990</v>
      </c>
      <c r="M249" s="1">
        <v>45475</v>
      </c>
      <c r="N249" t="s">
        <v>4797</v>
      </c>
      <c r="O249">
        <v>58800</v>
      </c>
      <c r="P249">
        <v>0.11</v>
      </c>
      <c r="Q249">
        <v>0</v>
      </c>
      <c r="R249" t="s">
        <v>4783</v>
      </c>
      <c r="S249" t="s">
        <v>3411</v>
      </c>
      <c r="T249">
        <v>80</v>
      </c>
      <c r="U249" t="s">
        <v>26</v>
      </c>
      <c r="V249">
        <v>35000</v>
      </c>
      <c r="W249">
        <v>66310.16</v>
      </c>
      <c r="X249">
        <v>1.895</v>
      </c>
      <c r="Y249" t="s">
        <v>4784</v>
      </c>
      <c r="Z249">
        <v>2024</v>
      </c>
      <c r="AA249">
        <v>0</v>
      </c>
    </row>
    <row r="250" spans="1:27">
      <c r="A250" t="s">
        <v>4881</v>
      </c>
      <c r="B250" t="s">
        <v>4882</v>
      </c>
      <c r="C250" t="s">
        <v>61</v>
      </c>
      <c r="D250" t="s">
        <v>440</v>
      </c>
      <c r="E250" t="s">
        <v>4883</v>
      </c>
      <c r="F250">
        <v>9849583575</v>
      </c>
      <c r="G250" t="s">
        <v>35</v>
      </c>
      <c r="H250" t="s">
        <v>4779</v>
      </c>
      <c r="I250" t="s">
        <v>4780</v>
      </c>
      <c r="J250" t="s">
        <v>4845</v>
      </c>
      <c r="K250" s="1">
        <v>43199</v>
      </c>
      <c r="L250">
        <v>65990</v>
      </c>
      <c r="M250" s="1">
        <v>45619</v>
      </c>
      <c r="N250" t="s">
        <v>4797</v>
      </c>
      <c r="O250">
        <v>99800</v>
      </c>
      <c r="P250">
        <v>0.115</v>
      </c>
      <c r="Q250">
        <v>0</v>
      </c>
      <c r="R250" t="s">
        <v>4790</v>
      </c>
      <c r="S250" t="s">
        <v>3310</v>
      </c>
      <c r="T250">
        <v>2</v>
      </c>
      <c r="U250" t="s">
        <v>4787</v>
      </c>
      <c r="V250">
        <v>35000</v>
      </c>
      <c r="W250">
        <v>57514.78</v>
      </c>
      <c r="X250">
        <v>1.643</v>
      </c>
      <c r="Y250" t="s">
        <v>4784</v>
      </c>
      <c r="Z250">
        <v>2024</v>
      </c>
      <c r="AA250">
        <v>0</v>
      </c>
    </row>
    <row r="251" spans="1:27">
      <c r="A251" t="s">
        <v>4881</v>
      </c>
      <c r="B251" t="s">
        <v>4882</v>
      </c>
      <c r="C251" t="s">
        <v>61</v>
      </c>
      <c r="D251" t="s">
        <v>440</v>
      </c>
      <c r="E251" t="s">
        <v>4883</v>
      </c>
      <c r="F251">
        <v>9849583575</v>
      </c>
      <c r="G251" t="s">
        <v>35</v>
      </c>
      <c r="H251" t="s">
        <v>4779</v>
      </c>
      <c r="I251" t="s">
        <v>4780</v>
      </c>
      <c r="J251" t="s">
        <v>4845</v>
      </c>
      <c r="K251" s="1">
        <v>43199</v>
      </c>
      <c r="L251">
        <v>65990</v>
      </c>
      <c r="M251" s="1">
        <v>45646</v>
      </c>
      <c r="N251" t="s">
        <v>4789</v>
      </c>
      <c r="O251">
        <v>211400</v>
      </c>
      <c r="P251">
        <v>5.0999999999999997E-2</v>
      </c>
      <c r="Q251">
        <v>0</v>
      </c>
      <c r="R251" t="s">
        <v>4798</v>
      </c>
      <c r="S251" t="s">
        <v>3322</v>
      </c>
      <c r="T251">
        <v>53</v>
      </c>
      <c r="U251" t="s">
        <v>26</v>
      </c>
      <c r="V251">
        <v>35000</v>
      </c>
      <c r="W251">
        <v>276565.90000000002</v>
      </c>
      <c r="X251">
        <v>7.9020000000000001</v>
      </c>
      <c r="Y251" t="s">
        <v>4784</v>
      </c>
      <c r="Z251">
        <v>2024</v>
      </c>
      <c r="AA251">
        <v>0</v>
      </c>
    </row>
    <row r="252" spans="1:27">
      <c r="A252" t="s">
        <v>4884</v>
      </c>
      <c r="B252" t="s">
        <v>4885</v>
      </c>
      <c r="C252" t="s">
        <v>1180</v>
      </c>
      <c r="D252" t="s">
        <v>202</v>
      </c>
      <c r="E252" t="s">
        <v>4886</v>
      </c>
      <c r="F252">
        <v>9900870780</v>
      </c>
      <c r="G252" t="s">
        <v>46</v>
      </c>
      <c r="H252" t="s">
        <v>4807</v>
      </c>
      <c r="I252" t="s">
        <v>4780</v>
      </c>
      <c r="J252" t="s">
        <v>4829</v>
      </c>
      <c r="K252" s="1">
        <v>44533</v>
      </c>
      <c r="L252">
        <v>77824</v>
      </c>
      <c r="M252" s="1">
        <v>44572</v>
      </c>
      <c r="N252" t="s">
        <v>4789</v>
      </c>
      <c r="O252">
        <v>93900</v>
      </c>
      <c r="P252">
        <v>0.11799999999999999</v>
      </c>
      <c r="Q252">
        <v>0</v>
      </c>
      <c r="R252" t="s">
        <v>4798</v>
      </c>
      <c r="S252" t="s">
        <v>3348</v>
      </c>
      <c r="T252">
        <v>75</v>
      </c>
      <c r="U252" t="s">
        <v>4796</v>
      </c>
      <c r="V252">
        <v>41666.67</v>
      </c>
      <c r="W252">
        <v>76556.990000000005</v>
      </c>
      <c r="X252">
        <v>1.837</v>
      </c>
      <c r="Y252" t="s">
        <v>4784</v>
      </c>
      <c r="Z252">
        <v>2022</v>
      </c>
      <c r="AA252">
        <v>0</v>
      </c>
    </row>
    <row r="253" spans="1:27">
      <c r="A253" t="s">
        <v>4884</v>
      </c>
      <c r="B253" t="s">
        <v>4885</v>
      </c>
      <c r="C253" t="s">
        <v>1180</v>
      </c>
      <c r="D253" t="s">
        <v>202</v>
      </c>
      <c r="E253" t="s">
        <v>4886</v>
      </c>
      <c r="F253">
        <v>9900870780</v>
      </c>
      <c r="G253" t="s">
        <v>46</v>
      </c>
      <c r="H253" t="s">
        <v>4807</v>
      </c>
      <c r="I253" t="s">
        <v>4780</v>
      </c>
      <c r="J253" t="s">
        <v>4829</v>
      </c>
      <c r="K253" s="1">
        <v>44533</v>
      </c>
      <c r="L253">
        <v>77824</v>
      </c>
      <c r="M253" s="1">
        <v>44820</v>
      </c>
      <c r="N253" t="s">
        <v>4785</v>
      </c>
      <c r="O253">
        <v>146800</v>
      </c>
      <c r="P253">
        <v>5.6000000000000001E-2</v>
      </c>
      <c r="Q253">
        <v>0</v>
      </c>
      <c r="R253" t="s">
        <v>4791</v>
      </c>
      <c r="S253" t="s">
        <v>3416</v>
      </c>
      <c r="T253">
        <v>71</v>
      </c>
      <c r="U253" t="s">
        <v>4795</v>
      </c>
      <c r="V253">
        <v>41666.67</v>
      </c>
      <c r="W253">
        <v>142278.89000000001</v>
      </c>
      <c r="X253">
        <v>3.415</v>
      </c>
      <c r="Y253" t="s">
        <v>4784</v>
      </c>
      <c r="Z253">
        <v>2022</v>
      </c>
      <c r="AA253">
        <v>0</v>
      </c>
    </row>
    <row r="254" spans="1:27">
      <c r="A254" t="s">
        <v>4884</v>
      </c>
      <c r="B254" t="s">
        <v>4885</v>
      </c>
      <c r="C254" t="s">
        <v>1180</v>
      </c>
      <c r="D254" t="s">
        <v>202</v>
      </c>
      <c r="E254" t="s">
        <v>4886</v>
      </c>
      <c r="F254">
        <v>9900870780</v>
      </c>
      <c r="G254" t="s">
        <v>46</v>
      </c>
      <c r="H254" t="s">
        <v>4807</v>
      </c>
      <c r="I254" t="s">
        <v>4780</v>
      </c>
      <c r="J254" t="s">
        <v>4829</v>
      </c>
      <c r="K254" s="1">
        <v>44533</v>
      </c>
      <c r="L254">
        <v>77824</v>
      </c>
      <c r="M254" s="1">
        <v>44889</v>
      </c>
      <c r="N254" t="s">
        <v>4782</v>
      </c>
      <c r="O254">
        <v>12300</v>
      </c>
      <c r="P254">
        <v>0.11</v>
      </c>
      <c r="Q254">
        <v>1353</v>
      </c>
      <c r="R254" t="s">
        <v>4783</v>
      </c>
      <c r="S254" t="s">
        <v>3416</v>
      </c>
      <c r="T254">
        <v>34</v>
      </c>
      <c r="U254" t="s">
        <v>4796</v>
      </c>
      <c r="V254">
        <v>41666.67</v>
      </c>
      <c r="W254">
        <v>15362.77</v>
      </c>
      <c r="X254">
        <v>0.36899999999999999</v>
      </c>
      <c r="Y254" t="s">
        <v>4792</v>
      </c>
      <c r="Z254">
        <v>2022</v>
      </c>
      <c r="AA254">
        <v>1</v>
      </c>
    </row>
    <row r="255" spans="1:27">
      <c r="A255" t="s">
        <v>4884</v>
      </c>
      <c r="B255" t="s">
        <v>4885</v>
      </c>
      <c r="C255" t="s">
        <v>1180</v>
      </c>
      <c r="D255" t="s">
        <v>202</v>
      </c>
      <c r="E255" t="s">
        <v>4886</v>
      </c>
      <c r="F255">
        <v>9900870780</v>
      </c>
      <c r="G255" t="s">
        <v>46</v>
      </c>
      <c r="H255" t="s">
        <v>4807</v>
      </c>
      <c r="I255" t="s">
        <v>4780</v>
      </c>
      <c r="J255" t="s">
        <v>4829</v>
      </c>
      <c r="K255" s="1">
        <v>44533</v>
      </c>
      <c r="L255">
        <v>77824</v>
      </c>
      <c r="M255" s="1">
        <v>45069</v>
      </c>
      <c r="N255" t="s">
        <v>4782</v>
      </c>
      <c r="O255">
        <v>90900</v>
      </c>
      <c r="P255">
        <v>7.5999999999999998E-2</v>
      </c>
      <c r="Q255">
        <v>6908.4</v>
      </c>
      <c r="R255" t="s">
        <v>4786</v>
      </c>
      <c r="S255" t="s">
        <v>3411</v>
      </c>
      <c r="T255">
        <v>47</v>
      </c>
      <c r="U255" t="s">
        <v>26</v>
      </c>
      <c r="V255">
        <v>41666.67</v>
      </c>
      <c r="W255">
        <v>53466.38</v>
      </c>
      <c r="X255">
        <v>1.2829999999999999</v>
      </c>
      <c r="Y255" t="s">
        <v>4784</v>
      </c>
      <c r="Z255">
        <v>2023</v>
      </c>
      <c r="AA255">
        <v>1</v>
      </c>
    </row>
    <row r="256" spans="1:27">
      <c r="A256" t="s">
        <v>4884</v>
      </c>
      <c r="B256" t="s">
        <v>4885</v>
      </c>
      <c r="C256" t="s">
        <v>1180</v>
      </c>
      <c r="D256" t="s">
        <v>202</v>
      </c>
      <c r="E256" t="s">
        <v>4886</v>
      </c>
      <c r="F256">
        <v>9900870780</v>
      </c>
      <c r="G256" t="s">
        <v>46</v>
      </c>
      <c r="H256" t="s">
        <v>4807</v>
      </c>
      <c r="I256" t="s">
        <v>4780</v>
      </c>
      <c r="J256" t="s">
        <v>4829</v>
      </c>
      <c r="K256" s="1">
        <v>44533</v>
      </c>
      <c r="L256">
        <v>77824</v>
      </c>
      <c r="M256" s="1">
        <v>45144</v>
      </c>
      <c r="N256" t="s">
        <v>4797</v>
      </c>
      <c r="O256">
        <v>210700</v>
      </c>
      <c r="P256">
        <v>0.10299999999999999</v>
      </c>
      <c r="Q256">
        <v>0</v>
      </c>
      <c r="R256" t="s">
        <v>4783</v>
      </c>
      <c r="S256" t="s">
        <v>3348</v>
      </c>
      <c r="T256">
        <v>18</v>
      </c>
      <c r="U256" t="s">
        <v>26</v>
      </c>
      <c r="V256">
        <v>41666.67</v>
      </c>
      <c r="W256">
        <v>203894.39</v>
      </c>
      <c r="X256">
        <v>4.8929999999999998</v>
      </c>
      <c r="Y256" t="s">
        <v>4784</v>
      </c>
      <c r="Z256">
        <v>2023</v>
      </c>
      <c r="AA256">
        <v>0</v>
      </c>
    </row>
    <row r="257" spans="1:27">
      <c r="A257" t="s">
        <v>4884</v>
      </c>
      <c r="B257" t="s">
        <v>4885</v>
      </c>
      <c r="C257" t="s">
        <v>1180</v>
      </c>
      <c r="D257" t="s">
        <v>202</v>
      </c>
      <c r="E257" t="s">
        <v>4886</v>
      </c>
      <c r="F257">
        <v>9900870780</v>
      </c>
      <c r="G257" t="s">
        <v>46</v>
      </c>
      <c r="H257" t="s">
        <v>4807</v>
      </c>
      <c r="I257" t="s">
        <v>4780</v>
      </c>
      <c r="J257" t="s">
        <v>4829</v>
      </c>
      <c r="K257" s="1">
        <v>44533</v>
      </c>
      <c r="L257">
        <v>77824</v>
      </c>
      <c r="M257" s="1">
        <v>45184</v>
      </c>
      <c r="N257" t="s">
        <v>4797</v>
      </c>
      <c r="O257">
        <v>115800</v>
      </c>
      <c r="P257">
        <v>0.11899999999999999</v>
      </c>
      <c r="Q257">
        <v>0</v>
      </c>
      <c r="R257" t="s">
        <v>4791</v>
      </c>
      <c r="S257" t="s">
        <v>3348</v>
      </c>
      <c r="T257">
        <v>8</v>
      </c>
      <c r="U257" t="s">
        <v>4795</v>
      </c>
      <c r="V257">
        <v>41666.67</v>
      </c>
      <c r="W257">
        <v>84971.82</v>
      </c>
      <c r="X257">
        <v>2.0390000000000001</v>
      </c>
      <c r="Y257" t="s">
        <v>4784</v>
      </c>
      <c r="Z257">
        <v>2023</v>
      </c>
      <c r="AA257">
        <v>0</v>
      </c>
    </row>
    <row r="258" spans="1:27">
      <c r="A258" t="s">
        <v>4884</v>
      </c>
      <c r="B258" t="s">
        <v>4885</v>
      </c>
      <c r="C258" t="s">
        <v>1180</v>
      </c>
      <c r="D258" t="s">
        <v>202</v>
      </c>
      <c r="E258" t="s">
        <v>4886</v>
      </c>
      <c r="F258">
        <v>9900870780</v>
      </c>
      <c r="G258" t="s">
        <v>46</v>
      </c>
      <c r="H258" t="s">
        <v>4807</v>
      </c>
      <c r="I258" t="s">
        <v>4780</v>
      </c>
      <c r="J258" t="s">
        <v>4829</v>
      </c>
      <c r="K258" s="1">
        <v>44533</v>
      </c>
      <c r="L258">
        <v>77824</v>
      </c>
      <c r="M258" s="1">
        <v>45318</v>
      </c>
      <c r="N258" t="s">
        <v>4797</v>
      </c>
      <c r="O258">
        <v>143000</v>
      </c>
      <c r="P258">
        <v>6.6000000000000003E-2</v>
      </c>
      <c r="Q258">
        <v>0</v>
      </c>
      <c r="R258" t="s">
        <v>4783</v>
      </c>
      <c r="S258" t="s">
        <v>3416</v>
      </c>
      <c r="T258">
        <v>51</v>
      </c>
      <c r="U258" t="s">
        <v>4795</v>
      </c>
      <c r="V258">
        <v>41666.67</v>
      </c>
      <c r="W258">
        <v>146699.9</v>
      </c>
      <c r="X258">
        <v>3.5209999999999999</v>
      </c>
      <c r="Y258" t="s">
        <v>4784</v>
      </c>
      <c r="Z258">
        <v>2024</v>
      </c>
      <c r="AA258">
        <v>0</v>
      </c>
    </row>
    <row r="259" spans="1:27">
      <c r="A259" t="s">
        <v>4884</v>
      </c>
      <c r="B259" t="s">
        <v>4885</v>
      </c>
      <c r="C259" t="s">
        <v>1180</v>
      </c>
      <c r="D259" t="s">
        <v>202</v>
      </c>
      <c r="E259" t="s">
        <v>4886</v>
      </c>
      <c r="F259">
        <v>9900870780</v>
      </c>
      <c r="G259" t="s">
        <v>46</v>
      </c>
      <c r="H259" t="s">
        <v>4807</v>
      </c>
      <c r="I259" t="s">
        <v>4780</v>
      </c>
      <c r="J259" t="s">
        <v>4829</v>
      </c>
      <c r="K259" s="1">
        <v>44533</v>
      </c>
      <c r="L259">
        <v>77824</v>
      </c>
      <c r="M259" s="1">
        <v>45429</v>
      </c>
      <c r="N259" t="s">
        <v>4789</v>
      </c>
      <c r="O259">
        <v>185600</v>
      </c>
      <c r="P259">
        <v>0.114</v>
      </c>
      <c r="Q259">
        <v>0</v>
      </c>
      <c r="R259" t="s">
        <v>4790</v>
      </c>
      <c r="S259" t="s">
        <v>3348</v>
      </c>
      <c r="T259">
        <v>54</v>
      </c>
      <c r="U259" t="s">
        <v>4796</v>
      </c>
      <c r="V259">
        <v>41666.67</v>
      </c>
      <c r="W259">
        <v>116911.59</v>
      </c>
      <c r="X259">
        <v>2.806</v>
      </c>
      <c r="Y259" t="s">
        <v>4784</v>
      </c>
      <c r="Z259">
        <v>2024</v>
      </c>
      <c r="AA259">
        <v>0</v>
      </c>
    </row>
    <row r="260" spans="1:27">
      <c r="A260" t="s">
        <v>4884</v>
      </c>
      <c r="B260" t="s">
        <v>4885</v>
      </c>
      <c r="C260" t="s">
        <v>1180</v>
      </c>
      <c r="D260" t="s">
        <v>202</v>
      </c>
      <c r="E260" t="s">
        <v>4886</v>
      </c>
      <c r="F260">
        <v>9900870780</v>
      </c>
      <c r="G260" t="s">
        <v>46</v>
      </c>
      <c r="H260" t="s">
        <v>4807</v>
      </c>
      <c r="I260" t="s">
        <v>4780</v>
      </c>
      <c r="J260" t="s">
        <v>4829</v>
      </c>
      <c r="K260" s="1">
        <v>44533</v>
      </c>
      <c r="L260">
        <v>77824</v>
      </c>
      <c r="M260" s="1">
        <v>45433</v>
      </c>
      <c r="N260" t="s">
        <v>4789</v>
      </c>
      <c r="O260">
        <v>26500</v>
      </c>
      <c r="P260">
        <v>3.7999999999999999E-2</v>
      </c>
      <c r="Q260">
        <v>0</v>
      </c>
      <c r="R260" t="s">
        <v>4790</v>
      </c>
      <c r="S260" t="s">
        <v>3310</v>
      </c>
      <c r="T260">
        <v>61</v>
      </c>
      <c r="U260" t="s">
        <v>4796</v>
      </c>
      <c r="V260">
        <v>41666.67</v>
      </c>
      <c r="W260">
        <v>23891.01</v>
      </c>
      <c r="X260">
        <v>0.57299999999999995</v>
      </c>
      <c r="Y260" t="s">
        <v>4792</v>
      </c>
      <c r="Z260">
        <v>2024</v>
      </c>
      <c r="AA260">
        <v>0</v>
      </c>
    </row>
    <row r="261" spans="1:27">
      <c r="A261" t="s">
        <v>4884</v>
      </c>
      <c r="B261" t="s">
        <v>4885</v>
      </c>
      <c r="C261" t="s">
        <v>1180</v>
      </c>
      <c r="D261" t="s">
        <v>202</v>
      </c>
      <c r="E261" t="s">
        <v>4886</v>
      </c>
      <c r="F261">
        <v>9900870780</v>
      </c>
      <c r="G261" t="s">
        <v>46</v>
      </c>
      <c r="H261" t="s">
        <v>4807</v>
      </c>
      <c r="I261" t="s">
        <v>4780</v>
      </c>
      <c r="J261" t="s">
        <v>4829</v>
      </c>
      <c r="K261" s="1">
        <v>44533</v>
      </c>
      <c r="L261">
        <v>77824</v>
      </c>
      <c r="M261" s="1">
        <v>45601</v>
      </c>
      <c r="N261" t="s">
        <v>4782</v>
      </c>
      <c r="O261">
        <v>37500</v>
      </c>
      <c r="P261">
        <v>3.4000000000000002E-2</v>
      </c>
      <c r="Q261">
        <v>1275</v>
      </c>
      <c r="R261" t="s">
        <v>4794</v>
      </c>
      <c r="S261" t="s">
        <v>3302</v>
      </c>
      <c r="T261">
        <v>58</v>
      </c>
      <c r="U261" t="s">
        <v>4795</v>
      </c>
      <c r="V261">
        <v>41666.67</v>
      </c>
      <c r="W261">
        <v>38069.69</v>
      </c>
      <c r="X261">
        <v>0.91400000000000003</v>
      </c>
      <c r="Y261" t="s">
        <v>4793</v>
      </c>
      <c r="Z261">
        <v>2024</v>
      </c>
      <c r="AA261">
        <v>1</v>
      </c>
    </row>
    <row r="262" spans="1:27">
      <c r="A262" t="s">
        <v>4887</v>
      </c>
      <c r="B262" t="s">
        <v>4888</v>
      </c>
      <c r="C262" t="s">
        <v>121</v>
      </c>
      <c r="D262" t="s">
        <v>974</v>
      </c>
      <c r="E262" t="s">
        <v>4889</v>
      </c>
      <c r="F262">
        <v>9765234130</v>
      </c>
      <c r="G262" t="s">
        <v>188</v>
      </c>
      <c r="H262" t="s">
        <v>4802</v>
      </c>
      <c r="I262" t="s">
        <v>4844</v>
      </c>
      <c r="J262" t="s">
        <v>4781</v>
      </c>
      <c r="K262" s="1">
        <v>43378</v>
      </c>
      <c r="L262">
        <v>44679</v>
      </c>
      <c r="M262" s="1">
        <v>44612</v>
      </c>
      <c r="N262" t="s">
        <v>4785</v>
      </c>
      <c r="O262">
        <v>170200</v>
      </c>
      <c r="P262">
        <v>0.10199999999999999</v>
      </c>
      <c r="Q262">
        <v>0</v>
      </c>
      <c r="R262" t="s">
        <v>4794</v>
      </c>
      <c r="S262" t="s">
        <v>3317</v>
      </c>
      <c r="T262">
        <v>72</v>
      </c>
      <c r="U262" t="s">
        <v>4787</v>
      </c>
      <c r="V262">
        <v>40000</v>
      </c>
      <c r="W262">
        <v>183734.78</v>
      </c>
      <c r="X262">
        <v>4.593</v>
      </c>
      <c r="Y262" t="s">
        <v>4784</v>
      </c>
      <c r="Z262">
        <v>2022</v>
      </c>
      <c r="AA262">
        <v>0</v>
      </c>
    </row>
    <row r="263" spans="1:27">
      <c r="A263" t="s">
        <v>4887</v>
      </c>
      <c r="B263" t="s">
        <v>4888</v>
      </c>
      <c r="C263" t="s">
        <v>121</v>
      </c>
      <c r="D263" t="s">
        <v>974</v>
      </c>
      <c r="E263" t="s">
        <v>4889</v>
      </c>
      <c r="F263">
        <v>9765234130</v>
      </c>
      <c r="G263" t="s">
        <v>188</v>
      </c>
      <c r="H263" t="s">
        <v>4802</v>
      </c>
      <c r="I263" t="s">
        <v>4844</v>
      </c>
      <c r="J263" t="s">
        <v>4781</v>
      </c>
      <c r="K263" s="1">
        <v>43378</v>
      </c>
      <c r="L263">
        <v>44679</v>
      </c>
      <c r="M263" s="1">
        <v>44700</v>
      </c>
      <c r="N263" t="s">
        <v>4782</v>
      </c>
      <c r="O263">
        <v>114500</v>
      </c>
      <c r="P263">
        <v>7.2999999999999995E-2</v>
      </c>
      <c r="Q263">
        <v>8358.5</v>
      </c>
      <c r="R263" t="s">
        <v>4788</v>
      </c>
      <c r="S263" t="s">
        <v>3416</v>
      </c>
      <c r="T263">
        <v>58</v>
      </c>
      <c r="U263" t="s">
        <v>4795</v>
      </c>
      <c r="V263">
        <v>40000</v>
      </c>
      <c r="W263">
        <v>137768.04999999999</v>
      </c>
      <c r="X263">
        <v>3.444</v>
      </c>
      <c r="Y263" t="s">
        <v>4784</v>
      </c>
      <c r="Z263">
        <v>2022</v>
      </c>
      <c r="AA263">
        <v>1</v>
      </c>
    </row>
    <row r="264" spans="1:27">
      <c r="A264" t="s">
        <v>4887</v>
      </c>
      <c r="B264" t="s">
        <v>4888</v>
      </c>
      <c r="C264" t="s">
        <v>121</v>
      </c>
      <c r="D264" t="s">
        <v>974</v>
      </c>
      <c r="E264" t="s">
        <v>4889</v>
      </c>
      <c r="F264">
        <v>9765234130</v>
      </c>
      <c r="G264" t="s">
        <v>188</v>
      </c>
      <c r="H264" t="s">
        <v>4802</v>
      </c>
      <c r="I264" t="s">
        <v>4844</v>
      </c>
      <c r="J264" t="s">
        <v>4781</v>
      </c>
      <c r="K264" s="1">
        <v>43378</v>
      </c>
      <c r="L264">
        <v>44679</v>
      </c>
      <c r="M264" s="1">
        <v>44822</v>
      </c>
      <c r="N264" t="s">
        <v>4789</v>
      </c>
      <c r="O264">
        <v>191400</v>
      </c>
      <c r="P264">
        <v>7.0999999999999994E-2</v>
      </c>
      <c r="Q264">
        <v>0</v>
      </c>
      <c r="R264" t="s">
        <v>4794</v>
      </c>
      <c r="S264" t="s">
        <v>3416</v>
      </c>
      <c r="T264">
        <v>68</v>
      </c>
      <c r="U264" t="s">
        <v>4787</v>
      </c>
      <c r="V264">
        <v>40000</v>
      </c>
      <c r="W264">
        <v>215329.52</v>
      </c>
      <c r="X264">
        <v>5.383</v>
      </c>
      <c r="Y264" t="s">
        <v>4784</v>
      </c>
      <c r="Z264">
        <v>2022</v>
      </c>
      <c r="AA264">
        <v>0</v>
      </c>
    </row>
    <row r="265" spans="1:27">
      <c r="A265" t="s">
        <v>4887</v>
      </c>
      <c r="B265" t="s">
        <v>4888</v>
      </c>
      <c r="C265" t="s">
        <v>121</v>
      </c>
      <c r="D265" t="s">
        <v>974</v>
      </c>
      <c r="E265" t="s">
        <v>4889</v>
      </c>
      <c r="F265">
        <v>9765234130</v>
      </c>
      <c r="G265" t="s">
        <v>188</v>
      </c>
      <c r="H265" t="s">
        <v>4802</v>
      </c>
      <c r="I265" t="s">
        <v>4844</v>
      </c>
      <c r="J265" t="s">
        <v>4781</v>
      </c>
      <c r="K265" s="1">
        <v>43378</v>
      </c>
      <c r="L265">
        <v>44679</v>
      </c>
      <c r="M265" s="1">
        <v>45183</v>
      </c>
      <c r="N265" t="s">
        <v>4782</v>
      </c>
      <c r="O265">
        <v>132400</v>
      </c>
      <c r="P265">
        <v>3.3000000000000002E-2</v>
      </c>
      <c r="Q265">
        <v>4369.2</v>
      </c>
      <c r="R265" t="s">
        <v>4786</v>
      </c>
      <c r="S265" t="s">
        <v>3310</v>
      </c>
      <c r="T265">
        <v>76</v>
      </c>
      <c r="U265" t="s">
        <v>26</v>
      </c>
      <c r="V265">
        <v>40000</v>
      </c>
      <c r="W265">
        <v>71997.259999999995</v>
      </c>
      <c r="X265">
        <v>1.8</v>
      </c>
      <c r="Y265" t="s">
        <v>4784</v>
      </c>
      <c r="Z265">
        <v>2023</v>
      </c>
      <c r="AA265">
        <v>1</v>
      </c>
    </row>
    <row r="266" spans="1:27">
      <c r="A266" t="s">
        <v>4887</v>
      </c>
      <c r="B266" t="s">
        <v>4888</v>
      </c>
      <c r="C266" t="s">
        <v>121</v>
      </c>
      <c r="D266" t="s">
        <v>974</v>
      </c>
      <c r="E266" t="s">
        <v>4889</v>
      </c>
      <c r="F266">
        <v>9765234130</v>
      </c>
      <c r="G266" t="s">
        <v>188</v>
      </c>
      <c r="H266" t="s">
        <v>4802</v>
      </c>
      <c r="I266" t="s">
        <v>4844</v>
      </c>
      <c r="J266" t="s">
        <v>4781</v>
      </c>
      <c r="K266" s="1">
        <v>43378</v>
      </c>
      <c r="L266">
        <v>44679</v>
      </c>
      <c r="M266" s="1">
        <v>45186</v>
      </c>
      <c r="N266" t="s">
        <v>4782</v>
      </c>
      <c r="O266">
        <v>61500</v>
      </c>
      <c r="P266">
        <v>4.5999999999999999E-2</v>
      </c>
      <c r="Q266">
        <v>2829</v>
      </c>
      <c r="R266" t="s">
        <v>4794</v>
      </c>
      <c r="S266" t="s">
        <v>3322</v>
      </c>
      <c r="T266">
        <v>1</v>
      </c>
      <c r="U266" t="s">
        <v>4787</v>
      </c>
      <c r="V266">
        <v>40000</v>
      </c>
      <c r="W266">
        <v>61056.19</v>
      </c>
      <c r="X266">
        <v>1.526</v>
      </c>
      <c r="Y266" t="s">
        <v>4784</v>
      </c>
      <c r="Z266">
        <v>2023</v>
      </c>
      <c r="AA266">
        <v>1</v>
      </c>
    </row>
    <row r="267" spans="1:27">
      <c r="A267" t="s">
        <v>4887</v>
      </c>
      <c r="B267" t="s">
        <v>4888</v>
      </c>
      <c r="C267" t="s">
        <v>121</v>
      </c>
      <c r="D267" t="s">
        <v>974</v>
      </c>
      <c r="E267" t="s">
        <v>4889</v>
      </c>
      <c r="F267">
        <v>9765234130</v>
      </c>
      <c r="G267" t="s">
        <v>188</v>
      </c>
      <c r="H267" t="s">
        <v>4802</v>
      </c>
      <c r="I267" t="s">
        <v>4844</v>
      </c>
      <c r="J267" t="s">
        <v>4781</v>
      </c>
      <c r="K267" s="1">
        <v>43378</v>
      </c>
      <c r="L267">
        <v>44679</v>
      </c>
      <c r="M267" s="1">
        <v>45318</v>
      </c>
      <c r="N267" t="s">
        <v>4785</v>
      </c>
      <c r="O267">
        <v>80900</v>
      </c>
      <c r="P267">
        <v>3.4000000000000002E-2</v>
      </c>
      <c r="Q267">
        <v>0</v>
      </c>
      <c r="R267" t="s">
        <v>4786</v>
      </c>
      <c r="S267" t="s">
        <v>3302</v>
      </c>
      <c r="T267">
        <v>48</v>
      </c>
      <c r="U267" t="s">
        <v>4795</v>
      </c>
      <c r="V267">
        <v>40000</v>
      </c>
      <c r="W267">
        <v>112606.17</v>
      </c>
      <c r="X267">
        <v>2.8149999999999999</v>
      </c>
      <c r="Y267" t="s">
        <v>4784</v>
      </c>
      <c r="Z267">
        <v>2024</v>
      </c>
      <c r="AA267">
        <v>0</v>
      </c>
    </row>
    <row r="268" spans="1:27">
      <c r="A268" t="s">
        <v>4887</v>
      </c>
      <c r="B268" t="s">
        <v>4888</v>
      </c>
      <c r="C268" t="s">
        <v>121</v>
      </c>
      <c r="D268" t="s">
        <v>974</v>
      </c>
      <c r="E268" t="s">
        <v>4889</v>
      </c>
      <c r="F268">
        <v>9765234130</v>
      </c>
      <c r="G268" t="s">
        <v>188</v>
      </c>
      <c r="H268" t="s">
        <v>4802</v>
      </c>
      <c r="I268" t="s">
        <v>4844</v>
      </c>
      <c r="J268" t="s">
        <v>4781</v>
      </c>
      <c r="K268" s="1">
        <v>43378</v>
      </c>
      <c r="L268">
        <v>44679</v>
      </c>
      <c r="M268" s="1">
        <v>45371</v>
      </c>
      <c r="N268" t="s">
        <v>4782</v>
      </c>
      <c r="O268">
        <v>146800</v>
      </c>
      <c r="P268">
        <v>3.4000000000000002E-2</v>
      </c>
      <c r="Q268">
        <v>4991.2</v>
      </c>
      <c r="R268" t="s">
        <v>4794</v>
      </c>
      <c r="S268" t="s">
        <v>3322</v>
      </c>
      <c r="T268">
        <v>36</v>
      </c>
      <c r="U268" t="s">
        <v>4787</v>
      </c>
      <c r="V268">
        <v>40000</v>
      </c>
      <c r="W268">
        <v>187809.79</v>
      </c>
      <c r="X268">
        <v>4.6950000000000003</v>
      </c>
      <c r="Y268" t="s">
        <v>4784</v>
      </c>
      <c r="Z268">
        <v>2024</v>
      </c>
      <c r="AA268">
        <v>1</v>
      </c>
    </row>
    <row r="269" spans="1:27">
      <c r="A269" t="s">
        <v>4887</v>
      </c>
      <c r="B269" t="s">
        <v>4888</v>
      </c>
      <c r="C269" t="s">
        <v>121</v>
      </c>
      <c r="D269" t="s">
        <v>974</v>
      </c>
      <c r="E269" t="s">
        <v>4889</v>
      </c>
      <c r="F269">
        <v>9765234130</v>
      </c>
      <c r="G269" t="s">
        <v>188</v>
      </c>
      <c r="H269" t="s">
        <v>4802</v>
      </c>
      <c r="I269" t="s">
        <v>4844</v>
      </c>
      <c r="J269" t="s">
        <v>4781</v>
      </c>
      <c r="K269" s="1">
        <v>43378</v>
      </c>
      <c r="L269">
        <v>44679</v>
      </c>
      <c r="M269" s="1">
        <v>45481</v>
      </c>
      <c r="N269" t="s">
        <v>4782</v>
      </c>
      <c r="O269">
        <v>232100</v>
      </c>
      <c r="P269">
        <v>9.6000000000000002E-2</v>
      </c>
      <c r="Q269">
        <v>22281.599999999999</v>
      </c>
      <c r="R269" t="s">
        <v>4791</v>
      </c>
      <c r="S269" t="s">
        <v>3411</v>
      </c>
      <c r="T269">
        <v>80</v>
      </c>
      <c r="U269" t="s">
        <v>26</v>
      </c>
      <c r="V269">
        <v>40000</v>
      </c>
      <c r="W269">
        <v>196939.54</v>
      </c>
      <c r="X269">
        <v>4.923</v>
      </c>
      <c r="Y269" t="s">
        <v>4784</v>
      </c>
      <c r="Z269">
        <v>2024</v>
      </c>
      <c r="AA269">
        <v>1</v>
      </c>
    </row>
    <row r="270" spans="1:27">
      <c r="A270" t="s">
        <v>4887</v>
      </c>
      <c r="B270" t="s">
        <v>4888</v>
      </c>
      <c r="C270" t="s">
        <v>121</v>
      </c>
      <c r="D270" t="s">
        <v>974</v>
      </c>
      <c r="E270" t="s">
        <v>4889</v>
      </c>
      <c r="F270">
        <v>9765234130</v>
      </c>
      <c r="G270" t="s">
        <v>188</v>
      </c>
      <c r="H270" t="s">
        <v>4802</v>
      </c>
      <c r="I270" t="s">
        <v>4844</v>
      </c>
      <c r="J270" t="s">
        <v>4781</v>
      </c>
      <c r="K270" s="1">
        <v>43378</v>
      </c>
      <c r="L270">
        <v>44679</v>
      </c>
      <c r="M270" s="1">
        <v>45494</v>
      </c>
      <c r="N270" t="s">
        <v>4789</v>
      </c>
      <c r="O270">
        <v>13500</v>
      </c>
      <c r="P270">
        <v>9.7000000000000003E-2</v>
      </c>
      <c r="Q270">
        <v>0</v>
      </c>
      <c r="R270" t="s">
        <v>4783</v>
      </c>
      <c r="S270" t="s">
        <v>3317</v>
      </c>
      <c r="T270">
        <v>16</v>
      </c>
      <c r="U270" t="s">
        <v>26</v>
      </c>
      <c r="V270">
        <v>40000</v>
      </c>
      <c r="W270">
        <v>8090.58</v>
      </c>
      <c r="X270">
        <v>0.20200000000000001</v>
      </c>
      <c r="Y270" t="s">
        <v>4792</v>
      </c>
      <c r="Z270">
        <v>2024</v>
      </c>
      <c r="AA270">
        <v>0</v>
      </c>
    </row>
    <row r="271" spans="1:27">
      <c r="A271" t="s">
        <v>4887</v>
      </c>
      <c r="B271" t="s">
        <v>4888</v>
      </c>
      <c r="C271" t="s">
        <v>121</v>
      </c>
      <c r="D271" t="s">
        <v>974</v>
      </c>
      <c r="E271" t="s">
        <v>4889</v>
      </c>
      <c r="F271">
        <v>9765234130</v>
      </c>
      <c r="G271" t="s">
        <v>188</v>
      </c>
      <c r="H271" t="s">
        <v>4802</v>
      </c>
      <c r="I271" t="s">
        <v>4844</v>
      </c>
      <c r="J271" t="s">
        <v>4781</v>
      </c>
      <c r="K271" s="1">
        <v>43378</v>
      </c>
      <c r="L271">
        <v>44679</v>
      </c>
      <c r="M271" s="1">
        <v>45535</v>
      </c>
      <c r="N271" t="s">
        <v>4797</v>
      </c>
      <c r="O271">
        <v>223500</v>
      </c>
      <c r="P271">
        <v>8.5000000000000006E-2</v>
      </c>
      <c r="Q271">
        <v>0</v>
      </c>
      <c r="R271" t="s">
        <v>4798</v>
      </c>
      <c r="S271" t="s">
        <v>3310</v>
      </c>
      <c r="T271">
        <v>65</v>
      </c>
      <c r="U271" t="s">
        <v>26</v>
      </c>
      <c r="V271">
        <v>40000</v>
      </c>
      <c r="W271">
        <v>264961.69</v>
      </c>
      <c r="X271">
        <v>6.6239999999999997</v>
      </c>
      <c r="Y271" t="s">
        <v>4784</v>
      </c>
      <c r="Z271">
        <v>2024</v>
      </c>
      <c r="AA271">
        <v>0</v>
      </c>
    </row>
    <row r="272" spans="1:27">
      <c r="A272" t="s">
        <v>4890</v>
      </c>
      <c r="B272" t="s">
        <v>4891</v>
      </c>
      <c r="C272" t="s">
        <v>460</v>
      </c>
      <c r="D272" t="s">
        <v>974</v>
      </c>
      <c r="E272" t="s">
        <v>4892</v>
      </c>
      <c r="F272">
        <v>9694290151</v>
      </c>
      <c r="G272" t="s">
        <v>35</v>
      </c>
      <c r="H272" t="s">
        <v>4802</v>
      </c>
      <c r="I272" t="s">
        <v>4808</v>
      </c>
      <c r="J272" t="s">
        <v>4803</v>
      </c>
      <c r="K272" s="1">
        <v>43220</v>
      </c>
      <c r="L272">
        <v>37715</v>
      </c>
      <c r="M272" s="1">
        <v>44654</v>
      </c>
      <c r="N272" t="s">
        <v>4789</v>
      </c>
      <c r="O272">
        <v>231000</v>
      </c>
      <c r="P272">
        <v>0.114</v>
      </c>
      <c r="Q272">
        <v>0</v>
      </c>
      <c r="R272" t="s">
        <v>4788</v>
      </c>
      <c r="S272" t="s">
        <v>3322</v>
      </c>
      <c r="T272">
        <v>24</v>
      </c>
      <c r="U272" t="s">
        <v>26</v>
      </c>
      <c r="V272">
        <v>35000</v>
      </c>
      <c r="W272">
        <v>120501.44</v>
      </c>
      <c r="X272">
        <v>3.4430000000000001</v>
      </c>
      <c r="Y272" t="s">
        <v>4784</v>
      </c>
      <c r="Z272">
        <v>2022</v>
      </c>
      <c r="AA272">
        <v>0</v>
      </c>
    </row>
    <row r="273" spans="1:27">
      <c r="A273" t="s">
        <v>4890</v>
      </c>
      <c r="B273" t="s">
        <v>4891</v>
      </c>
      <c r="C273" t="s">
        <v>460</v>
      </c>
      <c r="D273" t="s">
        <v>974</v>
      </c>
      <c r="E273" t="s">
        <v>4892</v>
      </c>
      <c r="F273">
        <v>9694290151</v>
      </c>
      <c r="G273" t="s">
        <v>35</v>
      </c>
      <c r="H273" t="s">
        <v>4802</v>
      </c>
      <c r="I273" t="s">
        <v>4808</v>
      </c>
      <c r="J273" t="s">
        <v>4803</v>
      </c>
      <c r="K273" s="1">
        <v>43220</v>
      </c>
      <c r="L273">
        <v>37715</v>
      </c>
      <c r="M273" s="1">
        <v>44736</v>
      </c>
      <c r="N273" t="s">
        <v>4782</v>
      </c>
      <c r="O273">
        <v>167200</v>
      </c>
      <c r="P273">
        <v>7.9000000000000001E-2</v>
      </c>
      <c r="Q273">
        <v>13208.8</v>
      </c>
      <c r="R273" t="s">
        <v>4798</v>
      </c>
      <c r="S273" t="s">
        <v>3302</v>
      </c>
      <c r="T273">
        <v>73</v>
      </c>
      <c r="U273" t="s">
        <v>4796</v>
      </c>
      <c r="V273">
        <v>35000</v>
      </c>
      <c r="W273">
        <v>196544.05</v>
      </c>
      <c r="X273">
        <v>5.6159999999999997</v>
      </c>
      <c r="Y273" t="s">
        <v>4784</v>
      </c>
      <c r="Z273">
        <v>2022</v>
      </c>
      <c r="AA273">
        <v>1</v>
      </c>
    </row>
    <row r="274" spans="1:27">
      <c r="A274" t="s">
        <v>4890</v>
      </c>
      <c r="B274" t="s">
        <v>4891</v>
      </c>
      <c r="C274" t="s">
        <v>460</v>
      </c>
      <c r="D274" t="s">
        <v>974</v>
      </c>
      <c r="E274" t="s">
        <v>4892</v>
      </c>
      <c r="F274">
        <v>9694290151</v>
      </c>
      <c r="G274" t="s">
        <v>35</v>
      </c>
      <c r="H274" t="s">
        <v>4802</v>
      </c>
      <c r="I274" t="s">
        <v>4808</v>
      </c>
      <c r="J274" t="s">
        <v>4803</v>
      </c>
      <c r="K274" s="1">
        <v>43220</v>
      </c>
      <c r="L274">
        <v>37715</v>
      </c>
      <c r="M274" s="1">
        <v>44936</v>
      </c>
      <c r="N274" t="s">
        <v>4782</v>
      </c>
      <c r="O274">
        <v>206400</v>
      </c>
      <c r="P274">
        <v>3.7999999999999999E-2</v>
      </c>
      <c r="Q274">
        <v>7843.2</v>
      </c>
      <c r="R274" t="s">
        <v>4788</v>
      </c>
      <c r="S274" t="s">
        <v>3322</v>
      </c>
      <c r="T274">
        <v>87</v>
      </c>
      <c r="U274" t="s">
        <v>4796</v>
      </c>
      <c r="V274">
        <v>35000</v>
      </c>
      <c r="W274">
        <v>114143.82</v>
      </c>
      <c r="X274">
        <v>3.2610000000000001</v>
      </c>
      <c r="Y274" t="s">
        <v>4784</v>
      </c>
      <c r="Z274">
        <v>2023</v>
      </c>
      <c r="AA274">
        <v>1</v>
      </c>
    </row>
    <row r="275" spans="1:27">
      <c r="A275" t="s">
        <v>4890</v>
      </c>
      <c r="B275" t="s">
        <v>4891</v>
      </c>
      <c r="C275" t="s">
        <v>460</v>
      </c>
      <c r="D275" t="s">
        <v>974</v>
      </c>
      <c r="E275" t="s">
        <v>4892</v>
      </c>
      <c r="F275">
        <v>9694290151</v>
      </c>
      <c r="G275" t="s">
        <v>35</v>
      </c>
      <c r="H275" t="s">
        <v>4802</v>
      </c>
      <c r="I275" t="s">
        <v>4808</v>
      </c>
      <c r="J275" t="s">
        <v>4803</v>
      </c>
      <c r="K275" s="1">
        <v>43220</v>
      </c>
      <c r="L275">
        <v>37715</v>
      </c>
      <c r="M275" s="1">
        <v>45046</v>
      </c>
      <c r="N275" t="s">
        <v>4789</v>
      </c>
      <c r="O275">
        <v>138300</v>
      </c>
      <c r="P275">
        <v>9.8000000000000004E-2</v>
      </c>
      <c r="Q275">
        <v>0</v>
      </c>
      <c r="R275" t="s">
        <v>4790</v>
      </c>
      <c r="S275" t="s">
        <v>3302</v>
      </c>
      <c r="T275">
        <v>35</v>
      </c>
      <c r="U275" t="s">
        <v>4787</v>
      </c>
      <c r="V275">
        <v>35000</v>
      </c>
      <c r="W275">
        <v>108773.34</v>
      </c>
      <c r="X275">
        <v>3.1080000000000001</v>
      </c>
      <c r="Y275" t="s">
        <v>4784</v>
      </c>
      <c r="Z275">
        <v>2023</v>
      </c>
      <c r="AA275">
        <v>0</v>
      </c>
    </row>
    <row r="276" spans="1:27">
      <c r="A276" t="s">
        <v>4890</v>
      </c>
      <c r="B276" t="s">
        <v>4891</v>
      </c>
      <c r="C276" t="s">
        <v>460</v>
      </c>
      <c r="D276" t="s">
        <v>974</v>
      </c>
      <c r="E276" t="s">
        <v>4892</v>
      </c>
      <c r="F276">
        <v>9694290151</v>
      </c>
      <c r="G276" t="s">
        <v>35</v>
      </c>
      <c r="H276" t="s">
        <v>4802</v>
      </c>
      <c r="I276" t="s">
        <v>4808</v>
      </c>
      <c r="J276" t="s">
        <v>4803</v>
      </c>
      <c r="K276" s="1">
        <v>43220</v>
      </c>
      <c r="L276">
        <v>37715</v>
      </c>
      <c r="M276" s="1">
        <v>45064</v>
      </c>
      <c r="N276" t="s">
        <v>4797</v>
      </c>
      <c r="O276">
        <v>224900</v>
      </c>
      <c r="P276">
        <v>0.11</v>
      </c>
      <c r="Q276">
        <v>0</v>
      </c>
      <c r="R276" t="s">
        <v>4790</v>
      </c>
      <c r="S276" t="s">
        <v>3302</v>
      </c>
      <c r="T276">
        <v>69</v>
      </c>
      <c r="U276" t="s">
        <v>4795</v>
      </c>
      <c r="V276">
        <v>35000</v>
      </c>
      <c r="W276">
        <v>193777.91</v>
      </c>
      <c r="X276">
        <v>5.5369999999999999</v>
      </c>
      <c r="Y276" t="s">
        <v>4784</v>
      </c>
      <c r="Z276">
        <v>2023</v>
      </c>
      <c r="AA276">
        <v>0</v>
      </c>
    </row>
    <row r="277" spans="1:27">
      <c r="A277" t="s">
        <v>4890</v>
      </c>
      <c r="B277" t="s">
        <v>4891</v>
      </c>
      <c r="C277" t="s">
        <v>460</v>
      </c>
      <c r="D277" t="s">
        <v>974</v>
      </c>
      <c r="E277" t="s">
        <v>4892</v>
      </c>
      <c r="F277">
        <v>9694290151</v>
      </c>
      <c r="G277" t="s">
        <v>35</v>
      </c>
      <c r="H277" t="s">
        <v>4802</v>
      </c>
      <c r="I277" t="s">
        <v>4808</v>
      </c>
      <c r="J277" t="s">
        <v>4803</v>
      </c>
      <c r="K277" s="1">
        <v>43220</v>
      </c>
      <c r="L277">
        <v>37715</v>
      </c>
      <c r="M277" s="1">
        <v>45225</v>
      </c>
      <c r="N277" t="s">
        <v>4782</v>
      </c>
      <c r="O277">
        <v>103400</v>
      </c>
      <c r="P277">
        <v>0.115</v>
      </c>
      <c r="Q277">
        <v>11891</v>
      </c>
      <c r="R277" t="s">
        <v>4791</v>
      </c>
      <c r="S277" t="s">
        <v>3302</v>
      </c>
      <c r="T277">
        <v>26</v>
      </c>
      <c r="U277" t="s">
        <v>4796</v>
      </c>
      <c r="V277">
        <v>35000</v>
      </c>
      <c r="W277">
        <v>121693.57</v>
      </c>
      <c r="X277">
        <v>3.4769999999999999</v>
      </c>
      <c r="Y277" t="s">
        <v>4784</v>
      </c>
      <c r="Z277">
        <v>2023</v>
      </c>
      <c r="AA277">
        <v>1</v>
      </c>
    </row>
    <row r="278" spans="1:27">
      <c r="A278" t="s">
        <v>4890</v>
      </c>
      <c r="B278" t="s">
        <v>4891</v>
      </c>
      <c r="C278" t="s">
        <v>460</v>
      </c>
      <c r="D278" t="s">
        <v>974</v>
      </c>
      <c r="E278" t="s">
        <v>4892</v>
      </c>
      <c r="F278">
        <v>9694290151</v>
      </c>
      <c r="G278" t="s">
        <v>35</v>
      </c>
      <c r="H278" t="s">
        <v>4802</v>
      </c>
      <c r="I278" t="s">
        <v>4808</v>
      </c>
      <c r="J278" t="s">
        <v>4803</v>
      </c>
      <c r="K278" s="1">
        <v>43220</v>
      </c>
      <c r="L278">
        <v>37715</v>
      </c>
      <c r="M278" s="1">
        <v>45228</v>
      </c>
      <c r="N278" t="s">
        <v>4782</v>
      </c>
      <c r="O278">
        <v>12100</v>
      </c>
      <c r="P278">
        <v>9.4E-2</v>
      </c>
      <c r="Q278">
        <v>1137.4000000000001</v>
      </c>
      <c r="R278" t="s">
        <v>4788</v>
      </c>
      <c r="S278" t="s">
        <v>3322</v>
      </c>
      <c r="T278">
        <v>13</v>
      </c>
      <c r="U278" t="s">
        <v>4795</v>
      </c>
      <c r="V278">
        <v>35000</v>
      </c>
      <c r="W278">
        <v>7601.4</v>
      </c>
      <c r="X278">
        <v>0.217</v>
      </c>
      <c r="Y278" t="s">
        <v>4792</v>
      </c>
      <c r="Z278">
        <v>2023</v>
      </c>
      <c r="AA278">
        <v>1</v>
      </c>
    </row>
    <row r="279" spans="1:27">
      <c r="A279" t="s">
        <v>4890</v>
      </c>
      <c r="B279" t="s">
        <v>4891</v>
      </c>
      <c r="C279" t="s">
        <v>460</v>
      </c>
      <c r="D279" t="s">
        <v>974</v>
      </c>
      <c r="E279" t="s">
        <v>4892</v>
      </c>
      <c r="F279">
        <v>9694290151</v>
      </c>
      <c r="G279" t="s">
        <v>35</v>
      </c>
      <c r="H279" t="s">
        <v>4802</v>
      </c>
      <c r="I279" t="s">
        <v>4808</v>
      </c>
      <c r="J279" t="s">
        <v>4803</v>
      </c>
      <c r="K279" s="1">
        <v>43220</v>
      </c>
      <c r="L279">
        <v>37715</v>
      </c>
      <c r="M279" s="1">
        <v>45395</v>
      </c>
      <c r="N279" t="s">
        <v>4782</v>
      </c>
      <c r="O279">
        <v>131900</v>
      </c>
      <c r="P279">
        <v>3.3000000000000002E-2</v>
      </c>
      <c r="Q279">
        <v>4352.7</v>
      </c>
      <c r="R279" t="s">
        <v>4794</v>
      </c>
      <c r="S279" t="s">
        <v>3310</v>
      </c>
      <c r="T279">
        <v>3</v>
      </c>
      <c r="U279" t="s">
        <v>4795</v>
      </c>
      <c r="V279">
        <v>35000</v>
      </c>
      <c r="W279">
        <v>131724.26999999999</v>
      </c>
      <c r="X279">
        <v>3.7639999999999998</v>
      </c>
      <c r="Y279" t="s">
        <v>4784</v>
      </c>
      <c r="Z279">
        <v>2024</v>
      </c>
      <c r="AA279">
        <v>1</v>
      </c>
    </row>
    <row r="280" spans="1:27">
      <c r="A280" t="s">
        <v>4890</v>
      </c>
      <c r="B280" t="s">
        <v>4891</v>
      </c>
      <c r="C280" t="s">
        <v>460</v>
      </c>
      <c r="D280" t="s">
        <v>974</v>
      </c>
      <c r="E280" t="s">
        <v>4892</v>
      </c>
      <c r="F280">
        <v>9694290151</v>
      </c>
      <c r="G280" t="s">
        <v>35</v>
      </c>
      <c r="H280" t="s">
        <v>4802</v>
      </c>
      <c r="I280" t="s">
        <v>4808</v>
      </c>
      <c r="J280" t="s">
        <v>4803</v>
      </c>
      <c r="K280" s="1">
        <v>43220</v>
      </c>
      <c r="L280">
        <v>37715</v>
      </c>
      <c r="M280" s="1">
        <v>45591</v>
      </c>
      <c r="N280" t="s">
        <v>4782</v>
      </c>
      <c r="O280">
        <v>36500</v>
      </c>
      <c r="P280">
        <v>8.8999999999999996E-2</v>
      </c>
      <c r="Q280">
        <v>3248.5</v>
      </c>
      <c r="R280" t="s">
        <v>4783</v>
      </c>
      <c r="S280" t="s">
        <v>3310</v>
      </c>
      <c r="T280">
        <v>3</v>
      </c>
      <c r="U280" t="s">
        <v>4795</v>
      </c>
      <c r="V280">
        <v>35000</v>
      </c>
      <c r="W280">
        <v>44094.97</v>
      </c>
      <c r="X280">
        <v>1.26</v>
      </c>
      <c r="Y280" t="s">
        <v>4784</v>
      </c>
      <c r="Z280">
        <v>2024</v>
      </c>
      <c r="AA280">
        <v>1</v>
      </c>
    </row>
    <row r="281" spans="1:27">
      <c r="A281" t="s">
        <v>4890</v>
      </c>
      <c r="B281" t="s">
        <v>4891</v>
      </c>
      <c r="C281" t="s">
        <v>460</v>
      </c>
      <c r="D281" t="s">
        <v>974</v>
      </c>
      <c r="E281" t="s">
        <v>4892</v>
      </c>
      <c r="F281">
        <v>9694290151</v>
      </c>
      <c r="G281" t="s">
        <v>35</v>
      </c>
      <c r="H281" t="s">
        <v>4802</v>
      </c>
      <c r="I281" t="s">
        <v>4808</v>
      </c>
      <c r="J281" t="s">
        <v>4803</v>
      </c>
      <c r="K281" s="1">
        <v>43220</v>
      </c>
      <c r="L281">
        <v>37715</v>
      </c>
      <c r="M281" s="1">
        <v>45643</v>
      </c>
      <c r="N281" t="s">
        <v>4782</v>
      </c>
      <c r="O281">
        <v>105100</v>
      </c>
      <c r="P281">
        <v>5.2999999999999999E-2</v>
      </c>
      <c r="Q281">
        <v>5570.3</v>
      </c>
      <c r="R281" t="s">
        <v>4791</v>
      </c>
      <c r="S281" t="s">
        <v>3302</v>
      </c>
      <c r="T281">
        <v>70</v>
      </c>
      <c r="U281" t="s">
        <v>4796</v>
      </c>
      <c r="V281">
        <v>35000</v>
      </c>
      <c r="W281">
        <v>79541.42</v>
      </c>
      <c r="X281">
        <v>2.2730000000000001</v>
      </c>
      <c r="Y281" t="s">
        <v>4784</v>
      </c>
      <c r="Z281">
        <v>2024</v>
      </c>
      <c r="AA281">
        <v>1</v>
      </c>
    </row>
    <row r="282" spans="1:27">
      <c r="A282" t="s">
        <v>4893</v>
      </c>
      <c r="B282" t="s">
        <v>4894</v>
      </c>
      <c r="C282" t="s">
        <v>570</v>
      </c>
      <c r="D282" t="s">
        <v>238</v>
      </c>
      <c r="E282" t="s">
        <v>4895</v>
      </c>
      <c r="F282">
        <v>9858500942</v>
      </c>
      <c r="G282" t="s">
        <v>46</v>
      </c>
      <c r="H282" t="s">
        <v>4807</v>
      </c>
      <c r="I282" t="s">
        <v>4780</v>
      </c>
      <c r="J282" t="s">
        <v>4803</v>
      </c>
      <c r="K282" s="1">
        <v>43657</v>
      </c>
      <c r="L282">
        <v>35183</v>
      </c>
      <c r="M282" s="1">
        <v>44581</v>
      </c>
      <c r="N282" t="s">
        <v>4797</v>
      </c>
      <c r="O282">
        <v>50500</v>
      </c>
      <c r="P282">
        <v>6.7000000000000004E-2</v>
      </c>
      <c r="Q282">
        <v>0</v>
      </c>
      <c r="R282" t="s">
        <v>4794</v>
      </c>
      <c r="S282" t="s">
        <v>3348</v>
      </c>
      <c r="T282">
        <v>63</v>
      </c>
      <c r="U282" t="s">
        <v>26</v>
      </c>
      <c r="V282">
        <v>41666.67</v>
      </c>
      <c r="W282">
        <v>49708.07</v>
      </c>
      <c r="X282">
        <v>1.1930000000000001</v>
      </c>
      <c r="Y282" t="s">
        <v>4784</v>
      </c>
      <c r="Z282">
        <v>2022</v>
      </c>
      <c r="AA282">
        <v>0</v>
      </c>
    </row>
    <row r="283" spans="1:27">
      <c r="A283" t="s">
        <v>4893</v>
      </c>
      <c r="B283" t="s">
        <v>4894</v>
      </c>
      <c r="C283" t="s">
        <v>570</v>
      </c>
      <c r="D283" t="s">
        <v>238</v>
      </c>
      <c r="E283" t="s">
        <v>4895</v>
      </c>
      <c r="F283">
        <v>9858500942</v>
      </c>
      <c r="G283" t="s">
        <v>46</v>
      </c>
      <c r="H283" t="s">
        <v>4807</v>
      </c>
      <c r="I283" t="s">
        <v>4780</v>
      </c>
      <c r="J283" t="s">
        <v>4803</v>
      </c>
      <c r="K283" s="1">
        <v>43657</v>
      </c>
      <c r="L283">
        <v>35183</v>
      </c>
      <c r="M283" s="1">
        <v>44769</v>
      </c>
      <c r="N283" t="s">
        <v>4782</v>
      </c>
      <c r="O283">
        <v>205000</v>
      </c>
      <c r="P283">
        <v>0.08</v>
      </c>
      <c r="Q283">
        <v>16400</v>
      </c>
      <c r="R283" t="s">
        <v>4798</v>
      </c>
      <c r="S283" t="s">
        <v>3310</v>
      </c>
      <c r="T283">
        <v>39</v>
      </c>
      <c r="U283" t="s">
        <v>26</v>
      </c>
      <c r="V283">
        <v>41666.67</v>
      </c>
      <c r="W283">
        <v>184783.73</v>
      </c>
      <c r="X283">
        <v>4.4349999999999996</v>
      </c>
      <c r="Y283" t="s">
        <v>4784</v>
      </c>
      <c r="Z283">
        <v>2022</v>
      </c>
      <c r="AA283">
        <v>1</v>
      </c>
    </row>
    <row r="284" spans="1:27">
      <c r="A284" t="s">
        <v>4893</v>
      </c>
      <c r="B284" t="s">
        <v>4894</v>
      </c>
      <c r="C284" t="s">
        <v>570</v>
      </c>
      <c r="D284" t="s">
        <v>238</v>
      </c>
      <c r="E284" t="s">
        <v>4895</v>
      </c>
      <c r="F284">
        <v>9858500942</v>
      </c>
      <c r="G284" t="s">
        <v>46</v>
      </c>
      <c r="H284" t="s">
        <v>4807</v>
      </c>
      <c r="I284" t="s">
        <v>4780</v>
      </c>
      <c r="J284" t="s">
        <v>4803</v>
      </c>
      <c r="K284" s="1">
        <v>43657</v>
      </c>
      <c r="L284">
        <v>35183</v>
      </c>
      <c r="M284" s="1">
        <v>44904</v>
      </c>
      <c r="N284" t="s">
        <v>4782</v>
      </c>
      <c r="O284">
        <v>20800</v>
      </c>
      <c r="P284">
        <v>0.114</v>
      </c>
      <c r="Q284">
        <v>2371.1999999999998</v>
      </c>
      <c r="R284" t="s">
        <v>4790</v>
      </c>
      <c r="S284" t="s">
        <v>3317</v>
      </c>
      <c r="T284">
        <v>77</v>
      </c>
      <c r="U284" t="s">
        <v>4795</v>
      </c>
      <c r="V284">
        <v>41666.67</v>
      </c>
      <c r="W284">
        <v>26115.21</v>
      </c>
      <c r="X284">
        <v>0.627</v>
      </c>
      <c r="Y284" t="s">
        <v>4792</v>
      </c>
      <c r="Z284">
        <v>2022</v>
      </c>
      <c r="AA284">
        <v>1</v>
      </c>
    </row>
    <row r="285" spans="1:27">
      <c r="A285" t="s">
        <v>4893</v>
      </c>
      <c r="B285" t="s">
        <v>4894</v>
      </c>
      <c r="C285" t="s">
        <v>570</v>
      </c>
      <c r="D285" t="s">
        <v>238</v>
      </c>
      <c r="E285" t="s">
        <v>4895</v>
      </c>
      <c r="F285">
        <v>9858500942</v>
      </c>
      <c r="G285" t="s">
        <v>46</v>
      </c>
      <c r="H285" t="s">
        <v>4807</v>
      </c>
      <c r="I285" t="s">
        <v>4780</v>
      </c>
      <c r="J285" t="s">
        <v>4803</v>
      </c>
      <c r="K285" s="1">
        <v>43657</v>
      </c>
      <c r="L285">
        <v>35183</v>
      </c>
      <c r="M285" s="1">
        <v>45134</v>
      </c>
      <c r="N285" t="s">
        <v>4789</v>
      </c>
      <c r="O285">
        <v>60300</v>
      </c>
      <c r="P285">
        <v>8.5000000000000006E-2</v>
      </c>
      <c r="Q285">
        <v>0</v>
      </c>
      <c r="R285" t="s">
        <v>4798</v>
      </c>
      <c r="S285" t="s">
        <v>3317</v>
      </c>
      <c r="T285">
        <v>88</v>
      </c>
      <c r="U285" t="s">
        <v>4795</v>
      </c>
      <c r="V285">
        <v>41666.67</v>
      </c>
      <c r="W285">
        <v>64620.67</v>
      </c>
      <c r="X285">
        <v>1.5509999999999999</v>
      </c>
      <c r="Y285" t="s">
        <v>4784</v>
      </c>
      <c r="Z285">
        <v>2023</v>
      </c>
      <c r="AA285">
        <v>0</v>
      </c>
    </row>
    <row r="286" spans="1:27">
      <c r="A286" t="s">
        <v>4893</v>
      </c>
      <c r="B286" t="s">
        <v>4894</v>
      </c>
      <c r="C286" t="s">
        <v>570</v>
      </c>
      <c r="D286" t="s">
        <v>238</v>
      </c>
      <c r="E286" t="s">
        <v>4895</v>
      </c>
      <c r="F286">
        <v>9858500942</v>
      </c>
      <c r="G286" t="s">
        <v>46</v>
      </c>
      <c r="H286" t="s">
        <v>4807</v>
      </c>
      <c r="I286" t="s">
        <v>4780</v>
      </c>
      <c r="J286" t="s">
        <v>4803</v>
      </c>
      <c r="K286" s="1">
        <v>43657</v>
      </c>
      <c r="L286">
        <v>35183</v>
      </c>
      <c r="M286" s="1">
        <v>45234</v>
      </c>
      <c r="N286" t="s">
        <v>4782</v>
      </c>
      <c r="O286">
        <v>244600</v>
      </c>
      <c r="P286">
        <v>9.1999999999999998E-2</v>
      </c>
      <c r="Q286">
        <v>22503.200000000001</v>
      </c>
      <c r="R286" t="s">
        <v>4794</v>
      </c>
      <c r="S286" t="s">
        <v>3302</v>
      </c>
      <c r="T286">
        <v>78</v>
      </c>
      <c r="U286" t="s">
        <v>26</v>
      </c>
      <c r="V286">
        <v>41666.67</v>
      </c>
      <c r="W286">
        <v>123242.03</v>
      </c>
      <c r="X286">
        <v>2.9580000000000002</v>
      </c>
      <c r="Y286" t="s">
        <v>4784</v>
      </c>
      <c r="Z286">
        <v>2023</v>
      </c>
      <c r="AA286">
        <v>1</v>
      </c>
    </row>
    <row r="287" spans="1:27">
      <c r="A287" t="s">
        <v>4893</v>
      </c>
      <c r="B287" t="s">
        <v>4894</v>
      </c>
      <c r="C287" t="s">
        <v>570</v>
      </c>
      <c r="D287" t="s">
        <v>238</v>
      </c>
      <c r="E287" t="s">
        <v>4895</v>
      </c>
      <c r="F287">
        <v>9858500942</v>
      </c>
      <c r="G287" t="s">
        <v>46</v>
      </c>
      <c r="H287" t="s">
        <v>4807</v>
      </c>
      <c r="I287" t="s">
        <v>4780</v>
      </c>
      <c r="J287" t="s">
        <v>4803</v>
      </c>
      <c r="K287" s="1">
        <v>43657</v>
      </c>
      <c r="L287">
        <v>35183</v>
      </c>
      <c r="M287" s="1">
        <v>45340</v>
      </c>
      <c r="N287" t="s">
        <v>4782</v>
      </c>
      <c r="O287">
        <v>225800</v>
      </c>
      <c r="P287">
        <v>8.6999999999999994E-2</v>
      </c>
      <c r="Q287">
        <v>19644.599999999999</v>
      </c>
      <c r="R287" t="s">
        <v>4783</v>
      </c>
      <c r="S287" t="s">
        <v>3411</v>
      </c>
      <c r="T287">
        <v>66</v>
      </c>
      <c r="U287" t="s">
        <v>4795</v>
      </c>
      <c r="V287">
        <v>41666.67</v>
      </c>
      <c r="W287">
        <v>122143.41</v>
      </c>
      <c r="X287">
        <v>2.931</v>
      </c>
      <c r="Y287" t="s">
        <v>4784</v>
      </c>
      <c r="Z287">
        <v>2024</v>
      </c>
      <c r="AA287">
        <v>1</v>
      </c>
    </row>
    <row r="288" spans="1:27">
      <c r="A288" t="s">
        <v>4893</v>
      </c>
      <c r="B288" t="s">
        <v>4894</v>
      </c>
      <c r="C288" t="s">
        <v>570</v>
      </c>
      <c r="D288" t="s">
        <v>238</v>
      </c>
      <c r="E288" t="s">
        <v>4895</v>
      </c>
      <c r="F288">
        <v>9858500942</v>
      </c>
      <c r="G288" t="s">
        <v>46</v>
      </c>
      <c r="H288" t="s">
        <v>4807</v>
      </c>
      <c r="I288" t="s">
        <v>4780</v>
      </c>
      <c r="J288" t="s">
        <v>4803</v>
      </c>
      <c r="K288" s="1">
        <v>43657</v>
      </c>
      <c r="L288">
        <v>35183</v>
      </c>
      <c r="M288" s="1">
        <v>45429</v>
      </c>
      <c r="N288" t="s">
        <v>4785</v>
      </c>
      <c r="O288">
        <v>123400</v>
      </c>
      <c r="P288">
        <v>3.4000000000000002E-2</v>
      </c>
      <c r="Q288">
        <v>0</v>
      </c>
      <c r="R288" t="s">
        <v>4798</v>
      </c>
      <c r="S288" t="s">
        <v>3322</v>
      </c>
      <c r="T288">
        <v>80</v>
      </c>
      <c r="U288" t="s">
        <v>4795</v>
      </c>
      <c r="V288">
        <v>41666.67</v>
      </c>
      <c r="W288">
        <v>134228.72</v>
      </c>
      <c r="X288">
        <v>3.2210000000000001</v>
      </c>
      <c r="Y288" t="s">
        <v>4784</v>
      </c>
      <c r="Z288">
        <v>2024</v>
      </c>
      <c r="AA288">
        <v>0</v>
      </c>
    </row>
    <row r="289" spans="1:27">
      <c r="A289" t="s">
        <v>4893</v>
      </c>
      <c r="B289" t="s">
        <v>4894</v>
      </c>
      <c r="C289" t="s">
        <v>570</v>
      </c>
      <c r="D289" t="s">
        <v>238</v>
      </c>
      <c r="E289" t="s">
        <v>4895</v>
      </c>
      <c r="F289">
        <v>9858500942</v>
      </c>
      <c r="G289" t="s">
        <v>46</v>
      </c>
      <c r="H289" t="s">
        <v>4807</v>
      </c>
      <c r="I289" t="s">
        <v>4780</v>
      </c>
      <c r="J289" t="s">
        <v>4803</v>
      </c>
      <c r="K289" s="1">
        <v>43657</v>
      </c>
      <c r="L289">
        <v>35183</v>
      </c>
      <c r="M289" s="1">
        <v>45489</v>
      </c>
      <c r="N289" t="s">
        <v>4782</v>
      </c>
      <c r="O289">
        <v>69500</v>
      </c>
      <c r="P289">
        <v>0.09</v>
      </c>
      <c r="Q289">
        <v>6255</v>
      </c>
      <c r="R289" t="s">
        <v>4788</v>
      </c>
      <c r="S289" t="s">
        <v>3317</v>
      </c>
      <c r="T289">
        <v>27</v>
      </c>
      <c r="U289" t="s">
        <v>26</v>
      </c>
      <c r="V289">
        <v>41666.67</v>
      </c>
      <c r="W289">
        <v>94734.99</v>
      </c>
      <c r="X289">
        <v>2.274</v>
      </c>
      <c r="Y289" t="s">
        <v>4784</v>
      </c>
      <c r="Z289">
        <v>2024</v>
      </c>
      <c r="AA289">
        <v>1</v>
      </c>
    </row>
    <row r="290" spans="1:27">
      <c r="A290" t="s">
        <v>4893</v>
      </c>
      <c r="B290" t="s">
        <v>4894</v>
      </c>
      <c r="C290" t="s">
        <v>570</v>
      </c>
      <c r="D290" t="s">
        <v>238</v>
      </c>
      <c r="E290" t="s">
        <v>4895</v>
      </c>
      <c r="F290">
        <v>9858500942</v>
      </c>
      <c r="G290" t="s">
        <v>46</v>
      </c>
      <c r="H290" t="s">
        <v>4807</v>
      </c>
      <c r="I290" t="s">
        <v>4780</v>
      </c>
      <c r="J290" t="s">
        <v>4803</v>
      </c>
      <c r="K290" s="1">
        <v>43657</v>
      </c>
      <c r="L290">
        <v>35183</v>
      </c>
      <c r="M290" s="1">
        <v>45586</v>
      </c>
      <c r="N290" t="s">
        <v>4782</v>
      </c>
      <c r="O290">
        <v>210200</v>
      </c>
      <c r="P290">
        <v>0.11700000000000001</v>
      </c>
      <c r="Q290">
        <v>24593.4</v>
      </c>
      <c r="R290" t="s">
        <v>4788</v>
      </c>
      <c r="S290" t="s">
        <v>3416</v>
      </c>
      <c r="T290">
        <v>22</v>
      </c>
      <c r="U290" t="s">
        <v>4796</v>
      </c>
      <c r="V290">
        <v>41666.67</v>
      </c>
      <c r="W290">
        <v>206790.99</v>
      </c>
      <c r="X290">
        <v>4.9630000000000001</v>
      </c>
      <c r="Y290" t="s">
        <v>4784</v>
      </c>
      <c r="Z290">
        <v>2024</v>
      </c>
      <c r="AA290">
        <v>1</v>
      </c>
    </row>
    <row r="291" spans="1:27">
      <c r="A291" t="s">
        <v>4893</v>
      </c>
      <c r="B291" t="s">
        <v>4894</v>
      </c>
      <c r="C291" t="s">
        <v>570</v>
      </c>
      <c r="D291" t="s">
        <v>238</v>
      </c>
      <c r="E291" t="s">
        <v>4895</v>
      </c>
      <c r="F291">
        <v>9858500942</v>
      </c>
      <c r="G291" t="s">
        <v>46</v>
      </c>
      <c r="H291" t="s">
        <v>4807</v>
      </c>
      <c r="I291" t="s">
        <v>4780</v>
      </c>
      <c r="J291" t="s">
        <v>4803</v>
      </c>
      <c r="K291" s="1">
        <v>43657</v>
      </c>
      <c r="L291">
        <v>35183</v>
      </c>
      <c r="M291" s="1">
        <v>45655</v>
      </c>
      <c r="N291" t="s">
        <v>4785</v>
      </c>
      <c r="O291">
        <v>23300</v>
      </c>
      <c r="P291">
        <v>5.7000000000000002E-2</v>
      </c>
      <c r="Q291">
        <v>0</v>
      </c>
      <c r="R291" t="s">
        <v>4790</v>
      </c>
      <c r="S291" t="s">
        <v>3348</v>
      </c>
      <c r="T291">
        <v>16</v>
      </c>
      <c r="U291" t="s">
        <v>4796</v>
      </c>
      <c r="V291">
        <v>41666.67</v>
      </c>
      <c r="W291">
        <v>26854.799999999999</v>
      </c>
      <c r="X291">
        <v>0.64500000000000002</v>
      </c>
      <c r="Y291" t="s">
        <v>4792</v>
      </c>
      <c r="Z291">
        <v>2024</v>
      </c>
      <c r="AA291">
        <v>0</v>
      </c>
    </row>
    <row r="292" spans="1:27">
      <c r="A292" t="s">
        <v>4896</v>
      </c>
      <c r="B292" t="s">
        <v>4897</v>
      </c>
      <c r="C292" t="s">
        <v>497</v>
      </c>
      <c r="D292" t="s">
        <v>238</v>
      </c>
      <c r="E292" t="s">
        <v>4898</v>
      </c>
      <c r="F292">
        <v>9898058492</v>
      </c>
      <c r="G292" t="s">
        <v>46</v>
      </c>
      <c r="H292" t="s">
        <v>4823</v>
      </c>
      <c r="I292" t="s">
        <v>4819</v>
      </c>
      <c r="J292" t="s">
        <v>4829</v>
      </c>
      <c r="K292" s="1">
        <v>44393</v>
      </c>
      <c r="L292">
        <v>60119</v>
      </c>
      <c r="M292" s="1">
        <v>44609</v>
      </c>
      <c r="N292" t="s">
        <v>4797</v>
      </c>
      <c r="O292">
        <v>182700</v>
      </c>
      <c r="P292">
        <v>7.8E-2</v>
      </c>
      <c r="Q292">
        <v>0</v>
      </c>
      <c r="R292" t="s">
        <v>4788</v>
      </c>
      <c r="S292" t="s">
        <v>3348</v>
      </c>
      <c r="T292">
        <v>72</v>
      </c>
      <c r="U292" t="s">
        <v>26</v>
      </c>
      <c r="V292">
        <v>41666.67</v>
      </c>
      <c r="W292">
        <v>91671.45</v>
      </c>
      <c r="X292">
        <v>2.2000000000000002</v>
      </c>
      <c r="Y292" t="s">
        <v>4784</v>
      </c>
      <c r="Z292">
        <v>2022</v>
      </c>
      <c r="AA292">
        <v>0</v>
      </c>
    </row>
    <row r="293" spans="1:27">
      <c r="A293" t="s">
        <v>4896</v>
      </c>
      <c r="B293" t="s">
        <v>4897</v>
      </c>
      <c r="C293" t="s">
        <v>497</v>
      </c>
      <c r="D293" t="s">
        <v>238</v>
      </c>
      <c r="E293" t="s">
        <v>4898</v>
      </c>
      <c r="F293">
        <v>9898058492</v>
      </c>
      <c r="G293" t="s">
        <v>46</v>
      </c>
      <c r="H293" t="s">
        <v>4823</v>
      </c>
      <c r="I293" t="s">
        <v>4819</v>
      </c>
      <c r="J293" t="s">
        <v>4829</v>
      </c>
      <c r="K293" s="1">
        <v>44393</v>
      </c>
      <c r="L293">
        <v>60119</v>
      </c>
      <c r="M293" s="1">
        <v>44720</v>
      </c>
      <c r="N293" t="s">
        <v>4785</v>
      </c>
      <c r="O293">
        <v>13100</v>
      </c>
      <c r="P293">
        <v>0.11</v>
      </c>
      <c r="Q293">
        <v>0</v>
      </c>
      <c r="R293" t="s">
        <v>4798</v>
      </c>
      <c r="S293" t="s">
        <v>3348</v>
      </c>
      <c r="T293">
        <v>57</v>
      </c>
      <c r="U293" t="s">
        <v>4787</v>
      </c>
      <c r="V293">
        <v>41666.67</v>
      </c>
      <c r="W293">
        <v>10711.81</v>
      </c>
      <c r="X293">
        <v>0.25700000000000001</v>
      </c>
      <c r="Y293" t="s">
        <v>4792</v>
      </c>
      <c r="Z293">
        <v>2022</v>
      </c>
      <c r="AA293">
        <v>0</v>
      </c>
    </row>
    <row r="294" spans="1:27">
      <c r="A294" t="s">
        <v>4896</v>
      </c>
      <c r="B294" t="s">
        <v>4897</v>
      </c>
      <c r="C294" t="s">
        <v>497</v>
      </c>
      <c r="D294" t="s">
        <v>238</v>
      </c>
      <c r="E294" t="s">
        <v>4898</v>
      </c>
      <c r="F294">
        <v>9898058492</v>
      </c>
      <c r="G294" t="s">
        <v>46</v>
      </c>
      <c r="H294" t="s">
        <v>4823</v>
      </c>
      <c r="I294" t="s">
        <v>4819</v>
      </c>
      <c r="J294" t="s">
        <v>4829</v>
      </c>
      <c r="K294" s="1">
        <v>44393</v>
      </c>
      <c r="L294">
        <v>60119</v>
      </c>
      <c r="M294" s="1">
        <v>44824</v>
      </c>
      <c r="N294" t="s">
        <v>4797</v>
      </c>
      <c r="O294">
        <v>22100</v>
      </c>
      <c r="P294">
        <v>4.1000000000000002E-2</v>
      </c>
      <c r="Q294">
        <v>0</v>
      </c>
      <c r="R294" t="s">
        <v>4783</v>
      </c>
      <c r="S294" t="s">
        <v>3411</v>
      </c>
      <c r="T294">
        <v>30</v>
      </c>
      <c r="U294" t="s">
        <v>4795</v>
      </c>
      <c r="V294">
        <v>41666.67</v>
      </c>
      <c r="W294">
        <v>14865.93</v>
      </c>
      <c r="X294">
        <v>0.35699999999999998</v>
      </c>
      <c r="Y294" t="s">
        <v>4792</v>
      </c>
      <c r="Z294">
        <v>2022</v>
      </c>
      <c r="AA294">
        <v>0</v>
      </c>
    </row>
    <row r="295" spans="1:27">
      <c r="A295" t="s">
        <v>4896</v>
      </c>
      <c r="B295" t="s">
        <v>4897</v>
      </c>
      <c r="C295" t="s">
        <v>497</v>
      </c>
      <c r="D295" t="s">
        <v>238</v>
      </c>
      <c r="E295" t="s">
        <v>4898</v>
      </c>
      <c r="F295">
        <v>9898058492</v>
      </c>
      <c r="G295" t="s">
        <v>46</v>
      </c>
      <c r="H295" t="s">
        <v>4823</v>
      </c>
      <c r="I295" t="s">
        <v>4819</v>
      </c>
      <c r="J295" t="s">
        <v>4829</v>
      </c>
      <c r="K295" s="1">
        <v>44393</v>
      </c>
      <c r="L295">
        <v>60119</v>
      </c>
      <c r="M295" s="1">
        <v>44990</v>
      </c>
      <c r="N295" t="s">
        <v>4782</v>
      </c>
      <c r="O295">
        <v>56400</v>
      </c>
      <c r="P295">
        <v>0.11899999999999999</v>
      </c>
      <c r="Q295">
        <v>6711.6</v>
      </c>
      <c r="R295" t="s">
        <v>4794</v>
      </c>
      <c r="S295" t="s">
        <v>3322</v>
      </c>
      <c r="T295">
        <v>15</v>
      </c>
      <c r="U295" t="s">
        <v>4795</v>
      </c>
      <c r="V295">
        <v>41666.67</v>
      </c>
      <c r="W295">
        <v>57087.63</v>
      </c>
      <c r="X295">
        <v>1.37</v>
      </c>
      <c r="Y295" t="s">
        <v>4784</v>
      </c>
      <c r="Z295">
        <v>2023</v>
      </c>
      <c r="AA295">
        <v>1</v>
      </c>
    </row>
    <row r="296" spans="1:27">
      <c r="A296" t="s">
        <v>4896</v>
      </c>
      <c r="B296" t="s">
        <v>4897</v>
      </c>
      <c r="C296" t="s">
        <v>497</v>
      </c>
      <c r="D296" t="s">
        <v>238</v>
      </c>
      <c r="E296" t="s">
        <v>4898</v>
      </c>
      <c r="F296">
        <v>9898058492</v>
      </c>
      <c r="G296" t="s">
        <v>46</v>
      </c>
      <c r="H296" t="s">
        <v>4823</v>
      </c>
      <c r="I296" t="s">
        <v>4819</v>
      </c>
      <c r="J296" t="s">
        <v>4829</v>
      </c>
      <c r="K296" s="1">
        <v>44393</v>
      </c>
      <c r="L296">
        <v>60119</v>
      </c>
      <c r="M296" s="1">
        <v>45182</v>
      </c>
      <c r="N296" t="s">
        <v>4797</v>
      </c>
      <c r="O296">
        <v>63000</v>
      </c>
      <c r="P296">
        <v>5.0999999999999997E-2</v>
      </c>
      <c r="Q296">
        <v>0</v>
      </c>
      <c r="R296" t="s">
        <v>4790</v>
      </c>
      <c r="S296" t="s">
        <v>3317</v>
      </c>
      <c r="T296">
        <v>5</v>
      </c>
      <c r="U296" t="s">
        <v>4795</v>
      </c>
      <c r="V296">
        <v>41666.67</v>
      </c>
      <c r="W296">
        <v>59443.91</v>
      </c>
      <c r="X296">
        <v>1.427</v>
      </c>
      <c r="Y296" t="s">
        <v>4784</v>
      </c>
      <c r="Z296">
        <v>2023</v>
      </c>
      <c r="AA296">
        <v>0</v>
      </c>
    </row>
    <row r="297" spans="1:27">
      <c r="A297" t="s">
        <v>4896</v>
      </c>
      <c r="B297" t="s">
        <v>4897</v>
      </c>
      <c r="C297" t="s">
        <v>497</v>
      </c>
      <c r="D297" t="s">
        <v>238</v>
      </c>
      <c r="E297" t="s">
        <v>4898</v>
      </c>
      <c r="F297">
        <v>9898058492</v>
      </c>
      <c r="G297" t="s">
        <v>46</v>
      </c>
      <c r="H297" t="s">
        <v>4823</v>
      </c>
      <c r="I297" t="s">
        <v>4819</v>
      </c>
      <c r="J297" t="s">
        <v>4829</v>
      </c>
      <c r="K297" s="1">
        <v>44393</v>
      </c>
      <c r="L297">
        <v>60119</v>
      </c>
      <c r="M297" s="1">
        <v>45320</v>
      </c>
      <c r="N297" t="s">
        <v>4782</v>
      </c>
      <c r="O297">
        <v>121500</v>
      </c>
      <c r="P297">
        <v>3.1E-2</v>
      </c>
      <c r="Q297">
        <v>3766.5</v>
      </c>
      <c r="R297" t="s">
        <v>4794</v>
      </c>
      <c r="S297" t="s">
        <v>3302</v>
      </c>
      <c r="T297">
        <v>36</v>
      </c>
      <c r="U297" t="s">
        <v>4795</v>
      </c>
      <c r="V297">
        <v>41666.67</v>
      </c>
      <c r="W297">
        <v>81691.8</v>
      </c>
      <c r="X297">
        <v>1.9610000000000001</v>
      </c>
      <c r="Y297" t="s">
        <v>4784</v>
      </c>
      <c r="Z297">
        <v>2024</v>
      </c>
      <c r="AA297">
        <v>1</v>
      </c>
    </row>
    <row r="298" spans="1:27">
      <c r="A298" t="s">
        <v>4896</v>
      </c>
      <c r="B298" t="s">
        <v>4897</v>
      </c>
      <c r="C298" t="s">
        <v>497</v>
      </c>
      <c r="D298" t="s">
        <v>238</v>
      </c>
      <c r="E298" t="s">
        <v>4898</v>
      </c>
      <c r="F298">
        <v>9898058492</v>
      </c>
      <c r="G298" t="s">
        <v>46</v>
      </c>
      <c r="H298" t="s">
        <v>4823</v>
      </c>
      <c r="I298" t="s">
        <v>4819</v>
      </c>
      <c r="J298" t="s">
        <v>4829</v>
      </c>
      <c r="K298" s="1">
        <v>44393</v>
      </c>
      <c r="L298">
        <v>60119</v>
      </c>
      <c r="M298" s="1">
        <v>45332</v>
      </c>
      <c r="N298" t="s">
        <v>4785</v>
      </c>
      <c r="O298">
        <v>98800</v>
      </c>
      <c r="P298">
        <v>6.5000000000000002E-2</v>
      </c>
      <c r="Q298">
        <v>0</v>
      </c>
      <c r="R298" t="s">
        <v>4798</v>
      </c>
      <c r="S298" t="s">
        <v>3411</v>
      </c>
      <c r="T298">
        <v>90</v>
      </c>
      <c r="U298" t="s">
        <v>4787</v>
      </c>
      <c r="V298">
        <v>41666.67</v>
      </c>
      <c r="W298">
        <v>60494</v>
      </c>
      <c r="X298">
        <v>1.452</v>
      </c>
      <c r="Y298" t="s">
        <v>4784</v>
      </c>
      <c r="Z298">
        <v>2024</v>
      </c>
      <c r="AA298">
        <v>0</v>
      </c>
    </row>
    <row r="299" spans="1:27">
      <c r="A299" t="s">
        <v>4896</v>
      </c>
      <c r="B299" t="s">
        <v>4897</v>
      </c>
      <c r="C299" t="s">
        <v>497</v>
      </c>
      <c r="D299" t="s">
        <v>238</v>
      </c>
      <c r="E299" t="s">
        <v>4898</v>
      </c>
      <c r="F299">
        <v>9898058492</v>
      </c>
      <c r="G299" t="s">
        <v>46</v>
      </c>
      <c r="H299" t="s">
        <v>4823</v>
      </c>
      <c r="I299" t="s">
        <v>4819</v>
      </c>
      <c r="J299" t="s">
        <v>4829</v>
      </c>
      <c r="K299" s="1">
        <v>44393</v>
      </c>
      <c r="L299">
        <v>60119</v>
      </c>
      <c r="M299" s="1">
        <v>45395</v>
      </c>
      <c r="N299" t="s">
        <v>4782</v>
      </c>
      <c r="O299">
        <v>36900</v>
      </c>
      <c r="P299">
        <v>9.0999999999999998E-2</v>
      </c>
      <c r="Q299">
        <v>3357.9</v>
      </c>
      <c r="R299" t="s">
        <v>4790</v>
      </c>
      <c r="S299" t="s">
        <v>3322</v>
      </c>
      <c r="T299">
        <v>47</v>
      </c>
      <c r="U299" t="s">
        <v>4787</v>
      </c>
      <c r="V299">
        <v>41666.67</v>
      </c>
      <c r="W299">
        <v>47801.08</v>
      </c>
      <c r="X299">
        <v>1.147</v>
      </c>
      <c r="Y299" t="s">
        <v>4784</v>
      </c>
      <c r="Z299">
        <v>2024</v>
      </c>
      <c r="AA299">
        <v>1</v>
      </c>
    </row>
    <row r="300" spans="1:27">
      <c r="A300" t="s">
        <v>4896</v>
      </c>
      <c r="B300" t="s">
        <v>4897</v>
      </c>
      <c r="C300" t="s">
        <v>497</v>
      </c>
      <c r="D300" t="s">
        <v>238</v>
      </c>
      <c r="E300" t="s">
        <v>4898</v>
      </c>
      <c r="F300">
        <v>9898058492</v>
      </c>
      <c r="G300" t="s">
        <v>46</v>
      </c>
      <c r="H300" t="s">
        <v>4823</v>
      </c>
      <c r="I300" t="s">
        <v>4819</v>
      </c>
      <c r="J300" t="s">
        <v>4829</v>
      </c>
      <c r="K300" s="1">
        <v>44393</v>
      </c>
      <c r="L300">
        <v>60119</v>
      </c>
      <c r="M300" s="1">
        <v>45436</v>
      </c>
      <c r="N300" t="s">
        <v>4797</v>
      </c>
      <c r="O300">
        <v>181400</v>
      </c>
      <c r="P300">
        <v>0.115</v>
      </c>
      <c r="Q300">
        <v>0</v>
      </c>
      <c r="R300" t="s">
        <v>4791</v>
      </c>
      <c r="S300" t="s">
        <v>3411</v>
      </c>
      <c r="T300">
        <v>42</v>
      </c>
      <c r="U300" t="s">
        <v>26</v>
      </c>
      <c r="V300">
        <v>41666.67</v>
      </c>
      <c r="W300">
        <v>228547.20000000001</v>
      </c>
      <c r="X300">
        <v>5.4850000000000003</v>
      </c>
      <c r="Y300" t="s">
        <v>4784</v>
      </c>
      <c r="Z300">
        <v>2024</v>
      </c>
      <c r="AA300">
        <v>0</v>
      </c>
    </row>
    <row r="301" spans="1:27">
      <c r="A301" t="s">
        <v>4896</v>
      </c>
      <c r="B301" t="s">
        <v>4897</v>
      </c>
      <c r="C301" t="s">
        <v>497</v>
      </c>
      <c r="D301" t="s">
        <v>238</v>
      </c>
      <c r="E301" t="s">
        <v>4898</v>
      </c>
      <c r="F301">
        <v>9898058492</v>
      </c>
      <c r="G301" t="s">
        <v>46</v>
      </c>
      <c r="H301" t="s">
        <v>4823</v>
      </c>
      <c r="I301" t="s">
        <v>4819</v>
      </c>
      <c r="J301" t="s">
        <v>4829</v>
      </c>
      <c r="K301" s="1">
        <v>44393</v>
      </c>
      <c r="L301">
        <v>60119</v>
      </c>
      <c r="M301" s="1">
        <v>45573</v>
      </c>
      <c r="N301" t="s">
        <v>4782</v>
      </c>
      <c r="O301">
        <v>149600</v>
      </c>
      <c r="P301">
        <v>4.7E-2</v>
      </c>
      <c r="Q301">
        <v>7031.2</v>
      </c>
      <c r="R301" t="s">
        <v>4794</v>
      </c>
      <c r="S301" t="s">
        <v>3416</v>
      </c>
      <c r="T301">
        <v>87</v>
      </c>
      <c r="U301" t="s">
        <v>4796</v>
      </c>
      <c r="V301">
        <v>41666.67</v>
      </c>
      <c r="W301">
        <v>83600.149999999994</v>
      </c>
      <c r="X301">
        <v>2.0059999999999998</v>
      </c>
      <c r="Y301" t="s">
        <v>4784</v>
      </c>
      <c r="Z301">
        <v>2024</v>
      </c>
      <c r="AA301">
        <v>1</v>
      </c>
    </row>
    <row r="302" spans="1:27">
      <c r="A302" t="s">
        <v>4899</v>
      </c>
      <c r="B302" t="s">
        <v>4900</v>
      </c>
      <c r="C302" t="s">
        <v>287</v>
      </c>
      <c r="D302" t="s">
        <v>202</v>
      </c>
      <c r="E302" t="s">
        <v>4901</v>
      </c>
      <c r="F302">
        <v>9616735966</v>
      </c>
      <c r="G302" t="s">
        <v>35</v>
      </c>
      <c r="H302" t="s">
        <v>4802</v>
      </c>
      <c r="I302" t="s">
        <v>4780</v>
      </c>
      <c r="J302" t="s">
        <v>4809</v>
      </c>
      <c r="K302" s="1">
        <v>44249</v>
      </c>
      <c r="L302">
        <v>47226</v>
      </c>
      <c r="M302" s="1">
        <v>44583</v>
      </c>
      <c r="N302" t="s">
        <v>4789</v>
      </c>
      <c r="O302">
        <v>105600</v>
      </c>
      <c r="P302">
        <v>7.1999999999999995E-2</v>
      </c>
      <c r="Q302">
        <v>0</v>
      </c>
      <c r="R302" t="s">
        <v>4790</v>
      </c>
      <c r="S302" t="s">
        <v>3416</v>
      </c>
      <c r="T302">
        <v>80</v>
      </c>
      <c r="U302" t="s">
        <v>4787</v>
      </c>
      <c r="V302">
        <v>35000</v>
      </c>
      <c r="W302">
        <v>85077.15</v>
      </c>
      <c r="X302">
        <v>2.431</v>
      </c>
      <c r="Y302" t="s">
        <v>4784</v>
      </c>
      <c r="Z302">
        <v>2022</v>
      </c>
      <c r="AA302">
        <v>0</v>
      </c>
    </row>
    <row r="303" spans="1:27">
      <c r="A303" t="s">
        <v>4899</v>
      </c>
      <c r="B303" t="s">
        <v>4900</v>
      </c>
      <c r="C303" t="s">
        <v>287</v>
      </c>
      <c r="D303" t="s">
        <v>202</v>
      </c>
      <c r="E303" t="s">
        <v>4901</v>
      </c>
      <c r="F303">
        <v>9616735966</v>
      </c>
      <c r="G303" t="s">
        <v>35</v>
      </c>
      <c r="H303" t="s">
        <v>4802</v>
      </c>
      <c r="I303" t="s">
        <v>4780</v>
      </c>
      <c r="J303" t="s">
        <v>4809</v>
      </c>
      <c r="K303" s="1">
        <v>44249</v>
      </c>
      <c r="L303">
        <v>47226</v>
      </c>
      <c r="M303" s="1">
        <v>44615</v>
      </c>
      <c r="N303" t="s">
        <v>4789</v>
      </c>
      <c r="O303">
        <v>140600</v>
      </c>
      <c r="P303">
        <v>0.06</v>
      </c>
      <c r="Q303">
        <v>0</v>
      </c>
      <c r="R303" t="s">
        <v>4786</v>
      </c>
      <c r="S303" t="s">
        <v>3302</v>
      </c>
      <c r="T303">
        <v>14</v>
      </c>
      <c r="U303" t="s">
        <v>4787</v>
      </c>
      <c r="V303">
        <v>35000</v>
      </c>
      <c r="W303">
        <v>145613.46</v>
      </c>
      <c r="X303">
        <v>4.16</v>
      </c>
      <c r="Y303" t="s">
        <v>4784</v>
      </c>
      <c r="Z303">
        <v>2022</v>
      </c>
      <c r="AA303">
        <v>0</v>
      </c>
    </row>
    <row r="304" spans="1:27">
      <c r="A304" t="s">
        <v>4899</v>
      </c>
      <c r="B304" t="s">
        <v>4900</v>
      </c>
      <c r="C304" t="s">
        <v>287</v>
      </c>
      <c r="D304" t="s">
        <v>202</v>
      </c>
      <c r="E304" t="s">
        <v>4901</v>
      </c>
      <c r="F304">
        <v>9616735966</v>
      </c>
      <c r="G304" t="s">
        <v>35</v>
      </c>
      <c r="H304" t="s">
        <v>4802</v>
      </c>
      <c r="I304" t="s">
        <v>4780</v>
      </c>
      <c r="J304" t="s">
        <v>4809</v>
      </c>
      <c r="K304" s="1">
        <v>44249</v>
      </c>
      <c r="L304">
        <v>47226</v>
      </c>
      <c r="M304" s="1">
        <v>44676</v>
      </c>
      <c r="N304" t="s">
        <v>4785</v>
      </c>
      <c r="O304">
        <v>18700</v>
      </c>
      <c r="P304">
        <v>5.7000000000000002E-2</v>
      </c>
      <c r="Q304">
        <v>0</v>
      </c>
      <c r="R304" t="s">
        <v>4790</v>
      </c>
      <c r="S304" t="s">
        <v>3322</v>
      </c>
      <c r="T304">
        <v>13</v>
      </c>
      <c r="U304" t="s">
        <v>26</v>
      </c>
      <c r="V304">
        <v>35000</v>
      </c>
      <c r="W304">
        <v>13273.27</v>
      </c>
      <c r="X304">
        <v>0.379</v>
      </c>
      <c r="Y304" t="s">
        <v>4792</v>
      </c>
      <c r="Z304">
        <v>2022</v>
      </c>
      <c r="AA304">
        <v>0</v>
      </c>
    </row>
    <row r="305" spans="1:27">
      <c r="A305" t="s">
        <v>4899</v>
      </c>
      <c r="B305" t="s">
        <v>4900</v>
      </c>
      <c r="C305" t="s">
        <v>287</v>
      </c>
      <c r="D305" t="s">
        <v>202</v>
      </c>
      <c r="E305" t="s">
        <v>4901</v>
      </c>
      <c r="F305">
        <v>9616735966</v>
      </c>
      <c r="G305" t="s">
        <v>35</v>
      </c>
      <c r="H305" t="s">
        <v>4802</v>
      </c>
      <c r="I305" t="s">
        <v>4780</v>
      </c>
      <c r="J305" t="s">
        <v>4809</v>
      </c>
      <c r="K305" s="1">
        <v>44249</v>
      </c>
      <c r="L305">
        <v>47226</v>
      </c>
      <c r="M305" s="1">
        <v>44695</v>
      </c>
      <c r="N305" t="s">
        <v>4782</v>
      </c>
      <c r="O305">
        <v>21300</v>
      </c>
      <c r="P305">
        <v>0.113</v>
      </c>
      <c r="Q305">
        <v>2406.9</v>
      </c>
      <c r="R305" t="s">
        <v>4790</v>
      </c>
      <c r="S305" t="s">
        <v>3302</v>
      </c>
      <c r="T305">
        <v>39</v>
      </c>
      <c r="U305" t="s">
        <v>26</v>
      </c>
      <c r="V305">
        <v>35000</v>
      </c>
      <c r="W305">
        <v>11911.2</v>
      </c>
      <c r="X305">
        <v>0.34</v>
      </c>
      <c r="Y305" t="s">
        <v>4792</v>
      </c>
      <c r="Z305">
        <v>2022</v>
      </c>
      <c r="AA305">
        <v>1</v>
      </c>
    </row>
    <row r="306" spans="1:27">
      <c r="A306" t="s">
        <v>4899</v>
      </c>
      <c r="B306" t="s">
        <v>4900</v>
      </c>
      <c r="C306" t="s">
        <v>287</v>
      </c>
      <c r="D306" t="s">
        <v>202</v>
      </c>
      <c r="E306" t="s">
        <v>4901</v>
      </c>
      <c r="F306">
        <v>9616735966</v>
      </c>
      <c r="G306" t="s">
        <v>35</v>
      </c>
      <c r="H306" t="s">
        <v>4802</v>
      </c>
      <c r="I306" t="s">
        <v>4780</v>
      </c>
      <c r="J306" t="s">
        <v>4809</v>
      </c>
      <c r="K306" s="1">
        <v>44249</v>
      </c>
      <c r="L306">
        <v>47226</v>
      </c>
      <c r="M306" s="1">
        <v>45021</v>
      </c>
      <c r="N306" t="s">
        <v>4782</v>
      </c>
      <c r="O306">
        <v>77900</v>
      </c>
      <c r="P306">
        <v>0.113</v>
      </c>
      <c r="Q306">
        <v>8802.7000000000007</v>
      </c>
      <c r="R306" t="s">
        <v>4783</v>
      </c>
      <c r="S306" t="s">
        <v>3322</v>
      </c>
      <c r="T306">
        <v>41</v>
      </c>
      <c r="U306" t="s">
        <v>4787</v>
      </c>
      <c r="V306">
        <v>35000</v>
      </c>
      <c r="W306">
        <v>66423.23</v>
      </c>
      <c r="X306">
        <v>1.8979999999999999</v>
      </c>
      <c r="Y306" t="s">
        <v>4784</v>
      </c>
      <c r="Z306">
        <v>2023</v>
      </c>
      <c r="AA306">
        <v>1</v>
      </c>
    </row>
    <row r="307" spans="1:27">
      <c r="A307" t="s">
        <v>4899</v>
      </c>
      <c r="B307" t="s">
        <v>4900</v>
      </c>
      <c r="C307" t="s">
        <v>287</v>
      </c>
      <c r="D307" t="s">
        <v>202</v>
      </c>
      <c r="E307" t="s">
        <v>4901</v>
      </c>
      <c r="F307">
        <v>9616735966</v>
      </c>
      <c r="G307" t="s">
        <v>35</v>
      </c>
      <c r="H307" t="s">
        <v>4802</v>
      </c>
      <c r="I307" t="s">
        <v>4780</v>
      </c>
      <c r="J307" t="s">
        <v>4809</v>
      </c>
      <c r="K307" s="1">
        <v>44249</v>
      </c>
      <c r="L307">
        <v>47226</v>
      </c>
      <c r="M307" s="1">
        <v>45050</v>
      </c>
      <c r="N307" t="s">
        <v>4782</v>
      </c>
      <c r="O307">
        <v>223200</v>
      </c>
      <c r="P307">
        <v>3.5000000000000003E-2</v>
      </c>
      <c r="Q307">
        <v>7812</v>
      </c>
      <c r="R307" t="s">
        <v>4788</v>
      </c>
      <c r="S307" t="s">
        <v>3416</v>
      </c>
      <c r="T307">
        <v>31</v>
      </c>
      <c r="U307" t="s">
        <v>4787</v>
      </c>
      <c r="V307">
        <v>35000</v>
      </c>
      <c r="W307">
        <v>267432.55</v>
      </c>
      <c r="X307">
        <v>7.641</v>
      </c>
      <c r="Y307" t="s">
        <v>4784</v>
      </c>
      <c r="Z307">
        <v>2023</v>
      </c>
      <c r="AA307">
        <v>1</v>
      </c>
    </row>
    <row r="308" spans="1:27">
      <c r="A308" t="s">
        <v>4899</v>
      </c>
      <c r="B308" t="s">
        <v>4900</v>
      </c>
      <c r="C308" t="s">
        <v>287</v>
      </c>
      <c r="D308" t="s">
        <v>202</v>
      </c>
      <c r="E308" t="s">
        <v>4901</v>
      </c>
      <c r="F308">
        <v>9616735966</v>
      </c>
      <c r="G308" t="s">
        <v>35</v>
      </c>
      <c r="H308" t="s">
        <v>4802</v>
      </c>
      <c r="I308" t="s">
        <v>4780</v>
      </c>
      <c r="J308" t="s">
        <v>4809</v>
      </c>
      <c r="K308" s="1">
        <v>44249</v>
      </c>
      <c r="L308">
        <v>47226</v>
      </c>
      <c r="M308" s="1">
        <v>45073</v>
      </c>
      <c r="N308" t="s">
        <v>4782</v>
      </c>
      <c r="O308">
        <v>48100</v>
      </c>
      <c r="P308">
        <v>0.06</v>
      </c>
      <c r="Q308">
        <v>2886</v>
      </c>
      <c r="R308" t="s">
        <v>4791</v>
      </c>
      <c r="S308" t="s">
        <v>3348</v>
      </c>
      <c r="T308">
        <v>81</v>
      </c>
      <c r="U308" t="s">
        <v>4787</v>
      </c>
      <c r="V308">
        <v>35000</v>
      </c>
      <c r="W308">
        <v>25256.61</v>
      </c>
      <c r="X308">
        <v>0.72199999999999998</v>
      </c>
      <c r="Y308" t="s">
        <v>4792</v>
      </c>
      <c r="Z308">
        <v>2023</v>
      </c>
      <c r="AA308">
        <v>1</v>
      </c>
    </row>
    <row r="309" spans="1:27">
      <c r="A309" t="s">
        <v>4899</v>
      </c>
      <c r="B309" t="s">
        <v>4900</v>
      </c>
      <c r="C309" t="s">
        <v>287</v>
      </c>
      <c r="D309" t="s">
        <v>202</v>
      </c>
      <c r="E309" t="s">
        <v>4901</v>
      </c>
      <c r="F309">
        <v>9616735966</v>
      </c>
      <c r="G309" t="s">
        <v>35</v>
      </c>
      <c r="H309" t="s">
        <v>4802</v>
      </c>
      <c r="I309" t="s">
        <v>4780</v>
      </c>
      <c r="J309" t="s">
        <v>4809</v>
      </c>
      <c r="K309" s="1">
        <v>44249</v>
      </c>
      <c r="L309">
        <v>47226</v>
      </c>
      <c r="M309" s="1">
        <v>45247</v>
      </c>
      <c r="N309" t="s">
        <v>4782</v>
      </c>
      <c r="O309">
        <v>235700</v>
      </c>
      <c r="P309">
        <v>8.1000000000000003E-2</v>
      </c>
      <c r="Q309">
        <v>19091.7</v>
      </c>
      <c r="R309" t="s">
        <v>4791</v>
      </c>
      <c r="S309" t="s">
        <v>3348</v>
      </c>
      <c r="T309">
        <v>29</v>
      </c>
      <c r="U309" t="s">
        <v>26</v>
      </c>
      <c r="V309">
        <v>35000</v>
      </c>
      <c r="W309">
        <v>321022.96000000002</v>
      </c>
      <c r="X309">
        <v>9.1720000000000006</v>
      </c>
      <c r="Y309" t="s">
        <v>4784</v>
      </c>
      <c r="Z309">
        <v>2023</v>
      </c>
      <c r="AA309">
        <v>1</v>
      </c>
    </row>
    <row r="310" spans="1:27">
      <c r="A310" t="s">
        <v>4899</v>
      </c>
      <c r="B310" t="s">
        <v>4900</v>
      </c>
      <c r="C310" t="s">
        <v>287</v>
      </c>
      <c r="D310" t="s">
        <v>202</v>
      </c>
      <c r="E310" t="s">
        <v>4901</v>
      </c>
      <c r="F310">
        <v>9616735966</v>
      </c>
      <c r="G310" t="s">
        <v>35</v>
      </c>
      <c r="H310" t="s">
        <v>4802</v>
      </c>
      <c r="I310" t="s">
        <v>4780</v>
      </c>
      <c r="J310" t="s">
        <v>4809</v>
      </c>
      <c r="K310" s="1">
        <v>44249</v>
      </c>
      <c r="L310">
        <v>47226</v>
      </c>
      <c r="M310" s="1">
        <v>45446</v>
      </c>
      <c r="N310" t="s">
        <v>4782</v>
      </c>
      <c r="O310">
        <v>160300</v>
      </c>
      <c r="P310">
        <v>0.10199999999999999</v>
      </c>
      <c r="Q310">
        <v>16350.6</v>
      </c>
      <c r="R310" t="s">
        <v>4788</v>
      </c>
      <c r="S310" t="s">
        <v>3411</v>
      </c>
      <c r="T310">
        <v>33</v>
      </c>
      <c r="U310" t="s">
        <v>4796</v>
      </c>
      <c r="V310">
        <v>35000</v>
      </c>
      <c r="W310">
        <v>95708.17</v>
      </c>
      <c r="X310">
        <v>2.7349999999999999</v>
      </c>
      <c r="Y310" t="s">
        <v>4784</v>
      </c>
      <c r="Z310">
        <v>2024</v>
      </c>
      <c r="AA310">
        <v>1</v>
      </c>
    </row>
    <row r="311" spans="1:27">
      <c r="A311" t="s">
        <v>4899</v>
      </c>
      <c r="B311" t="s">
        <v>4900</v>
      </c>
      <c r="C311" t="s">
        <v>287</v>
      </c>
      <c r="D311" t="s">
        <v>202</v>
      </c>
      <c r="E311" t="s">
        <v>4901</v>
      </c>
      <c r="F311">
        <v>9616735966</v>
      </c>
      <c r="G311" t="s">
        <v>35</v>
      </c>
      <c r="H311" t="s">
        <v>4802</v>
      </c>
      <c r="I311" t="s">
        <v>4780</v>
      </c>
      <c r="J311" t="s">
        <v>4809</v>
      </c>
      <c r="K311" s="1">
        <v>44249</v>
      </c>
      <c r="L311">
        <v>47226</v>
      </c>
      <c r="M311" s="1">
        <v>45460</v>
      </c>
      <c r="N311" t="s">
        <v>4782</v>
      </c>
      <c r="O311">
        <v>168900</v>
      </c>
      <c r="P311">
        <v>7.0000000000000007E-2</v>
      </c>
      <c r="Q311">
        <v>11823</v>
      </c>
      <c r="R311" t="s">
        <v>4791</v>
      </c>
      <c r="S311" t="s">
        <v>3302</v>
      </c>
      <c r="T311">
        <v>8</v>
      </c>
      <c r="U311" t="s">
        <v>4787</v>
      </c>
      <c r="V311">
        <v>35000</v>
      </c>
      <c r="W311">
        <v>141817.82999999999</v>
      </c>
      <c r="X311">
        <v>4.0519999999999996</v>
      </c>
      <c r="Y311" t="s">
        <v>4784</v>
      </c>
      <c r="Z311">
        <v>2024</v>
      </c>
      <c r="AA311">
        <v>1</v>
      </c>
    </row>
    <row r="312" spans="1:27">
      <c r="A312" t="s">
        <v>4902</v>
      </c>
      <c r="B312" t="s">
        <v>4903</v>
      </c>
      <c r="C312" t="s">
        <v>834</v>
      </c>
      <c r="D312" t="s">
        <v>30</v>
      </c>
      <c r="E312" t="s">
        <v>4904</v>
      </c>
      <c r="F312">
        <v>9765507327</v>
      </c>
      <c r="G312" t="s">
        <v>76</v>
      </c>
      <c r="H312" t="s">
        <v>4807</v>
      </c>
      <c r="I312" t="s">
        <v>4824</v>
      </c>
      <c r="J312" t="s">
        <v>4825</v>
      </c>
      <c r="K312" s="1">
        <v>43579</v>
      </c>
      <c r="L312">
        <v>71220</v>
      </c>
      <c r="M312" s="1">
        <v>44569</v>
      </c>
      <c r="N312" t="s">
        <v>4797</v>
      </c>
      <c r="O312">
        <v>63500</v>
      </c>
      <c r="P312">
        <v>9.1999999999999998E-2</v>
      </c>
      <c r="Q312">
        <v>0</v>
      </c>
      <c r="R312" t="s">
        <v>4790</v>
      </c>
      <c r="S312" t="s">
        <v>3416</v>
      </c>
      <c r="T312">
        <v>28</v>
      </c>
      <c r="U312" t="s">
        <v>4796</v>
      </c>
      <c r="V312">
        <v>33333.33</v>
      </c>
      <c r="W312">
        <v>59224.65</v>
      </c>
      <c r="X312">
        <v>1.7769999999999999</v>
      </c>
      <c r="Y312" t="s">
        <v>4784</v>
      </c>
      <c r="Z312">
        <v>2022</v>
      </c>
      <c r="AA312">
        <v>0</v>
      </c>
    </row>
    <row r="313" spans="1:27">
      <c r="A313" t="s">
        <v>4902</v>
      </c>
      <c r="B313" t="s">
        <v>4903</v>
      </c>
      <c r="C313" t="s">
        <v>834</v>
      </c>
      <c r="D313" t="s">
        <v>30</v>
      </c>
      <c r="E313" t="s">
        <v>4904</v>
      </c>
      <c r="F313">
        <v>9765507327</v>
      </c>
      <c r="G313" t="s">
        <v>76</v>
      </c>
      <c r="H313" t="s">
        <v>4807</v>
      </c>
      <c r="I313" t="s">
        <v>4824</v>
      </c>
      <c r="J313" t="s">
        <v>4825</v>
      </c>
      <c r="K313" s="1">
        <v>43579</v>
      </c>
      <c r="L313">
        <v>71220</v>
      </c>
      <c r="M313" s="1">
        <v>44700</v>
      </c>
      <c r="N313" t="s">
        <v>4785</v>
      </c>
      <c r="O313">
        <v>211900</v>
      </c>
      <c r="P313">
        <v>0.106</v>
      </c>
      <c r="Q313">
        <v>0</v>
      </c>
      <c r="R313" t="s">
        <v>4783</v>
      </c>
      <c r="S313" t="s">
        <v>3310</v>
      </c>
      <c r="T313">
        <v>82</v>
      </c>
      <c r="U313" t="s">
        <v>4795</v>
      </c>
      <c r="V313">
        <v>33333.33</v>
      </c>
      <c r="W313">
        <v>173726.66</v>
      </c>
      <c r="X313">
        <v>5.2119999999999997</v>
      </c>
      <c r="Y313" t="s">
        <v>4784</v>
      </c>
      <c r="Z313">
        <v>2022</v>
      </c>
      <c r="AA313">
        <v>0</v>
      </c>
    </row>
    <row r="314" spans="1:27">
      <c r="A314" t="s">
        <v>4902</v>
      </c>
      <c r="B314" t="s">
        <v>4903</v>
      </c>
      <c r="C314" t="s">
        <v>834</v>
      </c>
      <c r="D314" t="s">
        <v>30</v>
      </c>
      <c r="E314" t="s">
        <v>4904</v>
      </c>
      <c r="F314">
        <v>9765507327</v>
      </c>
      <c r="G314" t="s">
        <v>76</v>
      </c>
      <c r="H314" t="s">
        <v>4807</v>
      </c>
      <c r="I314" t="s">
        <v>4824</v>
      </c>
      <c r="J314" t="s">
        <v>4825</v>
      </c>
      <c r="K314" s="1">
        <v>43579</v>
      </c>
      <c r="L314">
        <v>71220</v>
      </c>
      <c r="M314" s="1">
        <v>45194</v>
      </c>
      <c r="N314" t="s">
        <v>4785</v>
      </c>
      <c r="O314">
        <v>94900</v>
      </c>
      <c r="P314">
        <v>5.6000000000000001E-2</v>
      </c>
      <c r="Q314">
        <v>0</v>
      </c>
      <c r="R314" t="s">
        <v>4791</v>
      </c>
      <c r="S314" t="s">
        <v>3416</v>
      </c>
      <c r="T314">
        <v>76</v>
      </c>
      <c r="U314" t="s">
        <v>4796</v>
      </c>
      <c r="V314">
        <v>33333.33</v>
      </c>
      <c r="W314">
        <v>52345.5</v>
      </c>
      <c r="X314">
        <v>1.57</v>
      </c>
      <c r="Y314" t="s">
        <v>4784</v>
      </c>
      <c r="Z314">
        <v>2023</v>
      </c>
      <c r="AA314">
        <v>0</v>
      </c>
    </row>
    <row r="315" spans="1:27">
      <c r="A315" t="s">
        <v>4902</v>
      </c>
      <c r="B315" t="s">
        <v>4903</v>
      </c>
      <c r="C315" t="s">
        <v>834</v>
      </c>
      <c r="D315" t="s">
        <v>30</v>
      </c>
      <c r="E315" t="s">
        <v>4904</v>
      </c>
      <c r="F315">
        <v>9765507327</v>
      </c>
      <c r="G315" t="s">
        <v>76</v>
      </c>
      <c r="H315" t="s">
        <v>4807</v>
      </c>
      <c r="I315" t="s">
        <v>4824</v>
      </c>
      <c r="J315" t="s">
        <v>4825</v>
      </c>
      <c r="K315" s="1">
        <v>43579</v>
      </c>
      <c r="L315">
        <v>71220</v>
      </c>
      <c r="M315" s="1">
        <v>45240</v>
      </c>
      <c r="N315" t="s">
        <v>4797</v>
      </c>
      <c r="O315">
        <v>103500</v>
      </c>
      <c r="P315">
        <v>4.8000000000000001E-2</v>
      </c>
      <c r="Q315">
        <v>0</v>
      </c>
      <c r="R315" t="s">
        <v>4786</v>
      </c>
      <c r="S315" t="s">
        <v>3411</v>
      </c>
      <c r="T315">
        <v>1</v>
      </c>
      <c r="U315" t="s">
        <v>4795</v>
      </c>
      <c r="V315">
        <v>33333.33</v>
      </c>
      <c r="W315">
        <v>52671.45</v>
      </c>
      <c r="X315">
        <v>1.58</v>
      </c>
      <c r="Y315" t="s">
        <v>4784</v>
      </c>
      <c r="Z315">
        <v>2023</v>
      </c>
      <c r="AA315">
        <v>0</v>
      </c>
    </row>
    <row r="316" spans="1:27">
      <c r="A316" t="s">
        <v>4902</v>
      </c>
      <c r="B316" t="s">
        <v>4903</v>
      </c>
      <c r="C316" t="s">
        <v>834</v>
      </c>
      <c r="D316" t="s">
        <v>30</v>
      </c>
      <c r="E316" t="s">
        <v>4904</v>
      </c>
      <c r="F316">
        <v>9765507327</v>
      </c>
      <c r="G316" t="s">
        <v>76</v>
      </c>
      <c r="H316" t="s">
        <v>4807</v>
      </c>
      <c r="I316" t="s">
        <v>4824</v>
      </c>
      <c r="J316" t="s">
        <v>4825</v>
      </c>
      <c r="K316" s="1">
        <v>43579</v>
      </c>
      <c r="L316">
        <v>71220</v>
      </c>
      <c r="M316" s="1">
        <v>45249</v>
      </c>
      <c r="N316" t="s">
        <v>4785</v>
      </c>
      <c r="O316">
        <v>83500</v>
      </c>
      <c r="P316">
        <v>6.8000000000000005E-2</v>
      </c>
      <c r="Q316">
        <v>0</v>
      </c>
      <c r="R316" t="s">
        <v>4786</v>
      </c>
      <c r="S316" t="s">
        <v>3302</v>
      </c>
      <c r="T316">
        <v>59</v>
      </c>
      <c r="U316" t="s">
        <v>4787</v>
      </c>
      <c r="V316">
        <v>33333.33</v>
      </c>
      <c r="W316">
        <v>79019.19</v>
      </c>
      <c r="X316">
        <v>2.371</v>
      </c>
      <c r="Y316" t="s">
        <v>4784</v>
      </c>
      <c r="Z316">
        <v>2023</v>
      </c>
      <c r="AA316">
        <v>0</v>
      </c>
    </row>
    <row r="317" spans="1:27">
      <c r="A317" t="s">
        <v>4902</v>
      </c>
      <c r="B317" t="s">
        <v>4903</v>
      </c>
      <c r="C317" t="s">
        <v>834</v>
      </c>
      <c r="D317" t="s">
        <v>30</v>
      </c>
      <c r="E317" t="s">
        <v>4904</v>
      </c>
      <c r="F317">
        <v>9765507327</v>
      </c>
      <c r="G317" t="s">
        <v>76</v>
      </c>
      <c r="H317" t="s">
        <v>4807</v>
      </c>
      <c r="I317" t="s">
        <v>4824</v>
      </c>
      <c r="J317" t="s">
        <v>4825</v>
      </c>
      <c r="K317" s="1">
        <v>43579</v>
      </c>
      <c r="L317">
        <v>71220</v>
      </c>
      <c r="M317" s="1">
        <v>45261</v>
      </c>
      <c r="N317" t="s">
        <v>4782</v>
      </c>
      <c r="O317">
        <v>180100</v>
      </c>
      <c r="P317">
        <v>7.2999999999999995E-2</v>
      </c>
      <c r="Q317">
        <v>13147.3</v>
      </c>
      <c r="R317" t="s">
        <v>4794</v>
      </c>
      <c r="S317" t="s">
        <v>3322</v>
      </c>
      <c r="T317">
        <v>77</v>
      </c>
      <c r="U317" t="s">
        <v>4795</v>
      </c>
      <c r="V317">
        <v>33333.33</v>
      </c>
      <c r="W317">
        <v>228152.09</v>
      </c>
      <c r="X317">
        <v>6.8449999999999998</v>
      </c>
      <c r="Y317" t="s">
        <v>4784</v>
      </c>
      <c r="Z317">
        <v>2023</v>
      </c>
      <c r="AA317">
        <v>1</v>
      </c>
    </row>
    <row r="318" spans="1:27">
      <c r="A318" t="s">
        <v>4902</v>
      </c>
      <c r="B318" t="s">
        <v>4903</v>
      </c>
      <c r="C318" t="s">
        <v>834</v>
      </c>
      <c r="D318" t="s">
        <v>30</v>
      </c>
      <c r="E318" t="s">
        <v>4904</v>
      </c>
      <c r="F318">
        <v>9765507327</v>
      </c>
      <c r="G318" t="s">
        <v>76</v>
      </c>
      <c r="H318" t="s">
        <v>4807</v>
      </c>
      <c r="I318" t="s">
        <v>4824</v>
      </c>
      <c r="J318" t="s">
        <v>4825</v>
      </c>
      <c r="K318" s="1">
        <v>43579</v>
      </c>
      <c r="L318">
        <v>71220</v>
      </c>
      <c r="M318" s="1">
        <v>45294</v>
      </c>
      <c r="N318" t="s">
        <v>4782</v>
      </c>
      <c r="O318">
        <v>150400</v>
      </c>
      <c r="P318">
        <v>0.04</v>
      </c>
      <c r="Q318">
        <v>6016</v>
      </c>
      <c r="R318" t="s">
        <v>4788</v>
      </c>
      <c r="S318" t="s">
        <v>3322</v>
      </c>
      <c r="T318">
        <v>25</v>
      </c>
      <c r="U318" t="s">
        <v>4795</v>
      </c>
      <c r="V318">
        <v>33333.33</v>
      </c>
      <c r="W318">
        <v>81142.960000000006</v>
      </c>
      <c r="X318">
        <v>2.4340000000000002</v>
      </c>
      <c r="Y318" t="s">
        <v>4784</v>
      </c>
      <c r="Z318">
        <v>2024</v>
      </c>
      <c r="AA318">
        <v>1</v>
      </c>
    </row>
    <row r="319" spans="1:27">
      <c r="A319" t="s">
        <v>4902</v>
      </c>
      <c r="B319" t="s">
        <v>4903</v>
      </c>
      <c r="C319" t="s">
        <v>834</v>
      </c>
      <c r="D319" t="s">
        <v>30</v>
      </c>
      <c r="E319" t="s">
        <v>4904</v>
      </c>
      <c r="F319">
        <v>9765507327</v>
      </c>
      <c r="G319" t="s">
        <v>76</v>
      </c>
      <c r="H319" t="s">
        <v>4807</v>
      </c>
      <c r="I319" t="s">
        <v>4824</v>
      </c>
      <c r="J319" t="s">
        <v>4825</v>
      </c>
      <c r="K319" s="1">
        <v>43579</v>
      </c>
      <c r="L319">
        <v>71220</v>
      </c>
      <c r="M319" s="1">
        <v>45454</v>
      </c>
      <c r="N319" t="s">
        <v>4785</v>
      </c>
      <c r="O319">
        <v>175800</v>
      </c>
      <c r="P319">
        <v>9.8000000000000004E-2</v>
      </c>
      <c r="Q319">
        <v>0</v>
      </c>
      <c r="R319" t="s">
        <v>4788</v>
      </c>
      <c r="S319" t="s">
        <v>3416</v>
      </c>
      <c r="T319">
        <v>70</v>
      </c>
      <c r="U319" t="s">
        <v>4796</v>
      </c>
      <c r="V319">
        <v>33333.33</v>
      </c>
      <c r="W319">
        <v>111223.06</v>
      </c>
      <c r="X319">
        <v>3.3370000000000002</v>
      </c>
      <c r="Y319" t="s">
        <v>4784</v>
      </c>
      <c r="Z319">
        <v>2024</v>
      </c>
      <c r="AA319">
        <v>0</v>
      </c>
    </row>
    <row r="320" spans="1:27">
      <c r="A320" t="s">
        <v>4902</v>
      </c>
      <c r="B320" t="s">
        <v>4903</v>
      </c>
      <c r="C320" t="s">
        <v>834</v>
      </c>
      <c r="D320" t="s">
        <v>30</v>
      </c>
      <c r="E320" t="s">
        <v>4904</v>
      </c>
      <c r="F320">
        <v>9765507327</v>
      </c>
      <c r="G320" t="s">
        <v>76</v>
      </c>
      <c r="H320" t="s">
        <v>4807</v>
      </c>
      <c r="I320" t="s">
        <v>4824</v>
      </c>
      <c r="J320" t="s">
        <v>4825</v>
      </c>
      <c r="K320" s="1">
        <v>43579</v>
      </c>
      <c r="L320">
        <v>71220</v>
      </c>
      <c r="M320" s="1">
        <v>45547</v>
      </c>
      <c r="N320" t="s">
        <v>4797</v>
      </c>
      <c r="O320">
        <v>167800</v>
      </c>
      <c r="P320">
        <v>7.0000000000000007E-2</v>
      </c>
      <c r="Q320">
        <v>0</v>
      </c>
      <c r="R320" t="s">
        <v>4786</v>
      </c>
      <c r="S320" t="s">
        <v>3310</v>
      </c>
      <c r="T320">
        <v>6</v>
      </c>
      <c r="U320" t="s">
        <v>4787</v>
      </c>
      <c r="V320">
        <v>33333.33</v>
      </c>
      <c r="W320">
        <v>103182.35</v>
      </c>
      <c r="X320">
        <v>3.0950000000000002</v>
      </c>
      <c r="Y320" t="s">
        <v>4784</v>
      </c>
      <c r="Z320">
        <v>2024</v>
      </c>
      <c r="AA320">
        <v>0</v>
      </c>
    </row>
    <row r="321" spans="1:27">
      <c r="A321" t="s">
        <v>4902</v>
      </c>
      <c r="B321" t="s">
        <v>4903</v>
      </c>
      <c r="C321" t="s">
        <v>834</v>
      </c>
      <c r="D321" t="s">
        <v>30</v>
      </c>
      <c r="E321" t="s">
        <v>4904</v>
      </c>
      <c r="F321">
        <v>9765507327</v>
      </c>
      <c r="G321" t="s">
        <v>76</v>
      </c>
      <c r="H321" t="s">
        <v>4807</v>
      </c>
      <c r="I321" t="s">
        <v>4824</v>
      </c>
      <c r="J321" t="s">
        <v>4825</v>
      </c>
      <c r="K321" s="1">
        <v>43579</v>
      </c>
      <c r="L321">
        <v>71220</v>
      </c>
      <c r="M321" s="1">
        <v>45600</v>
      </c>
      <c r="N321" t="s">
        <v>4785</v>
      </c>
      <c r="O321">
        <v>230100</v>
      </c>
      <c r="P321">
        <v>3.5000000000000003E-2</v>
      </c>
      <c r="Q321">
        <v>0</v>
      </c>
      <c r="R321" t="s">
        <v>4788</v>
      </c>
      <c r="S321" t="s">
        <v>3310</v>
      </c>
      <c r="T321">
        <v>26</v>
      </c>
      <c r="U321" t="s">
        <v>4796</v>
      </c>
      <c r="V321">
        <v>33333.33</v>
      </c>
      <c r="W321">
        <v>277670.28000000003</v>
      </c>
      <c r="X321">
        <v>8.33</v>
      </c>
      <c r="Y321" t="s">
        <v>4784</v>
      </c>
      <c r="Z321">
        <v>2024</v>
      </c>
      <c r="AA321">
        <v>0</v>
      </c>
    </row>
    <row r="322" spans="1:27">
      <c r="A322" t="s">
        <v>4905</v>
      </c>
      <c r="B322" t="s">
        <v>4906</v>
      </c>
      <c r="C322" t="s">
        <v>460</v>
      </c>
      <c r="D322" t="s">
        <v>156</v>
      </c>
      <c r="E322" t="s">
        <v>4907</v>
      </c>
      <c r="F322">
        <v>9842615361</v>
      </c>
      <c r="G322" t="s">
        <v>46</v>
      </c>
      <c r="H322" t="s">
        <v>4823</v>
      </c>
      <c r="I322" t="s">
        <v>4808</v>
      </c>
      <c r="J322" t="s">
        <v>4809</v>
      </c>
      <c r="K322" s="1">
        <v>44623</v>
      </c>
      <c r="L322">
        <v>79359</v>
      </c>
      <c r="M322" s="1">
        <v>44683</v>
      </c>
      <c r="N322" t="s">
        <v>4782</v>
      </c>
      <c r="O322">
        <v>56900</v>
      </c>
      <c r="P322">
        <v>5.6000000000000001E-2</v>
      </c>
      <c r="Q322">
        <v>3186.4</v>
      </c>
      <c r="R322" t="s">
        <v>4786</v>
      </c>
      <c r="S322" t="s">
        <v>3317</v>
      </c>
      <c r="T322">
        <v>23</v>
      </c>
      <c r="U322" t="s">
        <v>4795</v>
      </c>
      <c r="V322">
        <v>41666.67</v>
      </c>
      <c r="W322">
        <v>71852.23</v>
      </c>
      <c r="X322">
        <v>1.724</v>
      </c>
      <c r="Y322" t="s">
        <v>4784</v>
      </c>
      <c r="Z322">
        <v>2022</v>
      </c>
      <c r="AA322">
        <v>1</v>
      </c>
    </row>
    <row r="323" spans="1:27">
      <c r="A323" t="s">
        <v>4905</v>
      </c>
      <c r="B323" t="s">
        <v>4906</v>
      </c>
      <c r="C323" t="s">
        <v>460</v>
      </c>
      <c r="D323" t="s">
        <v>156</v>
      </c>
      <c r="E323" t="s">
        <v>4907</v>
      </c>
      <c r="F323">
        <v>9842615361</v>
      </c>
      <c r="G323" t="s">
        <v>46</v>
      </c>
      <c r="H323" t="s">
        <v>4823</v>
      </c>
      <c r="I323" t="s">
        <v>4808</v>
      </c>
      <c r="J323" t="s">
        <v>4809</v>
      </c>
      <c r="K323" s="1">
        <v>44623</v>
      </c>
      <c r="L323">
        <v>79359</v>
      </c>
      <c r="M323" s="1">
        <v>44756</v>
      </c>
      <c r="N323" t="s">
        <v>4782</v>
      </c>
      <c r="O323">
        <v>42900</v>
      </c>
      <c r="P323">
        <v>0.109</v>
      </c>
      <c r="Q323">
        <v>4676.1000000000004</v>
      </c>
      <c r="R323" t="s">
        <v>4786</v>
      </c>
      <c r="S323" t="s">
        <v>3411</v>
      </c>
      <c r="T323">
        <v>25</v>
      </c>
      <c r="U323" t="s">
        <v>4796</v>
      </c>
      <c r="V323">
        <v>41666.67</v>
      </c>
      <c r="W323">
        <v>42011.94</v>
      </c>
      <c r="X323">
        <v>1.008</v>
      </c>
      <c r="Y323" t="s">
        <v>4793</v>
      </c>
      <c r="Z323">
        <v>2022</v>
      </c>
      <c r="AA323">
        <v>1</v>
      </c>
    </row>
    <row r="324" spans="1:27">
      <c r="A324" t="s">
        <v>4905</v>
      </c>
      <c r="B324" t="s">
        <v>4906</v>
      </c>
      <c r="C324" t="s">
        <v>460</v>
      </c>
      <c r="D324" t="s">
        <v>156</v>
      </c>
      <c r="E324" t="s">
        <v>4907</v>
      </c>
      <c r="F324">
        <v>9842615361</v>
      </c>
      <c r="G324" t="s">
        <v>46</v>
      </c>
      <c r="H324" t="s">
        <v>4823</v>
      </c>
      <c r="I324" t="s">
        <v>4808</v>
      </c>
      <c r="J324" t="s">
        <v>4809</v>
      </c>
      <c r="K324" s="1">
        <v>44623</v>
      </c>
      <c r="L324">
        <v>79359</v>
      </c>
      <c r="M324" s="1">
        <v>44904</v>
      </c>
      <c r="N324" t="s">
        <v>4789</v>
      </c>
      <c r="O324">
        <v>176700</v>
      </c>
      <c r="P324">
        <v>0.10100000000000001</v>
      </c>
      <c r="Q324">
        <v>0</v>
      </c>
      <c r="R324" t="s">
        <v>4791</v>
      </c>
      <c r="S324" t="s">
        <v>3317</v>
      </c>
      <c r="T324">
        <v>27</v>
      </c>
      <c r="U324" t="s">
        <v>4795</v>
      </c>
      <c r="V324">
        <v>41666.67</v>
      </c>
      <c r="W324">
        <v>160900.07</v>
      </c>
      <c r="X324">
        <v>3.8620000000000001</v>
      </c>
      <c r="Y324" t="s">
        <v>4784</v>
      </c>
      <c r="Z324">
        <v>2022</v>
      </c>
      <c r="AA324">
        <v>0</v>
      </c>
    </row>
    <row r="325" spans="1:27">
      <c r="A325" t="s">
        <v>4905</v>
      </c>
      <c r="B325" t="s">
        <v>4906</v>
      </c>
      <c r="C325" t="s">
        <v>460</v>
      </c>
      <c r="D325" t="s">
        <v>156</v>
      </c>
      <c r="E325" t="s">
        <v>4907</v>
      </c>
      <c r="F325">
        <v>9842615361</v>
      </c>
      <c r="G325" t="s">
        <v>46</v>
      </c>
      <c r="H325" t="s">
        <v>4823</v>
      </c>
      <c r="I325" t="s">
        <v>4808</v>
      </c>
      <c r="J325" t="s">
        <v>4809</v>
      </c>
      <c r="K325" s="1">
        <v>44623</v>
      </c>
      <c r="L325">
        <v>79359</v>
      </c>
      <c r="M325" s="1">
        <v>45126</v>
      </c>
      <c r="N325" t="s">
        <v>4782</v>
      </c>
      <c r="O325">
        <v>56400</v>
      </c>
      <c r="P325">
        <v>3.2000000000000001E-2</v>
      </c>
      <c r="Q325">
        <v>1804.8</v>
      </c>
      <c r="R325" t="s">
        <v>4798</v>
      </c>
      <c r="S325" t="s">
        <v>3317</v>
      </c>
      <c r="T325">
        <v>13</v>
      </c>
      <c r="U325" t="s">
        <v>4787</v>
      </c>
      <c r="V325">
        <v>41666.67</v>
      </c>
      <c r="W325">
        <v>70404.19</v>
      </c>
      <c r="X325">
        <v>1.69</v>
      </c>
      <c r="Y325" t="s">
        <v>4784</v>
      </c>
      <c r="Z325">
        <v>2023</v>
      </c>
      <c r="AA325">
        <v>1</v>
      </c>
    </row>
    <row r="326" spans="1:27">
      <c r="A326" t="s">
        <v>4905</v>
      </c>
      <c r="B326" t="s">
        <v>4906</v>
      </c>
      <c r="C326" t="s">
        <v>460</v>
      </c>
      <c r="D326" t="s">
        <v>156</v>
      </c>
      <c r="E326" t="s">
        <v>4907</v>
      </c>
      <c r="F326">
        <v>9842615361</v>
      </c>
      <c r="G326" t="s">
        <v>46</v>
      </c>
      <c r="H326" t="s">
        <v>4823</v>
      </c>
      <c r="I326" t="s">
        <v>4808</v>
      </c>
      <c r="J326" t="s">
        <v>4809</v>
      </c>
      <c r="K326" s="1">
        <v>44623</v>
      </c>
      <c r="L326">
        <v>79359</v>
      </c>
      <c r="M326" s="1">
        <v>45225</v>
      </c>
      <c r="N326" t="s">
        <v>4782</v>
      </c>
      <c r="O326">
        <v>90900</v>
      </c>
      <c r="P326">
        <v>5.1999999999999998E-2</v>
      </c>
      <c r="Q326">
        <v>4726.8</v>
      </c>
      <c r="R326" t="s">
        <v>4794</v>
      </c>
      <c r="S326" t="s">
        <v>3411</v>
      </c>
      <c r="T326">
        <v>36</v>
      </c>
      <c r="U326" t="s">
        <v>4796</v>
      </c>
      <c r="V326">
        <v>41666.67</v>
      </c>
      <c r="W326">
        <v>115111.43</v>
      </c>
      <c r="X326">
        <v>2.7629999999999999</v>
      </c>
      <c r="Y326" t="s">
        <v>4784</v>
      </c>
      <c r="Z326">
        <v>2023</v>
      </c>
      <c r="AA326">
        <v>1</v>
      </c>
    </row>
    <row r="327" spans="1:27">
      <c r="A327" t="s">
        <v>4905</v>
      </c>
      <c r="B327" t="s">
        <v>4906</v>
      </c>
      <c r="C327" t="s">
        <v>460</v>
      </c>
      <c r="D327" t="s">
        <v>156</v>
      </c>
      <c r="E327" t="s">
        <v>4907</v>
      </c>
      <c r="F327">
        <v>9842615361</v>
      </c>
      <c r="G327" t="s">
        <v>46</v>
      </c>
      <c r="H327" t="s">
        <v>4823</v>
      </c>
      <c r="I327" t="s">
        <v>4808</v>
      </c>
      <c r="J327" t="s">
        <v>4809</v>
      </c>
      <c r="K327" s="1">
        <v>44623</v>
      </c>
      <c r="L327">
        <v>79359</v>
      </c>
      <c r="M327" s="1">
        <v>45380</v>
      </c>
      <c r="N327" t="s">
        <v>4782</v>
      </c>
      <c r="O327">
        <v>178300</v>
      </c>
      <c r="P327">
        <v>4.4999999999999998E-2</v>
      </c>
      <c r="Q327">
        <v>8023.5</v>
      </c>
      <c r="R327" t="s">
        <v>4783</v>
      </c>
      <c r="S327" t="s">
        <v>3411</v>
      </c>
      <c r="T327">
        <v>80</v>
      </c>
      <c r="U327" t="s">
        <v>26</v>
      </c>
      <c r="V327">
        <v>41666.67</v>
      </c>
      <c r="W327">
        <v>230104.9</v>
      </c>
      <c r="X327">
        <v>5.5229999999999997</v>
      </c>
      <c r="Y327" t="s">
        <v>4784</v>
      </c>
      <c r="Z327">
        <v>2024</v>
      </c>
      <c r="AA327">
        <v>1</v>
      </c>
    </row>
    <row r="328" spans="1:27">
      <c r="A328" t="s">
        <v>4905</v>
      </c>
      <c r="B328" t="s">
        <v>4906</v>
      </c>
      <c r="C328" t="s">
        <v>460</v>
      </c>
      <c r="D328" t="s">
        <v>156</v>
      </c>
      <c r="E328" t="s">
        <v>4907</v>
      </c>
      <c r="F328">
        <v>9842615361</v>
      </c>
      <c r="G328" t="s">
        <v>46</v>
      </c>
      <c r="H328" t="s">
        <v>4823</v>
      </c>
      <c r="I328" t="s">
        <v>4808</v>
      </c>
      <c r="J328" t="s">
        <v>4809</v>
      </c>
      <c r="K328" s="1">
        <v>44623</v>
      </c>
      <c r="L328">
        <v>79359</v>
      </c>
      <c r="M328" s="1">
        <v>45388</v>
      </c>
      <c r="N328" t="s">
        <v>4785</v>
      </c>
      <c r="O328">
        <v>187100</v>
      </c>
      <c r="P328">
        <v>7.2999999999999995E-2</v>
      </c>
      <c r="Q328">
        <v>0</v>
      </c>
      <c r="R328" t="s">
        <v>4790</v>
      </c>
      <c r="S328" t="s">
        <v>3322</v>
      </c>
      <c r="T328">
        <v>35</v>
      </c>
      <c r="U328" t="s">
        <v>26</v>
      </c>
      <c r="V328">
        <v>41666.67</v>
      </c>
      <c r="W328">
        <v>201000.6</v>
      </c>
      <c r="X328">
        <v>4.8239999999999998</v>
      </c>
      <c r="Y328" t="s">
        <v>4784</v>
      </c>
      <c r="Z328">
        <v>2024</v>
      </c>
      <c r="AA328">
        <v>0</v>
      </c>
    </row>
    <row r="329" spans="1:27">
      <c r="A329" t="s">
        <v>4905</v>
      </c>
      <c r="B329" t="s">
        <v>4906</v>
      </c>
      <c r="C329" t="s">
        <v>460</v>
      </c>
      <c r="D329" t="s">
        <v>156</v>
      </c>
      <c r="E329" t="s">
        <v>4907</v>
      </c>
      <c r="F329">
        <v>9842615361</v>
      </c>
      <c r="G329" t="s">
        <v>46</v>
      </c>
      <c r="H329" t="s">
        <v>4823</v>
      </c>
      <c r="I329" t="s">
        <v>4808</v>
      </c>
      <c r="J329" t="s">
        <v>4809</v>
      </c>
      <c r="K329" s="1">
        <v>44623</v>
      </c>
      <c r="L329">
        <v>79359</v>
      </c>
      <c r="M329" s="1">
        <v>45389</v>
      </c>
      <c r="N329" t="s">
        <v>4782</v>
      </c>
      <c r="O329">
        <v>162200</v>
      </c>
      <c r="P329">
        <v>6.9000000000000006E-2</v>
      </c>
      <c r="Q329">
        <v>11191.8</v>
      </c>
      <c r="R329" t="s">
        <v>4794</v>
      </c>
      <c r="S329" t="s">
        <v>3310</v>
      </c>
      <c r="T329">
        <v>6</v>
      </c>
      <c r="U329" t="s">
        <v>4796</v>
      </c>
      <c r="V329">
        <v>41666.67</v>
      </c>
      <c r="W329">
        <v>205830.48</v>
      </c>
      <c r="X329">
        <v>4.9400000000000004</v>
      </c>
      <c r="Y329" t="s">
        <v>4784</v>
      </c>
      <c r="Z329">
        <v>2024</v>
      </c>
      <c r="AA329">
        <v>1</v>
      </c>
    </row>
    <row r="330" spans="1:27">
      <c r="A330" t="s">
        <v>4905</v>
      </c>
      <c r="B330" t="s">
        <v>4906</v>
      </c>
      <c r="C330" t="s">
        <v>460</v>
      </c>
      <c r="D330" t="s">
        <v>156</v>
      </c>
      <c r="E330" t="s">
        <v>4907</v>
      </c>
      <c r="F330">
        <v>9842615361</v>
      </c>
      <c r="G330" t="s">
        <v>46</v>
      </c>
      <c r="H330" t="s">
        <v>4823</v>
      </c>
      <c r="I330" t="s">
        <v>4808</v>
      </c>
      <c r="J330" t="s">
        <v>4809</v>
      </c>
      <c r="K330" s="1">
        <v>44623</v>
      </c>
      <c r="L330">
        <v>79359</v>
      </c>
      <c r="M330" s="1">
        <v>45417</v>
      </c>
      <c r="N330" t="s">
        <v>4797</v>
      </c>
      <c r="O330">
        <v>201900</v>
      </c>
      <c r="P330">
        <v>7.5999999999999998E-2</v>
      </c>
      <c r="Q330">
        <v>0</v>
      </c>
      <c r="R330" t="s">
        <v>4790</v>
      </c>
      <c r="S330" t="s">
        <v>3416</v>
      </c>
      <c r="T330">
        <v>60</v>
      </c>
      <c r="U330" t="s">
        <v>4796</v>
      </c>
      <c r="V330">
        <v>41666.67</v>
      </c>
      <c r="W330">
        <v>159428.48000000001</v>
      </c>
      <c r="X330">
        <v>3.8260000000000001</v>
      </c>
      <c r="Y330" t="s">
        <v>4784</v>
      </c>
      <c r="Z330">
        <v>2024</v>
      </c>
      <c r="AA330">
        <v>0</v>
      </c>
    </row>
    <row r="331" spans="1:27">
      <c r="A331" t="s">
        <v>4905</v>
      </c>
      <c r="B331" t="s">
        <v>4906</v>
      </c>
      <c r="C331" t="s">
        <v>460</v>
      </c>
      <c r="D331" t="s">
        <v>156</v>
      </c>
      <c r="E331" t="s">
        <v>4907</v>
      </c>
      <c r="F331">
        <v>9842615361</v>
      </c>
      <c r="G331" t="s">
        <v>46</v>
      </c>
      <c r="H331" t="s">
        <v>4823</v>
      </c>
      <c r="I331" t="s">
        <v>4808</v>
      </c>
      <c r="J331" t="s">
        <v>4809</v>
      </c>
      <c r="K331" s="1">
        <v>44623</v>
      </c>
      <c r="L331">
        <v>79359</v>
      </c>
      <c r="M331" s="1">
        <v>45624</v>
      </c>
      <c r="N331" t="s">
        <v>4782</v>
      </c>
      <c r="O331">
        <v>195700</v>
      </c>
      <c r="P331">
        <v>3.6999999999999998E-2</v>
      </c>
      <c r="Q331">
        <v>7240.9</v>
      </c>
      <c r="R331" t="s">
        <v>4790</v>
      </c>
      <c r="S331" t="s">
        <v>3411</v>
      </c>
      <c r="T331">
        <v>85</v>
      </c>
      <c r="U331" t="s">
        <v>4787</v>
      </c>
      <c r="V331">
        <v>41666.67</v>
      </c>
      <c r="W331">
        <v>127340.07</v>
      </c>
      <c r="X331">
        <v>3.056</v>
      </c>
      <c r="Y331" t="s">
        <v>4784</v>
      </c>
      <c r="Z331">
        <v>2024</v>
      </c>
      <c r="AA331">
        <v>1</v>
      </c>
    </row>
    <row r="332" spans="1:27">
      <c r="A332" t="s">
        <v>4908</v>
      </c>
      <c r="B332" t="s">
        <v>4909</v>
      </c>
      <c r="C332" t="s">
        <v>428</v>
      </c>
      <c r="D332" t="s">
        <v>202</v>
      </c>
      <c r="E332" t="s">
        <v>4910</v>
      </c>
      <c r="F332">
        <v>9708500757</v>
      </c>
      <c r="G332" t="s">
        <v>35</v>
      </c>
      <c r="H332" t="s">
        <v>4779</v>
      </c>
      <c r="I332" t="s">
        <v>4780</v>
      </c>
      <c r="J332" t="s">
        <v>4829</v>
      </c>
      <c r="K332" s="1">
        <v>43254</v>
      </c>
      <c r="L332">
        <v>31068</v>
      </c>
      <c r="M332" s="1">
        <v>44612</v>
      </c>
      <c r="N332" t="s">
        <v>4782</v>
      </c>
      <c r="O332">
        <v>120800</v>
      </c>
      <c r="P332">
        <v>5.0999999999999997E-2</v>
      </c>
      <c r="Q332">
        <v>6160.8</v>
      </c>
      <c r="R332" t="s">
        <v>4794</v>
      </c>
      <c r="S332" t="s">
        <v>3302</v>
      </c>
      <c r="T332">
        <v>46</v>
      </c>
      <c r="U332" t="s">
        <v>4787</v>
      </c>
      <c r="V332">
        <v>35000</v>
      </c>
      <c r="W332">
        <v>92419.98</v>
      </c>
      <c r="X332">
        <v>2.641</v>
      </c>
      <c r="Y332" t="s">
        <v>4784</v>
      </c>
      <c r="Z332">
        <v>2022</v>
      </c>
      <c r="AA332">
        <v>1</v>
      </c>
    </row>
    <row r="333" spans="1:27">
      <c r="A333" t="s">
        <v>4908</v>
      </c>
      <c r="B333" t="s">
        <v>4909</v>
      </c>
      <c r="C333" t="s">
        <v>428</v>
      </c>
      <c r="D333" t="s">
        <v>202</v>
      </c>
      <c r="E333" t="s">
        <v>4910</v>
      </c>
      <c r="F333">
        <v>9708500757</v>
      </c>
      <c r="G333" t="s">
        <v>35</v>
      </c>
      <c r="H333" t="s">
        <v>4779</v>
      </c>
      <c r="I333" t="s">
        <v>4780</v>
      </c>
      <c r="J333" t="s">
        <v>4829</v>
      </c>
      <c r="K333" s="1">
        <v>43254</v>
      </c>
      <c r="L333">
        <v>31068</v>
      </c>
      <c r="M333" s="1">
        <v>44636</v>
      </c>
      <c r="N333" t="s">
        <v>4782</v>
      </c>
      <c r="O333">
        <v>62500</v>
      </c>
      <c r="P333">
        <v>0.111</v>
      </c>
      <c r="Q333">
        <v>6937.5</v>
      </c>
      <c r="R333" t="s">
        <v>4790</v>
      </c>
      <c r="S333" t="s">
        <v>3411</v>
      </c>
      <c r="T333">
        <v>31</v>
      </c>
      <c r="U333" t="s">
        <v>26</v>
      </c>
      <c r="V333">
        <v>35000</v>
      </c>
      <c r="W333">
        <v>43545.9</v>
      </c>
      <c r="X333">
        <v>1.244</v>
      </c>
      <c r="Y333" t="s">
        <v>4784</v>
      </c>
      <c r="Z333">
        <v>2022</v>
      </c>
      <c r="AA333">
        <v>1</v>
      </c>
    </row>
    <row r="334" spans="1:27">
      <c r="A334" t="s">
        <v>4908</v>
      </c>
      <c r="B334" t="s">
        <v>4909</v>
      </c>
      <c r="C334" t="s">
        <v>428</v>
      </c>
      <c r="D334" t="s">
        <v>202</v>
      </c>
      <c r="E334" t="s">
        <v>4910</v>
      </c>
      <c r="F334">
        <v>9708500757</v>
      </c>
      <c r="G334" t="s">
        <v>35</v>
      </c>
      <c r="H334" t="s">
        <v>4779</v>
      </c>
      <c r="I334" t="s">
        <v>4780</v>
      </c>
      <c r="J334" t="s">
        <v>4829</v>
      </c>
      <c r="K334" s="1">
        <v>43254</v>
      </c>
      <c r="L334">
        <v>31068</v>
      </c>
      <c r="M334" s="1">
        <v>44734</v>
      </c>
      <c r="N334" t="s">
        <v>4782</v>
      </c>
      <c r="O334">
        <v>121500</v>
      </c>
      <c r="P334">
        <v>7.6999999999999999E-2</v>
      </c>
      <c r="Q334">
        <v>9355.5</v>
      </c>
      <c r="R334" t="s">
        <v>4786</v>
      </c>
      <c r="S334" t="s">
        <v>3416</v>
      </c>
      <c r="T334">
        <v>6</v>
      </c>
      <c r="U334" t="s">
        <v>26</v>
      </c>
      <c r="V334">
        <v>35000</v>
      </c>
      <c r="W334">
        <v>116765.86</v>
      </c>
      <c r="X334">
        <v>3.3359999999999999</v>
      </c>
      <c r="Y334" t="s">
        <v>4784</v>
      </c>
      <c r="Z334">
        <v>2022</v>
      </c>
      <c r="AA334">
        <v>1</v>
      </c>
    </row>
    <row r="335" spans="1:27">
      <c r="A335" t="s">
        <v>4908</v>
      </c>
      <c r="B335" t="s">
        <v>4909</v>
      </c>
      <c r="C335" t="s">
        <v>428</v>
      </c>
      <c r="D335" t="s">
        <v>202</v>
      </c>
      <c r="E335" t="s">
        <v>4910</v>
      </c>
      <c r="F335">
        <v>9708500757</v>
      </c>
      <c r="G335" t="s">
        <v>35</v>
      </c>
      <c r="H335" t="s">
        <v>4779</v>
      </c>
      <c r="I335" t="s">
        <v>4780</v>
      </c>
      <c r="J335" t="s">
        <v>4829</v>
      </c>
      <c r="K335" s="1">
        <v>43254</v>
      </c>
      <c r="L335">
        <v>31068</v>
      </c>
      <c r="M335" s="1">
        <v>45124</v>
      </c>
      <c r="N335" t="s">
        <v>4782</v>
      </c>
      <c r="O335">
        <v>190000</v>
      </c>
      <c r="P335">
        <v>8.4000000000000005E-2</v>
      </c>
      <c r="Q335">
        <v>15960</v>
      </c>
      <c r="R335" t="s">
        <v>4786</v>
      </c>
      <c r="S335" t="s">
        <v>3411</v>
      </c>
      <c r="T335">
        <v>70</v>
      </c>
      <c r="U335" t="s">
        <v>4795</v>
      </c>
      <c r="V335">
        <v>35000</v>
      </c>
      <c r="W335">
        <v>96459.29</v>
      </c>
      <c r="X335">
        <v>2.7559999999999998</v>
      </c>
      <c r="Y335" t="s">
        <v>4784</v>
      </c>
      <c r="Z335">
        <v>2023</v>
      </c>
      <c r="AA335">
        <v>1</v>
      </c>
    </row>
    <row r="336" spans="1:27">
      <c r="A336" t="s">
        <v>4908</v>
      </c>
      <c r="B336" t="s">
        <v>4909</v>
      </c>
      <c r="C336" t="s">
        <v>428</v>
      </c>
      <c r="D336" t="s">
        <v>202</v>
      </c>
      <c r="E336" t="s">
        <v>4910</v>
      </c>
      <c r="F336">
        <v>9708500757</v>
      </c>
      <c r="G336" t="s">
        <v>35</v>
      </c>
      <c r="H336" t="s">
        <v>4779</v>
      </c>
      <c r="I336" t="s">
        <v>4780</v>
      </c>
      <c r="J336" t="s">
        <v>4829</v>
      </c>
      <c r="K336" s="1">
        <v>43254</v>
      </c>
      <c r="L336">
        <v>31068</v>
      </c>
      <c r="M336" s="1">
        <v>45175</v>
      </c>
      <c r="N336" t="s">
        <v>4782</v>
      </c>
      <c r="O336">
        <v>220600</v>
      </c>
      <c r="P336">
        <v>6.0999999999999999E-2</v>
      </c>
      <c r="Q336">
        <v>13456.6</v>
      </c>
      <c r="R336" t="s">
        <v>4790</v>
      </c>
      <c r="S336" t="s">
        <v>3322</v>
      </c>
      <c r="T336">
        <v>75</v>
      </c>
      <c r="U336" t="s">
        <v>4787</v>
      </c>
      <c r="V336">
        <v>35000</v>
      </c>
      <c r="W336">
        <v>204011.67</v>
      </c>
      <c r="X336">
        <v>5.8289999999999997</v>
      </c>
      <c r="Y336" t="s">
        <v>4784</v>
      </c>
      <c r="Z336">
        <v>2023</v>
      </c>
      <c r="AA336">
        <v>1</v>
      </c>
    </row>
    <row r="337" spans="1:27">
      <c r="A337" t="s">
        <v>4908</v>
      </c>
      <c r="B337" t="s">
        <v>4909</v>
      </c>
      <c r="C337" t="s">
        <v>428</v>
      </c>
      <c r="D337" t="s">
        <v>202</v>
      </c>
      <c r="E337" t="s">
        <v>4910</v>
      </c>
      <c r="F337">
        <v>9708500757</v>
      </c>
      <c r="G337" t="s">
        <v>35</v>
      </c>
      <c r="H337" t="s">
        <v>4779</v>
      </c>
      <c r="I337" t="s">
        <v>4780</v>
      </c>
      <c r="J337" t="s">
        <v>4829</v>
      </c>
      <c r="K337" s="1">
        <v>43254</v>
      </c>
      <c r="L337">
        <v>31068</v>
      </c>
      <c r="M337" s="1">
        <v>45250</v>
      </c>
      <c r="N337" t="s">
        <v>4789</v>
      </c>
      <c r="O337">
        <v>123300</v>
      </c>
      <c r="P337">
        <v>7.1999999999999995E-2</v>
      </c>
      <c r="Q337">
        <v>0</v>
      </c>
      <c r="R337" t="s">
        <v>4790</v>
      </c>
      <c r="S337" t="s">
        <v>3317</v>
      </c>
      <c r="T337">
        <v>64</v>
      </c>
      <c r="U337" t="s">
        <v>4795</v>
      </c>
      <c r="V337">
        <v>35000</v>
      </c>
      <c r="W337">
        <v>91946.97</v>
      </c>
      <c r="X337">
        <v>2.6269999999999998</v>
      </c>
      <c r="Y337" t="s">
        <v>4784</v>
      </c>
      <c r="Z337">
        <v>2023</v>
      </c>
      <c r="AA337">
        <v>0</v>
      </c>
    </row>
    <row r="338" spans="1:27">
      <c r="A338" t="s">
        <v>4908</v>
      </c>
      <c r="B338" t="s">
        <v>4909</v>
      </c>
      <c r="C338" t="s">
        <v>428</v>
      </c>
      <c r="D338" t="s">
        <v>202</v>
      </c>
      <c r="E338" t="s">
        <v>4910</v>
      </c>
      <c r="F338">
        <v>9708500757</v>
      </c>
      <c r="G338" t="s">
        <v>35</v>
      </c>
      <c r="H338" t="s">
        <v>4779</v>
      </c>
      <c r="I338" t="s">
        <v>4780</v>
      </c>
      <c r="J338" t="s">
        <v>4829</v>
      </c>
      <c r="K338" s="1">
        <v>43254</v>
      </c>
      <c r="L338">
        <v>31068</v>
      </c>
      <c r="M338" s="1">
        <v>45299</v>
      </c>
      <c r="N338" t="s">
        <v>4782</v>
      </c>
      <c r="O338">
        <v>148100</v>
      </c>
      <c r="P338">
        <v>4.8000000000000001E-2</v>
      </c>
      <c r="Q338">
        <v>7108.8</v>
      </c>
      <c r="R338" t="s">
        <v>4786</v>
      </c>
      <c r="S338" t="s">
        <v>3348</v>
      </c>
      <c r="T338">
        <v>43</v>
      </c>
      <c r="U338" t="s">
        <v>4795</v>
      </c>
      <c r="V338">
        <v>35000</v>
      </c>
      <c r="W338">
        <v>114398.96</v>
      </c>
      <c r="X338">
        <v>3.2690000000000001</v>
      </c>
      <c r="Y338" t="s">
        <v>4784</v>
      </c>
      <c r="Z338">
        <v>2024</v>
      </c>
      <c r="AA338">
        <v>1</v>
      </c>
    </row>
    <row r="339" spans="1:27">
      <c r="A339" t="s">
        <v>4908</v>
      </c>
      <c r="B339" t="s">
        <v>4909</v>
      </c>
      <c r="C339" t="s">
        <v>428</v>
      </c>
      <c r="D339" t="s">
        <v>202</v>
      </c>
      <c r="E339" t="s">
        <v>4910</v>
      </c>
      <c r="F339">
        <v>9708500757</v>
      </c>
      <c r="G339" t="s">
        <v>35</v>
      </c>
      <c r="H339" t="s">
        <v>4779</v>
      </c>
      <c r="I339" t="s">
        <v>4780</v>
      </c>
      <c r="J339" t="s">
        <v>4829</v>
      </c>
      <c r="K339" s="1">
        <v>43254</v>
      </c>
      <c r="L339">
        <v>31068</v>
      </c>
      <c r="M339" s="1">
        <v>45432</v>
      </c>
      <c r="N339" t="s">
        <v>4789</v>
      </c>
      <c r="O339">
        <v>154800</v>
      </c>
      <c r="P339">
        <v>4.3999999999999997E-2</v>
      </c>
      <c r="Q339">
        <v>0</v>
      </c>
      <c r="R339" t="s">
        <v>4798</v>
      </c>
      <c r="S339" t="s">
        <v>3317</v>
      </c>
      <c r="T339">
        <v>33</v>
      </c>
      <c r="U339" t="s">
        <v>4787</v>
      </c>
      <c r="V339">
        <v>35000</v>
      </c>
      <c r="W339">
        <v>96114.9</v>
      </c>
      <c r="X339">
        <v>2.746</v>
      </c>
      <c r="Y339" t="s">
        <v>4784</v>
      </c>
      <c r="Z339">
        <v>2024</v>
      </c>
      <c r="AA339">
        <v>0</v>
      </c>
    </row>
    <row r="340" spans="1:27">
      <c r="A340" t="s">
        <v>4908</v>
      </c>
      <c r="B340" t="s">
        <v>4909</v>
      </c>
      <c r="C340" t="s">
        <v>428</v>
      </c>
      <c r="D340" t="s">
        <v>202</v>
      </c>
      <c r="E340" t="s">
        <v>4910</v>
      </c>
      <c r="F340">
        <v>9708500757</v>
      </c>
      <c r="G340" t="s">
        <v>35</v>
      </c>
      <c r="H340" t="s">
        <v>4779</v>
      </c>
      <c r="I340" t="s">
        <v>4780</v>
      </c>
      <c r="J340" t="s">
        <v>4829</v>
      </c>
      <c r="K340" s="1">
        <v>43254</v>
      </c>
      <c r="L340">
        <v>31068</v>
      </c>
      <c r="M340" s="1">
        <v>45589</v>
      </c>
      <c r="N340" t="s">
        <v>4785</v>
      </c>
      <c r="O340">
        <v>148300</v>
      </c>
      <c r="P340">
        <v>8.7999999999999995E-2</v>
      </c>
      <c r="Q340">
        <v>0</v>
      </c>
      <c r="R340" t="s">
        <v>4798</v>
      </c>
      <c r="S340" t="s">
        <v>3317</v>
      </c>
      <c r="T340">
        <v>30</v>
      </c>
      <c r="U340" t="s">
        <v>4787</v>
      </c>
      <c r="V340">
        <v>35000</v>
      </c>
      <c r="W340">
        <v>89977.919999999998</v>
      </c>
      <c r="X340">
        <v>2.5710000000000002</v>
      </c>
      <c r="Y340" t="s">
        <v>4784</v>
      </c>
      <c r="Z340">
        <v>2024</v>
      </c>
      <c r="AA340">
        <v>0</v>
      </c>
    </row>
    <row r="341" spans="1:27">
      <c r="A341" t="s">
        <v>4908</v>
      </c>
      <c r="B341" t="s">
        <v>4909</v>
      </c>
      <c r="C341" t="s">
        <v>428</v>
      </c>
      <c r="D341" t="s">
        <v>202</v>
      </c>
      <c r="E341" t="s">
        <v>4910</v>
      </c>
      <c r="F341">
        <v>9708500757</v>
      </c>
      <c r="G341" t="s">
        <v>35</v>
      </c>
      <c r="H341" t="s">
        <v>4779</v>
      </c>
      <c r="I341" t="s">
        <v>4780</v>
      </c>
      <c r="J341" t="s">
        <v>4829</v>
      </c>
      <c r="K341" s="1">
        <v>43254</v>
      </c>
      <c r="L341">
        <v>31068</v>
      </c>
      <c r="M341" s="1">
        <v>45611</v>
      </c>
      <c r="N341" t="s">
        <v>4782</v>
      </c>
      <c r="O341">
        <v>231900</v>
      </c>
      <c r="P341">
        <v>6.6000000000000003E-2</v>
      </c>
      <c r="Q341">
        <v>15305.4</v>
      </c>
      <c r="R341" t="s">
        <v>4786</v>
      </c>
      <c r="S341" t="s">
        <v>3348</v>
      </c>
      <c r="T341">
        <v>27</v>
      </c>
      <c r="U341" t="s">
        <v>26</v>
      </c>
      <c r="V341">
        <v>35000</v>
      </c>
      <c r="W341">
        <v>164730.37</v>
      </c>
      <c r="X341">
        <v>4.7069999999999999</v>
      </c>
      <c r="Y341" t="s">
        <v>4784</v>
      </c>
      <c r="Z341">
        <v>2024</v>
      </c>
      <c r="AA341">
        <v>1</v>
      </c>
    </row>
    <row r="342" spans="1:27">
      <c r="A342" t="s">
        <v>4911</v>
      </c>
      <c r="B342" t="s">
        <v>4912</v>
      </c>
      <c r="C342" t="s">
        <v>254</v>
      </c>
      <c r="D342" t="s">
        <v>521</v>
      </c>
      <c r="E342" t="s">
        <v>4913</v>
      </c>
      <c r="F342">
        <v>9993226302</v>
      </c>
      <c r="G342" t="s">
        <v>76</v>
      </c>
      <c r="H342" t="s">
        <v>4779</v>
      </c>
      <c r="I342" t="s">
        <v>4824</v>
      </c>
      <c r="J342" t="s">
        <v>4829</v>
      </c>
      <c r="K342" s="1">
        <v>45081</v>
      </c>
      <c r="L342">
        <v>59316</v>
      </c>
      <c r="M342" s="1">
        <v>45104</v>
      </c>
      <c r="N342" t="s">
        <v>4785</v>
      </c>
      <c r="O342">
        <v>210900</v>
      </c>
      <c r="P342">
        <v>3.3000000000000002E-2</v>
      </c>
      <c r="Q342">
        <v>0</v>
      </c>
      <c r="R342" t="s">
        <v>4786</v>
      </c>
      <c r="S342" t="s">
        <v>3310</v>
      </c>
      <c r="T342">
        <v>43</v>
      </c>
      <c r="U342" t="s">
        <v>26</v>
      </c>
      <c r="V342">
        <v>33333.33</v>
      </c>
      <c r="W342">
        <v>291496.46999999997</v>
      </c>
      <c r="X342">
        <v>8.7449999999999992</v>
      </c>
      <c r="Y342" t="s">
        <v>4784</v>
      </c>
      <c r="Z342">
        <v>2023</v>
      </c>
      <c r="AA342">
        <v>0</v>
      </c>
    </row>
    <row r="343" spans="1:27">
      <c r="A343" t="s">
        <v>4911</v>
      </c>
      <c r="B343" t="s">
        <v>4912</v>
      </c>
      <c r="C343" t="s">
        <v>254</v>
      </c>
      <c r="D343" t="s">
        <v>521</v>
      </c>
      <c r="E343" t="s">
        <v>4913</v>
      </c>
      <c r="F343">
        <v>9993226302</v>
      </c>
      <c r="G343" t="s">
        <v>76</v>
      </c>
      <c r="H343" t="s">
        <v>4779</v>
      </c>
      <c r="I343" t="s">
        <v>4824</v>
      </c>
      <c r="J343" t="s">
        <v>4829</v>
      </c>
      <c r="K343" s="1">
        <v>45081</v>
      </c>
      <c r="L343">
        <v>59316</v>
      </c>
      <c r="M343" s="1">
        <v>45212</v>
      </c>
      <c r="N343" t="s">
        <v>4782</v>
      </c>
      <c r="O343">
        <v>198400</v>
      </c>
      <c r="P343">
        <v>3.1E-2</v>
      </c>
      <c r="Q343">
        <v>6150.4</v>
      </c>
      <c r="R343" t="s">
        <v>4798</v>
      </c>
      <c r="S343" t="s">
        <v>3348</v>
      </c>
      <c r="T343">
        <v>46</v>
      </c>
      <c r="U343" t="s">
        <v>4795</v>
      </c>
      <c r="V343">
        <v>33333.33</v>
      </c>
      <c r="W343">
        <v>139463.60999999999</v>
      </c>
      <c r="X343">
        <v>4.1840000000000002</v>
      </c>
      <c r="Y343" t="s">
        <v>4784</v>
      </c>
      <c r="Z343">
        <v>2023</v>
      </c>
      <c r="AA343">
        <v>1</v>
      </c>
    </row>
    <row r="344" spans="1:27">
      <c r="A344" t="s">
        <v>4911</v>
      </c>
      <c r="B344" t="s">
        <v>4912</v>
      </c>
      <c r="C344" t="s">
        <v>254</v>
      </c>
      <c r="D344" t="s">
        <v>521</v>
      </c>
      <c r="E344" t="s">
        <v>4913</v>
      </c>
      <c r="F344">
        <v>9993226302</v>
      </c>
      <c r="G344" t="s">
        <v>76</v>
      </c>
      <c r="H344" t="s">
        <v>4779</v>
      </c>
      <c r="I344" t="s">
        <v>4824</v>
      </c>
      <c r="J344" t="s">
        <v>4829</v>
      </c>
      <c r="K344" s="1">
        <v>45081</v>
      </c>
      <c r="L344">
        <v>59316</v>
      </c>
      <c r="M344" s="1">
        <v>45290</v>
      </c>
      <c r="N344" t="s">
        <v>4789</v>
      </c>
      <c r="O344">
        <v>21700</v>
      </c>
      <c r="P344">
        <v>7.8E-2</v>
      </c>
      <c r="Q344">
        <v>0</v>
      </c>
      <c r="R344" t="s">
        <v>4786</v>
      </c>
      <c r="S344" t="s">
        <v>3322</v>
      </c>
      <c r="T344">
        <v>14</v>
      </c>
      <c r="U344" t="s">
        <v>4795</v>
      </c>
      <c r="V344">
        <v>33333.33</v>
      </c>
      <c r="W344">
        <v>21972.63</v>
      </c>
      <c r="X344">
        <v>0.65900000000000003</v>
      </c>
      <c r="Y344" t="s">
        <v>4792</v>
      </c>
      <c r="Z344">
        <v>2023</v>
      </c>
      <c r="AA344">
        <v>0</v>
      </c>
    </row>
    <row r="345" spans="1:27">
      <c r="A345" t="s">
        <v>4911</v>
      </c>
      <c r="B345" t="s">
        <v>4912</v>
      </c>
      <c r="C345" t="s">
        <v>254</v>
      </c>
      <c r="D345" t="s">
        <v>521</v>
      </c>
      <c r="E345" t="s">
        <v>4913</v>
      </c>
      <c r="F345">
        <v>9993226302</v>
      </c>
      <c r="G345" t="s">
        <v>76</v>
      </c>
      <c r="H345" t="s">
        <v>4779</v>
      </c>
      <c r="I345" t="s">
        <v>4824</v>
      </c>
      <c r="J345" t="s">
        <v>4829</v>
      </c>
      <c r="K345" s="1">
        <v>45081</v>
      </c>
      <c r="L345">
        <v>59316</v>
      </c>
      <c r="M345" s="1">
        <v>45501</v>
      </c>
      <c r="N345" t="s">
        <v>4789</v>
      </c>
      <c r="O345">
        <v>46200</v>
      </c>
      <c r="P345">
        <v>0.11899999999999999</v>
      </c>
      <c r="Q345">
        <v>0</v>
      </c>
      <c r="R345" t="s">
        <v>4786</v>
      </c>
      <c r="S345" t="s">
        <v>3416</v>
      </c>
      <c r="T345">
        <v>54</v>
      </c>
      <c r="U345" t="s">
        <v>26</v>
      </c>
      <c r="V345">
        <v>33333.33</v>
      </c>
      <c r="W345">
        <v>53999.88</v>
      </c>
      <c r="X345">
        <v>1.62</v>
      </c>
      <c r="Y345" t="s">
        <v>4784</v>
      </c>
      <c r="Z345">
        <v>2024</v>
      </c>
      <c r="AA345">
        <v>0</v>
      </c>
    </row>
    <row r="346" spans="1:27">
      <c r="A346" t="s">
        <v>4911</v>
      </c>
      <c r="B346" t="s">
        <v>4912</v>
      </c>
      <c r="C346" t="s">
        <v>254</v>
      </c>
      <c r="D346" t="s">
        <v>521</v>
      </c>
      <c r="E346" t="s">
        <v>4913</v>
      </c>
      <c r="F346">
        <v>9993226302</v>
      </c>
      <c r="G346" t="s">
        <v>76</v>
      </c>
      <c r="H346" t="s">
        <v>4779</v>
      </c>
      <c r="I346" t="s">
        <v>4824</v>
      </c>
      <c r="J346" t="s">
        <v>4829</v>
      </c>
      <c r="K346" s="1">
        <v>45081</v>
      </c>
      <c r="L346">
        <v>59316</v>
      </c>
      <c r="M346" s="1">
        <v>45516</v>
      </c>
      <c r="N346" t="s">
        <v>4797</v>
      </c>
      <c r="O346">
        <v>202300</v>
      </c>
      <c r="P346">
        <v>6.6000000000000003E-2</v>
      </c>
      <c r="Q346">
        <v>0</v>
      </c>
      <c r="R346" t="s">
        <v>4798</v>
      </c>
      <c r="S346" t="s">
        <v>3348</v>
      </c>
      <c r="T346">
        <v>69</v>
      </c>
      <c r="U346" t="s">
        <v>4795</v>
      </c>
      <c r="V346">
        <v>33333.33</v>
      </c>
      <c r="W346">
        <v>160519.29999999999</v>
      </c>
      <c r="X346">
        <v>4.8159999999999998</v>
      </c>
      <c r="Y346" t="s">
        <v>4784</v>
      </c>
      <c r="Z346">
        <v>2024</v>
      </c>
      <c r="AA346">
        <v>0</v>
      </c>
    </row>
    <row r="347" spans="1:27">
      <c r="A347" t="s">
        <v>4911</v>
      </c>
      <c r="B347" t="s">
        <v>4912</v>
      </c>
      <c r="C347" t="s">
        <v>254</v>
      </c>
      <c r="D347" t="s">
        <v>521</v>
      </c>
      <c r="E347" t="s">
        <v>4913</v>
      </c>
      <c r="F347">
        <v>9993226302</v>
      </c>
      <c r="G347" t="s">
        <v>76</v>
      </c>
      <c r="H347" t="s">
        <v>4779</v>
      </c>
      <c r="I347" t="s">
        <v>4824</v>
      </c>
      <c r="J347" t="s">
        <v>4829</v>
      </c>
      <c r="K347" s="1">
        <v>45081</v>
      </c>
      <c r="L347">
        <v>59316</v>
      </c>
      <c r="M347" s="1">
        <v>45520</v>
      </c>
      <c r="N347" t="s">
        <v>4797</v>
      </c>
      <c r="O347">
        <v>114500</v>
      </c>
      <c r="P347">
        <v>4.9000000000000002E-2</v>
      </c>
      <c r="Q347">
        <v>0</v>
      </c>
      <c r="R347" t="s">
        <v>4790</v>
      </c>
      <c r="S347" t="s">
        <v>3411</v>
      </c>
      <c r="T347">
        <v>72</v>
      </c>
      <c r="U347" t="s">
        <v>4787</v>
      </c>
      <c r="V347">
        <v>33333.33</v>
      </c>
      <c r="W347">
        <v>95862.85</v>
      </c>
      <c r="X347">
        <v>2.8759999999999999</v>
      </c>
      <c r="Y347" t="s">
        <v>4784</v>
      </c>
      <c r="Z347">
        <v>2024</v>
      </c>
      <c r="AA347">
        <v>0</v>
      </c>
    </row>
    <row r="348" spans="1:27">
      <c r="A348" t="s">
        <v>4911</v>
      </c>
      <c r="B348" t="s">
        <v>4912</v>
      </c>
      <c r="C348" t="s">
        <v>254</v>
      </c>
      <c r="D348" t="s">
        <v>521</v>
      </c>
      <c r="E348" t="s">
        <v>4913</v>
      </c>
      <c r="F348">
        <v>9993226302</v>
      </c>
      <c r="G348" t="s">
        <v>76</v>
      </c>
      <c r="H348" t="s">
        <v>4779</v>
      </c>
      <c r="I348" t="s">
        <v>4824</v>
      </c>
      <c r="J348" t="s">
        <v>4829</v>
      </c>
      <c r="K348" s="1">
        <v>45081</v>
      </c>
      <c r="L348">
        <v>59316</v>
      </c>
      <c r="M348" s="1">
        <v>45543</v>
      </c>
      <c r="N348" t="s">
        <v>4797</v>
      </c>
      <c r="O348">
        <v>239600</v>
      </c>
      <c r="P348">
        <v>5.7000000000000002E-2</v>
      </c>
      <c r="Q348">
        <v>0</v>
      </c>
      <c r="R348" t="s">
        <v>4786</v>
      </c>
      <c r="S348" t="s">
        <v>3302</v>
      </c>
      <c r="T348">
        <v>87</v>
      </c>
      <c r="U348" t="s">
        <v>4796</v>
      </c>
      <c r="V348">
        <v>33333.33</v>
      </c>
      <c r="W348">
        <v>126713.24</v>
      </c>
      <c r="X348">
        <v>3.8010000000000002</v>
      </c>
      <c r="Y348" t="s">
        <v>4784</v>
      </c>
      <c r="Z348">
        <v>2024</v>
      </c>
      <c r="AA348">
        <v>0</v>
      </c>
    </row>
    <row r="349" spans="1:27">
      <c r="A349" t="s">
        <v>4911</v>
      </c>
      <c r="B349" t="s">
        <v>4912</v>
      </c>
      <c r="C349" t="s">
        <v>254</v>
      </c>
      <c r="D349" t="s">
        <v>521</v>
      </c>
      <c r="E349" t="s">
        <v>4913</v>
      </c>
      <c r="F349">
        <v>9993226302</v>
      </c>
      <c r="G349" t="s">
        <v>76</v>
      </c>
      <c r="H349" t="s">
        <v>4779</v>
      </c>
      <c r="I349" t="s">
        <v>4824</v>
      </c>
      <c r="J349" t="s">
        <v>4829</v>
      </c>
      <c r="K349" s="1">
        <v>45081</v>
      </c>
      <c r="L349">
        <v>59316</v>
      </c>
      <c r="M349" s="1">
        <v>45581</v>
      </c>
      <c r="N349" t="s">
        <v>4782</v>
      </c>
      <c r="O349">
        <v>53900</v>
      </c>
      <c r="P349">
        <v>4.8000000000000001E-2</v>
      </c>
      <c r="Q349">
        <v>2587.1999999999998</v>
      </c>
      <c r="R349" t="s">
        <v>4790</v>
      </c>
      <c r="S349" t="s">
        <v>3317</v>
      </c>
      <c r="T349">
        <v>27</v>
      </c>
      <c r="U349" t="s">
        <v>4796</v>
      </c>
      <c r="V349">
        <v>33333.33</v>
      </c>
      <c r="W349">
        <v>41071.53</v>
      </c>
      <c r="X349">
        <v>1.232</v>
      </c>
      <c r="Y349" t="s">
        <v>4784</v>
      </c>
      <c r="Z349">
        <v>2024</v>
      </c>
      <c r="AA349">
        <v>1</v>
      </c>
    </row>
    <row r="350" spans="1:27">
      <c r="A350" t="s">
        <v>4911</v>
      </c>
      <c r="B350" t="s">
        <v>4912</v>
      </c>
      <c r="C350" t="s">
        <v>254</v>
      </c>
      <c r="D350" t="s">
        <v>521</v>
      </c>
      <c r="E350" t="s">
        <v>4913</v>
      </c>
      <c r="F350">
        <v>9993226302</v>
      </c>
      <c r="G350" t="s">
        <v>76</v>
      </c>
      <c r="H350" t="s">
        <v>4779</v>
      </c>
      <c r="I350" t="s">
        <v>4824</v>
      </c>
      <c r="J350" t="s">
        <v>4829</v>
      </c>
      <c r="K350" s="1">
        <v>45081</v>
      </c>
      <c r="L350">
        <v>59316</v>
      </c>
      <c r="M350" s="1">
        <v>45617</v>
      </c>
      <c r="N350" t="s">
        <v>4782</v>
      </c>
      <c r="O350">
        <v>124200</v>
      </c>
      <c r="P350">
        <v>3.5000000000000003E-2</v>
      </c>
      <c r="Q350">
        <v>4347</v>
      </c>
      <c r="R350" t="s">
        <v>4783</v>
      </c>
      <c r="S350" t="s">
        <v>3302</v>
      </c>
      <c r="T350">
        <v>22</v>
      </c>
      <c r="U350" t="s">
        <v>4795</v>
      </c>
      <c r="V350">
        <v>33333.33</v>
      </c>
      <c r="W350">
        <v>158198.09</v>
      </c>
      <c r="X350">
        <v>4.7460000000000004</v>
      </c>
      <c r="Y350" t="s">
        <v>4784</v>
      </c>
      <c r="Z350">
        <v>2024</v>
      </c>
      <c r="AA350">
        <v>1</v>
      </c>
    </row>
    <row r="351" spans="1:27">
      <c r="A351" t="s">
        <v>4911</v>
      </c>
      <c r="B351" t="s">
        <v>4912</v>
      </c>
      <c r="C351" t="s">
        <v>254</v>
      </c>
      <c r="D351" t="s">
        <v>521</v>
      </c>
      <c r="E351" t="s">
        <v>4913</v>
      </c>
      <c r="F351">
        <v>9993226302</v>
      </c>
      <c r="G351" t="s">
        <v>76</v>
      </c>
      <c r="H351" t="s">
        <v>4779</v>
      </c>
      <c r="I351" t="s">
        <v>4824</v>
      </c>
      <c r="J351" t="s">
        <v>4829</v>
      </c>
      <c r="K351" s="1">
        <v>45081</v>
      </c>
      <c r="L351">
        <v>59316</v>
      </c>
      <c r="M351" s="1">
        <v>45646</v>
      </c>
      <c r="N351" t="s">
        <v>4789</v>
      </c>
      <c r="O351">
        <v>194400</v>
      </c>
      <c r="P351">
        <v>0.10299999999999999</v>
      </c>
      <c r="Q351">
        <v>0</v>
      </c>
      <c r="R351" t="s">
        <v>4788</v>
      </c>
      <c r="S351" t="s">
        <v>3411</v>
      </c>
      <c r="T351">
        <v>11</v>
      </c>
      <c r="U351" t="s">
        <v>4795</v>
      </c>
      <c r="V351">
        <v>33333.33</v>
      </c>
      <c r="W351">
        <v>245181.46</v>
      </c>
      <c r="X351">
        <v>7.3550000000000004</v>
      </c>
      <c r="Y351" t="s">
        <v>4784</v>
      </c>
      <c r="Z351">
        <v>2024</v>
      </c>
      <c r="AA351">
        <v>0</v>
      </c>
    </row>
    <row r="352" spans="1:27">
      <c r="A352" t="s">
        <v>4914</v>
      </c>
      <c r="B352" t="s">
        <v>2125</v>
      </c>
      <c r="C352" t="s">
        <v>428</v>
      </c>
      <c r="D352" t="s">
        <v>880</v>
      </c>
      <c r="E352" t="s">
        <v>4915</v>
      </c>
      <c r="F352">
        <v>9846621537</v>
      </c>
      <c r="G352" t="s">
        <v>24</v>
      </c>
      <c r="H352" t="s">
        <v>4833</v>
      </c>
      <c r="I352" t="s">
        <v>4824</v>
      </c>
      <c r="J352" t="s">
        <v>4809</v>
      </c>
      <c r="K352" s="1">
        <v>43250</v>
      </c>
      <c r="L352">
        <v>50400</v>
      </c>
      <c r="M352" s="1">
        <v>44651</v>
      </c>
      <c r="N352" t="s">
        <v>4782</v>
      </c>
      <c r="O352">
        <v>237100</v>
      </c>
      <c r="P352">
        <v>0.108</v>
      </c>
      <c r="Q352">
        <v>25606.799999999999</v>
      </c>
      <c r="R352" t="s">
        <v>4788</v>
      </c>
      <c r="S352" t="s">
        <v>3348</v>
      </c>
      <c r="T352">
        <v>69</v>
      </c>
      <c r="U352" t="s">
        <v>4795</v>
      </c>
      <c r="V352">
        <v>37500</v>
      </c>
      <c r="W352">
        <v>260807.92</v>
      </c>
      <c r="X352">
        <v>6.9550000000000001</v>
      </c>
      <c r="Y352" t="s">
        <v>4784</v>
      </c>
      <c r="Z352">
        <v>2022</v>
      </c>
      <c r="AA352">
        <v>1</v>
      </c>
    </row>
    <row r="353" spans="1:27">
      <c r="A353" t="s">
        <v>4914</v>
      </c>
      <c r="B353" t="s">
        <v>2125</v>
      </c>
      <c r="C353" t="s">
        <v>428</v>
      </c>
      <c r="D353" t="s">
        <v>880</v>
      </c>
      <c r="E353" t="s">
        <v>4915</v>
      </c>
      <c r="F353">
        <v>9846621537</v>
      </c>
      <c r="G353" t="s">
        <v>24</v>
      </c>
      <c r="H353" t="s">
        <v>4833</v>
      </c>
      <c r="I353" t="s">
        <v>4824</v>
      </c>
      <c r="J353" t="s">
        <v>4809</v>
      </c>
      <c r="K353" s="1">
        <v>43250</v>
      </c>
      <c r="L353">
        <v>50400</v>
      </c>
      <c r="M353" s="1">
        <v>44698</v>
      </c>
      <c r="N353" t="s">
        <v>4797</v>
      </c>
      <c r="O353">
        <v>195500</v>
      </c>
      <c r="P353">
        <v>9.5000000000000001E-2</v>
      </c>
      <c r="Q353">
        <v>0</v>
      </c>
      <c r="R353" t="s">
        <v>4786</v>
      </c>
      <c r="S353" t="s">
        <v>3322</v>
      </c>
      <c r="T353">
        <v>53</v>
      </c>
      <c r="U353" t="s">
        <v>4787</v>
      </c>
      <c r="V353">
        <v>37500</v>
      </c>
      <c r="W353">
        <v>272875.92</v>
      </c>
      <c r="X353">
        <v>7.2770000000000001</v>
      </c>
      <c r="Y353" t="s">
        <v>4784</v>
      </c>
      <c r="Z353">
        <v>2022</v>
      </c>
      <c r="AA353">
        <v>0</v>
      </c>
    </row>
    <row r="354" spans="1:27">
      <c r="A354" t="s">
        <v>4914</v>
      </c>
      <c r="B354" t="s">
        <v>2125</v>
      </c>
      <c r="C354" t="s">
        <v>428</v>
      </c>
      <c r="D354" t="s">
        <v>880</v>
      </c>
      <c r="E354" t="s">
        <v>4915</v>
      </c>
      <c r="F354">
        <v>9846621537</v>
      </c>
      <c r="G354" t="s">
        <v>24</v>
      </c>
      <c r="H354" t="s">
        <v>4833</v>
      </c>
      <c r="I354" t="s">
        <v>4824</v>
      </c>
      <c r="J354" t="s">
        <v>4809</v>
      </c>
      <c r="K354" s="1">
        <v>43250</v>
      </c>
      <c r="L354">
        <v>50400</v>
      </c>
      <c r="M354" s="1">
        <v>44718</v>
      </c>
      <c r="N354" t="s">
        <v>4782</v>
      </c>
      <c r="O354">
        <v>137200</v>
      </c>
      <c r="P354">
        <v>9.9000000000000005E-2</v>
      </c>
      <c r="Q354">
        <v>13582.8</v>
      </c>
      <c r="R354" t="s">
        <v>4788</v>
      </c>
      <c r="S354" t="s">
        <v>3322</v>
      </c>
      <c r="T354">
        <v>58</v>
      </c>
      <c r="U354" t="s">
        <v>4796</v>
      </c>
      <c r="V354">
        <v>37500</v>
      </c>
      <c r="W354">
        <v>99811.62</v>
      </c>
      <c r="X354">
        <v>2.6619999999999999</v>
      </c>
      <c r="Y354" t="s">
        <v>4784</v>
      </c>
      <c r="Z354">
        <v>2022</v>
      </c>
      <c r="AA354">
        <v>1</v>
      </c>
    </row>
    <row r="355" spans="1:27">
      <c r="A355" t="s">
        <v>4914</v>
      </c>
      <c r="B355" t="s">
        <v>2125</v>
      </c>
      <c r="C355" t="s">
        <v>428</v>
      </c>
      <c r="D355" t="s">
        <v>880</v>
      </c>
      <c r="E355" t="s">
        <v>4915</v>
      </c>
      <c r="F355">
        <v>9846621537</v>
      </c>
      <c r="G355" t="s">
        <v>24</v>
      </c>
      <c r="H355" t="s">
        <v>4833</v>
      </c>
      <c r="I355" t="s">
        <v>4824</v>
      </c>
      <c r="J355" t="s">
        <v>4809</v>
      </c>
      <c r="K355" s="1">
        <v>43250</v>
      </c>
      <c r="L355">
        <v>50400</v>
      </c>
      <c r="M355" s="1">
        <v>44854</v>
      </c>
      <c r="N355" t="s">
        <v>4789</v>
      </c>
      <c r="O355">
        <v>21800</v>
      </c>
      <c r="P355">
        <v>0.104</v>
      </c>
      <c r="Q355">
        <v>0</v>
      </c>
      <c r="R355" t="s">
        <v>4783</v>
      </c>
      <c r="S355" t="s">
        <v>3411</v>
      </c>
      <c r="T355">
        <v>32</v>
      </c>
      <c r="U355" t="s">
        <v>4795</v>
      </c>
      <c r="V355">
        <v>37500</v>
      </c>
      <c r="W355">
        <v>28760.14</v>
      </c>
      <c r="X355">
        <v>0.76700000000000002</v>
      </c>
      <c r="Y355" t="s">
        <v>4792</v>
      </c>
      <c r="Z355">
        <v>2022</v>
      </c>
      <c r="AA355">
        <v>0</v>
      </c>
    </row>
    <row r="356" spans="1:27">
      <c r="A356" t="s">
        <v>4914</v>
      </c>
      <c r="B356" t="s">
        <v>2125</v>
      </c>
      <c r="C356" t="s">
        <v>428</v>
      </c>
      <c r="D356" t="s">
        <v>880</v>
      </c>
      <c r="E356" t="s">
        <v>4915</v>
      </c>
      <c r="F356">
        <v>9846621537</v>
      </c>
      <c r="G356" t="s">
        <v>24</v>
      </c>
      <c r="H356" t="s">
        <v>4833</v>
      </c>
      <c r="I356" t="s">
        <v>4824</v>
      </c>
      <c r="J356" t="s">
        <v>4809</v>
      </c>
      <c r="K356" s="1">
        <v>43250</v>
      </c>
      <c r="L356">
        <v>50400</v>
      </c>
      <c r="M356" s="1">
        <v>45171</v>
      </c>
      <c r="N356" t="s">
        <v>4789</v>
      </c>
      <c r="O356">
        <v>165700</v>
      </c>
      <c r="P356">
        <v>0.104</v>
      </c>
      <c r="Q356">
        <v>0</v>
      </c>
      <c r="R356" t="s">
        <v>4798</v>
      </c>
      <c r="S356" t="s">
        <v>3310</v>
      </c>
      <c r="T356">
        <v>54</v>
      </c>
      <c r="U356" t="s">
        <v>4796</v>
      </c>
      <c r="V356">
        <v>37500</v>
      </c>
      <c r="W356">
        <v>109630.48</v>
      </c>
      <c r="X356">
        <v>2.923</v>
      </c>
      <c r="Y356" t="s">
        <v>4784</v>
      </c>
      <c r="Z356">
        <v>2023</v>
      </c>
      <c r="AA356">
        <v>0</v>
      </c>
    </row>
    <row r="357" spans="1:27">
      <c r="A357" t="s">
        <v>4914</v>
      </c>
      <c r="B357" t="s">
        <v>2125</v>
      </c>
      <c r="C357" t="s">
        <v>428</v>
      </c>
      <c r="D357" t="s">
        <v>880</v>
      </c>
      <c r="E357" t="s">
        <v>4915</v>
      </c>
      <c r="F357">
        <v>9846621537</v>
      </c>
      <c r="G357" t="s">
        <v>24</v>
      </c>
      <c r="H357" t="s">
        <v>4833</v>
      </c>
      <c r="I357" t="s">
        <v>4824</v>
      </c>
      <c r="J357" t="s">
        <v>4809</v>
      </c>
      <c r="K357" s="1">
        <v>43250</v>
      </c>
      <c r="L357">
        <v>50400</v>
      </c>
      <c r="M357" s="1">
        <v>45197</v>
      </c>
      <c r="N357" t="s">
        <v>4785</v>
      </c>
      <c r="O357">
        <v>58200</v>
      </c>
      <c r="P357">
        <v>7.4999999999999997E-2</v>
      </c>
      <c r="Q357">
        <v>0</v>
      </c>
      <c r="R357" t="s">
        <v>4794</v>
      </c>
      <c r="S357" t="s">
        <v>3322</v>
      </c>
      <c r="T357">
        <v>36</v>
      </c>
      <c r="U357" t="s">
        <v>4796</v>
      </c>
      <c r="V357">
        <v>37500</v>
      </c>
      <c r="W357">
        <v>29489.88</v>
      </c>
      <c r="X357">
        <v>0.78600000000000003</v>
      </c>
      <c r="Y357" t="s">
        <v>4792</v>
      </c>
      <c r="Z357">
        <v>2023</v>
      </c>
      <c r="AA357">
        <v>0</v>
      </c>
    </row>
    <row r="358" spans="1:27">
      <c r="A358" t="s">
        <v>4914</v>
      </c>
      <c r="B358" t="s">
        <v>2125</v>
      </c>
      <c r="C358" t="s">
        <v>428</v>
      </c>
      <c r="D358" t="s">
        <v>880</v>
      </c>
      <c r="E358" t="s">
        <v>4915</v>
      </c>
      <c r="F358">
        <v>9846621537</v>
      </c>
      <c r="G358" t="s">
        <v>24</v>
      </c>
      <c r="H358" t="s">
        <v>4833</v>
      </c>
      <c r="I358" t="s">
        <v>4824</v>
      </c>
      <c r="J358" t="s">
        <v>4809</v>
      </c>
      <c r="K358" s="1">
        <v>43250</v>
      </c>
      <c r="L358">
        <v>50400</v>
      </c>
      <c r="M358" s="1">
        <v>45358</v>
      </c>
      <c r="N358" t="s">
        <v>4782</v>
      </c>
      <c r="O358">
        <v>39100</v>
      </c>
      <c r="P358">
        <v>0.108</v>
      </c>
      <c r="Q358">
        <v>4222.8</v>
      </c>
      <c r="R358" t="s">
        <v>4788</v>
      </c>
      <c r="S358" t="s">
        <v>3322</v>
      </c>
      <c r="T358">
        <v>86</v>
      </c>
      <c r="U358" t="s">
        <v>26</v>
      </c>
      <c r="V358">
        <v>37500</v>
      </c>
      <c r="W358">
        <v>25137.51</v>
      </c>
      <c r="X358">
        <v>0.67</v>
      </c>
      <c r="Y358" t="s">
        <v>4792</v>
      </c>
      <c r="Z358">
        <v>2024</v>
      </c>
      <c r="AA358">
        <v>1</v>
      </c>
    </row>
    <row r="359" spans="1:27">
      <c r="A359" t="s">
        <v>4914</v>
      </c>
      <c r="B359" t="s">
        <v>2125</v>
      </c>
      <c r="C359" t="s">
        <v>428</v>
      </c>
      <c r="D359" t="s">
        <v>880</v>
      </c>
      <c r="E359" t="s">
        <v>4915</v>
      </c>
      <c r="F359">
        <v>9846621537</v>
      </c>
      <c r="G359" t="s">
        <v>24</v>
      </c>
      <c r="H359" t="s">
        <v>4833</v>
      </c>
      <c r="I359" t="s">
        <v>4824</v>
      </c>
      <c r="J359" t="s">
        <v>4809</v>
      </c>
      <c r="K359" s="1">
        <v>43250</v>
      </c>
      <c r="L359">
        <v>50400</v>
      </c>
      <c r="M359" s="1">
        <v>45446</v>
      </c>
      <c r="N359" t="s">
        <v>4789</v>
      </c>
      <c r="O359">
        <v>105800</v>
      </c>
      <c r="P359">
        <v>0.112</v>
      </c>
      <c r="Q359">
        <v>0</v>
      </c>
      <c r="R359" t="s">
        <v>4786</v>
      </c>
      <c r="S359" t="s">
        <v>3348</v>
      </c>
      <c r="T359">
        <v>73</v>
      </c>
      <c r="U359" t="s">
        <v>4787</v>
      </c>
      <c r="V359">
        <v>37500</v>
      </c>
      <c r="W359">
        <v>90373.96</v>
      </c>
      <c r="X359">
        <v>2.41</v>
      </c>
      <c r="Y359" t="s">
        <v>4784</v>
      </c>
      <c r="Z359">
        <v>2024</v>
      </c>
      <c r="AA359">
        <v>0</v>
      </c>
    </row>
    <row r="360" spans="1:27">
      <c r="A360" t="s">
        <v>4914</v>
      </c>
      <c r="B360" t="s">
        <v>2125</v>
      </c>
      <c r="C360" t="s">
        <v>428</v>
      </c>
      <c r="D360" t="s">
        <v>880</v>
      </c>
      <c r="E360" t="s">
        <v>4915</v>
      </c>
      <c r="F360">
        <v>9846621537</v>
      </c>
      <c r="G360" t="s">
        <v>24</v>
      </c>
      <c r="H360" t="s">
        <v>4833</v>
      </c>
      <c r="I360" t="s">
        <v>4824</v>
      </c>
      <c r="J360" t="s">
        <v>4809</v>
      </c>
      <c r="K360" s="1">
        <v>43250</v>
      </c>
      <c r="L360">
        <v>50400</v>
      </c>
      <c r="M360" s="1">
        <v>45567</v>
      </c>
      <c r="N360" t="s">
        <v>4789</v>
      </c>
      <c r="O360">
        <v>126300</v>
      </c>
      <c r="P360">
        <v>8.2000000000000003E-2</v>
      </c>
      <c r="Q360">
        <v>0</v>
      </c>
      <c r="R360" t="s">
        <v>4794</v>
      </c>
      <c r="S360" t="s">
        <v>3302</v>
      </c>
      <c r="T360">
        <v>37</v>
      </c>
      <c r="U360" t="s">
        <v>26</v>
      </c>
      <c r="V360">
        <v>37500</v>
      </c>
      <c r="W360">
        <v>102568.69</v>
      </c>
      <c r="X360">
        <v>2.7349999999999999</v>
      </c>
      <c r="Y360" t="s">
        <v>4784</v>
      </c>
      <c r="Z360">
        <v>2024</v>
      </c>
      <c r="AA360">
        <v>0</v>
      </c>
    </row>
    <row r="361" spans="1:27">
      <c r="A361" t="s">
        <v>4914</v>
      </c>
      <c r="B361" t="s">
        <v>2125</v>
      </c>
      <c r="C361" t="s">
        <v>428</v>
      </c>
      <c r="D361" t="s">
        <v>880</v>
      </c>
      <c r="E361" t="s">
        <v>4915</v>
      </c>
      <c r="F361">
        <v>9846621537</v>
      </c>
      <c r="G361" t="s">
        <v>24</v>
      </c>
      <c r="H361" t="s">
        <v>4833</v>
      </c>
      <c r="I361" t="s">
        <v>4824</v>
      </c>
      <c r="J361" t="s">
        <v>4809</v>
      </c>
      <c r="K361" s="1">
        <v>43250</v>
      </c>
      <c r="L361">
        <v>50400</v>
      </c>
      <c r="M361" s="1">
        <v>45598</v>
      </c>
      <c r="N361" t="s">
        <v>4782</v>
      </c>
      <c r="O361">
        <v>126200</v>
      </c>
      <c r="P361">
        <v>3.2000000000000001E-2</v>
      </c>
      <c r="Q361">
        <v>4038.4</v>
      </c>
      <c r="R361" t="s">
        <v>4794</v>
      </c>
      <c r="S361" t="s">
        <v>3348</v>
      </c>
      <c r="T361">
        <v>87</v>
      </c>
      <c r="U361" t="s">
        <v>26</v>
      </c>
      <c r="V361">
        <v>37500</v>
      </c>
      <c r="W361">
        <v>106391.65</v>
      </c>
      <c r="X361">
        <v>2.8370000000000002</v>
      </c>
      <c r="Y361" t="s">
        <v>4784</v>
      </c>
      <c r="Z361">
        <v>2024</v>
      </c>
      <c r="AA361">
        <v>1</v>
      </c>
    </row>
    <row r="362" spans="1:27">
      <c r="A362" t="s">
        <v>4916</v>
      </c>
      <c r="B362" t="s">
        <v>4917</v>
      </c>
      <c r="C362" t="s">
        <v>1180</v>
      </c>
      <c r="D362" t="s">
        <v>974</v>
      </c>
      <c r="E362" t="s">
        <v>4918</v>
      </c>
      <c r="F362">
        <v>9624771103</v>
      </c>
      <c r="G362" t="s">
        <v>24</v>
      </c>
      <c r="H362" t="s">
        <v>4833</v>
      </c>
      <c r="I362" t="s">
        <v>4780</v>
      </c>
      <c r="J362" t="s">
        <v>4829</v>
      </c>
      <c r="K362" s="1">
        <v>45013</v>
      </c>
      <c r="L362">
        <v>31756</v>
      </c>
      <c r="M362" s="1">
        <v>45111</v>
      </c>
      <c r="N362" t="s">
        <v>4797</v>
      </c>
      <c r="O362">
        <v>49000</v>
      </c>
      <c r="P362">
        <v>9.5000000000000001E-2</v>
      </c>
      <c r="Q362">
        <v>0</v>
      </c>
      <c r="R362" t="s">
        <v>4791</v>
      </c>
      <c r="S362" t="s">
        <v>3322</v>
      </c>
      <c r="T362">
        <v>66</v>
      </c>
      <c r="U362" t="s">
        <v>4787</v>
      </c>
      <c r="V362">
        <v>37500</v>
      </c>
      <c r="W362">
        <v>60469.03</v>
      </c>
      <c r="X362">
        <v>1.613</v>
      </c>
      <c r="Y362" t="s">
        <v>4784</v>
      </c>
      <c r="Z362">
        <v>2023</v>
      </c>
      <c r="AA362">
        <v>0</v>
      </c>
    </row>
    <row r="363" spans="1:27">
      <c r="A363" t="s">
        <v>4916</v>
      </c>
      <c r="B363" t="s">
        <v>4917</v>
      </c>
      <c r="C363" t="s">
        <v>1180</v>
      </c>
      <c r="D363" t="s">
        <v>974</v>
      </c>
      <c r="E363" t="s">
        <v>4918</v>
      </c>
      <c r="F363">
        <v>9624771103</v>
      </c>
      <c r="G363" t="s">
        <v>24</v>
      </c>
      <c r="H363" t="s">
        <v>4833</v>
      </c>
      <c r="I363" t="s">
        <v>4780</v>
      </c>
      <c r="J363" t="s">
        <v>4829</v>
      </c>
      <c r="K363" s="1">
        <v>45013</v>
      </c>
      <c r="L363">
        <v>31756</v>
      </c>
      <c r="M363" s="1">
        <v>45195</v>
      </c>
      <c r="N363" t="s">
        <v>4782</v>
      </c>
      <c r="O363">
        <v>192300</v>
      </c>
      <c r="P363">
        <v>3.3000000000000002E-2</v>
      </c>
      <c r="Q363">
        <v>6345.9</v>
      </c>
      <c r="R363" t="s">
        <v>4794</v>
      </c>
      <c r="S363" t="s">
        <v>3416</v>
      </c>
      <c r="T363">
        <v>28</v>
      </c>
      <c r="U363" t="s">
        <v>26</v>
      </c>
      <c r="V363">
        <v>37500</v>
      </c>
      <c r="W363">
        <v>216735.2</v>
      </c>
      <c r="X363">
        <v>5.78</v>
      </c>
      <c r="Y363" t="s">
        <v>4784</v>
      </c>
      <c r="Z363">
        <v>2023</v>
      </c>
      <c r="AA363">
        <v>1</v>
      </c>
    </row>
    <row r="364" spans="1:27">
      <c r="A364" t="s">
        <v>4916</v>
      </c>
      <c r="B364" t="s">
        <v>4917</v>
      </c>
      <c r="C364" t="s">
        <v>1180</v>
      </c>
      <c r="D364" t="s">
        <v>974</v>
      </c>
      <c r="E364" t="s">
        <v>4918</v>
      </c>
      <c r="F364">
        <v>9624771103</v>
      </c>
      <c r="G364" t="s">
        <v>24</v>
      </c>
      <c r="H364" t="s">
        <v>4833</v>
      </c>
      <c r="I364" t="s">
        <v>4780</v>
      </c>
      <c r="J364" t="s">
        <v>4829</v>
      </c>
      <c r="K364" s="1">
        <v>45013</v>
      </c>
      <c r="L364">
        <v>31756</v>
      </c>
      <c r="M364" s="1">
        <v>45217</v>
      </c>
      <c r="N364" t="s">
        <v>4782</v>
      </c>
      <c r="O364">
        <v>9200</v>
      </c>
      <c r="P364">
        <v>6.8000000000000005E-2</v>
      </c>
      <c r="Q364">
        <v>625.6</v>
      </c>
      <c r="R364" t="s">
        <v>4791</v>
      </c>
      <c r="S364" t="s">
        <v>3317</v>
      </c>
      <c r="T364">
        <v>25</v>
      </c>
      <c r="U364" t="s">
        <v>4787</v>
      </c>
      <c r="V364">
        <v>37500</v>
      </c>
      <c r="W364">
        <v>6426.3</v>
      </c>
      <c r="X364">
        <v>0.17100000000000001</v>
      </c>
      <c r="Y364" t="s">
        <v>4792</v>
      </c>
      <c r="Z364">
        <v>2023</v>
      </c>
      <c r="AA364">
        <v>1</v>
      </c>
    </row>
    <row r="365" spans="1:27">
      <c r="A365" t="s">
        <v>4916</v>
      </c>
      <c r="B365" t="s">
        <v>4917</v>
      </c>
      <c r="C365" t="s">
        <v>1180</v>
      </c>
      <c r="D365" t="s">
        <v>974</v>
      </c>
      <c r="E365" t="s">
        <v>4918</v>
      </c>
      <c r="F365">
        <v>9624771103</v>
      </c>
      <c r="G365" t="s">
        <v>24</v>
      </c>
      <c r="H365" t="s">
        <v>4833</v>
      </c>
      <c r="I365" t="s">
        <v>4780</v>
      </c>
      <c r="J365" t="s">
        <v>4829</v>
      </c>
      <c r="K365" s="1">
        <v>45013</v>
      </c>
      <c r="L365">
        <v>31756</v>
      </c>
      <c r="M365" s="1">
        <v>45298</v>
      </c>
      <c r="N365" t="s">
        <v>4782</v>
      </c>
      <c r="O365">
        <v>49700</v>
      </c>
      <c r="P365">
        <v>0.105</v>
      </c>
      <c r="Q365">
        <v>5218.5</v>
      </c>
      <c r="R365" t="s">
        <v>4783</v>
      </c>
      <c r="S365" t="s">
        <v>3302</v>
      </c>
      <c r="T365">
        <v>23</v>
      </c>
      <c r="U365" t="s">
        <v>4795</v>
      </c>
      <c r="V365">
        <v>37500</v>
      </c>
      <c r="W365">
        <v>30403.29</v>
      </c>
      <c r="X365">
        <v>0.81100000000000005</v>
      </c>
      <c r="Y365" t="s">
        <v>4792</v>
      </c>
      <c r="Z365">
        <v>2024</v>
      </c>
      <c r="AA365">
        <v>1</v>
      </c>
    </row>
    <row r="366" spans="1:27">
      <c r="A366" t="s">
        <v>4916</v>
      </c>
      <c r="B366" t="s">
        <v>4917</v>
      </c>
      <c r="C366" t="s">
        <v>1180</v>
      </c>
      <c r="D366" t="s">
        <v>974</v>
      </c>
      <c r="E366" t="s">
        <v>4918</v>
      </c>
      <c r="F366">
        <v>9624771103</v>
      </c>
      <c r="G366" t="s">
        <v>24</v>
      </c>
      <c r="H366" t="s">
        <v>4833</v>
      </c>
      <c r="I366" t="s">
        <v>4780</v>
      </c>
      <c r="J366" t="s">
        <v>4829</v>
      </c>
      <c r="K366" s="1">
        <v>45013</v>
      </c>
      <c r="L366">
        <v>31756</v>
      </c>
      <c r="M366" s="1">
        <v>45343</v>
      </c>
      <c r="N366" t="s">
        <v>4785</v>
      </c>
      <c r="O366">
        <v>169300</v>
      </c>
      <c r="P366">
        <v>4.7E-2</v>
      </c>
      <c r="Q366">
        <v>0</v>
      </c>
      <c r="R366" t="s">
        <v>4786</v>
      </c>
      <c r="S366" t="s">
        <v>3416</v>
      </c>
      <c r="T366">
        <v>51</v>
      </c>
      <c r="U366" t="s">
        <v>26</v>
      </c>
      <c r="V366">
        <v>37500</v>
      </c>
      <c r="W366">
        <v>103056.9</v>
      </c>
      <c r="X366">
        <v>2.7480000000000002</v>
      </c>
      <c r="Y366" t="s">
        <v>4784</v>
      </c>
      <c r="Z366">
        <v>2024</v>
      </c>
      <c r="AA366">
        <v>0</v>
      </c>
    </row>
    <row r="367" spans="1:27">
      <c r="A367" t="s">
        <v>4916</v>
      </c>
      <c r="B367" t="s">
        <v>4917</v>
      </c>
      <c r="C367" t="s">
        <v>1180</v>
      </c>
      <c r="D367" t="s">
        <v>974</v>
      </c>
      <c r="E367" t="s">
        <v>4918</v>
      </c>
      <c r="F367">
        <v>9624771103</v>
      </c>
      <c r="G367" t="s">
        <v>24</v>
      </c>
      <c r="H367" t="s">
        <v>4833</v>
      </c>
      <c r="I367" t="s">
        <v>4780</v>
      </c>
      <c r="J367" t="s">
        <v>4829</v>
      </c>
      <c r="K367" s="1">
        <v>45013</v>
      </c>
      <c r="L367">
        <v>31756</v>
      </c>
      <c r="M367" s="1">
        <v>45413</v>
      </c>
      <c r="N367" t="s">
        <v>4782</v>
      </c>
      <c r="O367">
        <v>25300</v>
      </c>
      <c r="P367">
        <v>0.09</v>
      </c>
      <c r="Q367">
        <v>2277</v>
      </c>
      <c r="R367" t="s">
        <v>4791</v>
      </c>
      <c r="S367" t="s">
        <v>3348</v>
      </c>
      <c r="T367">
        <v>35</v>
      </c>
      <c r="U367" t="s">
        <v>4796</v>
      </c>
      <c r="V367">
        <v>37500</v>
      </c>
      <c r="W367">
        <v>22683.78</v>
      </c>
      <c r="X367">
        <v>0.60499999999999998</v>
      </c>
      <c r="Y367" t="s">
        <v>4792</v>
      </c>
      <c r="Z367">
        <v>2024</v>
      </c>
      <c r="AA367">
        <v>1</v>
      </c>
    </row>
    <row r="368" spans="1:27">
      <c r="A368" t="s">
        <v>4916</v>
      </c>
      <c r="B368" t="s">
        <v>4917</v>
      </c>
      <c r="C368" t="s">
        <v>1180</v>
      </c>
      <c r="D368" t="s">
        <v>974</v>
      </c>
      <c r="E368" t="s">
        <v>4918</v>
      </c>
      <c r="F368">
        <v>9624771103</v>
      </c>
      <c r="G368" t="s">
        <v>24</v>
      </c>
      <c r="H368" t="s">
        <v>4833</v>
      </c>
      <c r="I368" t="s">
        <v>4780</v>
      </c>
      <c r="J368" t="s">
        <v>4829</v>
      </c>
      <c r="K368" s="1">
        <v>45013</v>
      </c>
      <c r="L368">
        <v>31756</v>
      </c>
      <c r="M368" s="1">
        <v>45421</v>
      </c>
      <c r="N368" t="s">
        <v>4782</v>
      </c>
      <c r="O368">
        <v>109000</v>
      </c>
      <c r="P368">
        <v>3.3000000000000002E-2</v>
      </c>
      <c r="Q368">
        <v>3597</v>
      </c>
      <c r="R368" t="s">
        <v>4788</v>
      </c>
      <c r="S368" t="s">
        <v>3302</v>
      </c>
      <c r="T368">
        <v>18</v>
      </c>
      <c r="U368" t="s">
        <v>4795</v>
      </c>
      <c r="V368">
        <v>37500</v>
      </c>
      <c r="W368">
        <v>120256</v>
      </c>
      <c r="X368">
        <v>3.2069999999999999</v>
      </c>
      <c r="Y368" t="s">
        <v>4784</v>
      </c>
      <c r="Z368">
        <v>2024</v>
      </c>
      <c r="AA368">
        <v>1</v>
      </c>
    </row>
    <row r="369" spans="1:27">
      <c r="A369" t="s">
        <v>4916</v>
      </c>
      <c r="B369" t="s">
        <v>4917</v>
      </c>
      <c r="C369" t="s">
        <v>1180</v>
      </c>
      <c r="D369" t="s">
        <v>974</v>
      </c>
      <c r="E369" t="s">
        <v>4918</v>
      </c>
      <c r="F369">
        <v>9624771103</v>
      </c>
      <c r="G369" t="s">
        <v>24</v>
      </c>
      <c r="H369" t="s">
        <v>4833</v>
      </c>
      <c r="I369" t="s">
        <v>4780</v>
      </c>
      <c r="J369" t="s">
        <v>4829</v>
      </c>
      <c r="K369" s="1">
        <v>45013</v>
      </c>
      <c r="L369">
        <v>31756</v>
      </c>
      <c r="M369" s="1">
        <v>45488</v>
      </c>
      <c r="N369" t="s">
        <v>4789</v>
      </c>
      <c r="O369">
        <v>125900</v>
      </c>
      <c r="P369">
        <v>3.5999999999999997E-2</v>
      </c>
      <c r="Q369">
        <v>0</v>
      </c>
      <c r="R369" t="s">
        <v>4783</v>
      </c>
      <c r="S369" t="s">
        <v>3348</v>
      </c>
      <c r="T369">
        <v>32</v>
      </c>
      <c r="U369" t="s">
        <v>26</v>
      </c>
      <c r="V369">
        <v>37500</v>
      </c>
      <c r="W369">
        <v>78842.38</v>
      </c>
      <c r="X369">
        <v>2.1019999999999999</v>
      </c>
      <c r="Y369" t="s">
        <v>4784</v>
      </c>
      <c r="Z369">
        <v>2024</v>
      </c>
      <c r="AA369">
        <v>0</v>
      </c>
    </row>
    <row r="370" spans="1:27">
      <c r="A370" t="s">
        <v>4916</v>
      </c>
      <c r="B370" t="s">
        <v>4917</v>
      </c>
      <c r="C370" t="s">
        <v>1180</v>
      </c>
      <c r="D370" t="s">
        <v>974</v>
      </c>
      <c r="E370" t="s">
        <v>4918</v>
      </c>
      <c r="F370">
        <v>9624771103</v>
      </c>
      <c r="G370" t="s">
        <v>24</v>
      </c>
      <c r="H370" t="s">
        <v>4833</v>
      </c>
      <c r="I370" t="s">
        <v>4780</v>
      </c>
      <c r="J370" t="s">
        <v>4829</v>
      </c>
      <c r="K370" s="1">
        <v>45013</v>
      </c>
      <c r="L370">
        <v>31756</v>
      </c>
      <c r="M370" s="1">
        <v>45548</v>
      </c>
      <c r="N370" t="s">
        <v>4797</v>
      </c>
      <c r="O370">
        <v>178700</v>
      </c>
      <c r="P370">
        <v>9.4E-2</v>
      </c>
      <c r="Q370">
        <v>0</v>
      </c>
      <c r="R370" t="s">
        <v>4791</v>
      </c>
      <c r="S370" t="s">
        <v>3322</v>
      </c>
      <c r="T370">
        <v>89</v>
      </c>
      <c r="U370" t="s">
        <v>4795</v>
      </c>
      <c r="V370">
        <v>37500</v>
      </c>
      <c r="W370">
        <v>160756.38</v>
      </c>
      <c r="X370">
        <v>4.2869999999999999</v>
      </c>
      <c r="Y370" t="s">
        <v>4784</v>
      </c>
      <c r="Z370">
        <v>2024</v>
      </c>
      <c r="AA370">
        <v>0</v>
      </c>
    </row>
    <row r="371" spans="1:27">
      <c r="A371" t="s">
        <v>4916</v>
      </c>
      <c r="B371" t="s">
        <v>4917</v>
      </c>
      <c r="C371" t="s">
        <v>1180</v>
      </c>
      <c r="D371" t="s">
        <v>974</v>
      </c>
      <c r="E371" t="s">
        <v>4918</v>
      </c>
      <c r="F371">
        <v>9624771103</v>
      </c>
      <c r="G371" t="s">
        <v>24</v>
      </c>
      <c r="H371" t="s">
        <v>4833</v>
      </c>
      <c r="I371" t="s">
        <v>4780</v>
      </c>
      <c r="J371" t="s">
        <v>4829</v>
      </c>
      <c r="K371" s="1">
        <v>45013</v>
      </c>
      <c r="L371">
        <v>31756</v>
      </c>
      <c r="M371" s="1">
        <v>45625</v>
      </c>
      <c r="N371" t="s">
        <v>4782</v>
      </c>
      <c r="O371">
        <v>17800</v>
      </c>
      <c r="P371">
        <v>0.1</v>
      </c>
      <c r="Q371">
        <v>1780</v>
      </c>
      <c r="R371" t="s">
        <v>4798</v>
      </c>
      <c r="S371" t="s">
        <v>3310</v>
      </c>
      <c r="T371">
        <v>32</v>
      </c>
      <c r="U371" t="s">
        <v>4795</v>
      </c>
      <c r="V371">
        <v>37500</v>
      </c>
      <c r="W371">
        <v>23458.28</v>
      </c>
      <c r="X371">
        <v>0.626</v>
      </c>
      <c r="Y371" t="s">
        <v>4792</v>
      </c>
      <c r="Z371">
        <v>2024</v>
      </c>
      <c r="AA371">
        <v>1</v>
      </c>
    </row>
    <row r="372" spans="1:27">
      <c r="A372" t="s">
        <v>4919</v>
      </c>
      <c r="B372" t="s">
        <v>4920</v>
      </c>
      <c r="C372" t="s">
        <v>428</v>
      </c>
      <c r="D372" t="s">
        <v>521</v>
      </c>
      <c r="E372" t="s">
        <v>4921</v>
      </c>
      <c r="F372">
        <v>9753849689</v>
      </c>
      <c r="G372" t="s">
        <v>35</v>
      </c>
      <c r="H372" t="s">
        <v>4779</v>
      </c>
      <c r="I372" t="s">
        <v>4844</v>
      </c>
      <c r="J372" t="s">
        <v>4809</v>
      </c>
      <c r="K372" s="1">
        <v>43889</v>
      </c>
      <c r="L372">
        <v>43130</v>
      </c>
      <c r="M372" s="1">
        <v>44756</v>
      </c>
      <c r="N372" t="s">
        <v>4785</v>
      </c>
      <c r="O372">
        <v>90000</v>
      </c>
      <c r="P372">
        <v>0.11799999999999999</v>
      </c>
      <c r="Q372">
        <v>0</v>
      </c>
      <c r="R372" t="s">
        <v>4794</v>
      </c>
      <c r="S372" t="s">
        <v>3322</v>
      </c>
      <c r="T372">
        <v>87</v>
      </c>
      <c r="U372" t="s">
        <v>4796</v>
      </c>
      <c r="V372">
        <v>35000</v>
      </c>
      <c r="W372">
        <v>71895.77</v>
      </c>
      <c r="X372">
        <v>2.0539999999999998</v>
      </c>
      <c r="Y372" t="s">
        <v>4784</v>
      </c>
      <c r="Z372">
        <v>2022</v>
      </c>
      <c r="AA372">
        <v>0</v>
      </c>
    </row>
    <row r="373" spans="1:27">
      <c r="A373" t="s">
        <v>4919</v>
      </c>
      <c r="B373" t="s">
        <v>4920</v>
      </c>
      <c r="C373" t="s">
        <v>428</v>
      </c>
      <c r="D373" t="s">
        <v>521</v>
      </c>
      <c r="E373" t="s">
        <v>4921</v>
      </c>
      <c r="F373">
        <v>9753849689</v>
      </c>
      <c r="G373" t="s">
        <v>35</v>
      </c>
      <c r="H373" t="s">
        <v>4779</v>
      </c>
      <c r="I373" t="s">
        <v>4844</v>
      </c>
      <c r="J373" t="s">
        <v>4809</v>
      </c>
      <c r="K373" s="1">
        <v>43889</v>
      </c>
      <c r="L373">
        <v>43130</v>
      </c>
      <c r="M373" s="1">
        <v>44997</v>
      </c>
      <c r="N373" t="s">
        <v>4789</v>
      </c>
      <c r="O373">
        <v>62700</v>
      </c>
      <c r="P373">
        <v>3.5999999999999997E-2</v>
      </c>
      <c r="Q373">
        <v>0</v>
      </c>
      <c r="R373" t="s">
        <v>4798</v>
      </c>
      <c r="S373" t="s">
        <v>3317</v>
      </c>
      <c r="T373">
        <v>84</v>
      </c>
      <c r="U373" t="s">
        <v>4795</v>
      </c>
      <c r="V373">
        <v>35000</v>
      </c>
      <c r="W373">
        <v>33829.47</v>
      </c>
      <c r="X373">
        <v>0.96699999999999997</v>
      </c>
      <c r="Y373" t="s">
        <v>4793</v>
      </c>
      <c r="Z373">
        <v>2023</v>
      </c>
      <c r="AA373">
        <v>0</v>
      </c>
    </row>
    <row r="374" spans="1:27">
      <c r="A374" t="s">
        <v>4919</v>
      </c>
      <c r="B374" t="s">
        <v>4920</v>
      </c>
      <c r="C374" t="s">
        <v>428</v>
      </c>
      <c r="D374" t="s">
        <v>521</v>
      </c>
      <c r="E374" t="s">
        <v>4921</v>
      </c>
      <c r="F374">
        <v>9753849689</v>
      </c>
      <c r="G374" t="s">
        <v>35</v>
      </c>
      <c r="H374" t="s">
        <v>4779</v>
      </c>
      <c r="I374" t="s">
        <v>4844</v>
      </c>
      <c r="J374" t="s">
        <v>4809</v>
      </c>
      <c r="K374" s="1">
        <v>43889</v>
      </c>
      <c r="L374">
        <v>43130</v>
      </c>
      <c r="M374" s="1">
        <v>44999</v>
      </c>
      <c r="N374" t="s">
        <v>4782</v>
      </c>
      <c r="O374">
        <v>98500</v>
      </c>
      <c r="P374">
        <v>5.8999999999999997E-2</v>
      </c>
      <c r="Q374">
        <v>5811.5</v>
      </c>
      <c r="R374" t="s">
        <v>4791</v>
      </c>
      <c r="S374" t="s">
        <v>3322</v>
      </c>
      <c r="T374">
        <v>84</v>
      </c>
      <c r="U374" t="s">
        <v>4795</v>
      </c>
      <c r="V374">
        <v>35000</v>
      </c>
      <c r="W374">
        <v>50312.15</v>
      </c>
      <c r="X374">
        <v>1.4370000000000001</v>
      </c>
      <c r="Y374" t="s">
        <v>4784</v>
      </c>
      <c r="Z374">
        <v>2023</v>
      </c>
      <c r="AA374">
        <v>1</v>
      </c>
    </row>
    <row r="375" spans="1:27">
      <c r="A375" t="s">
        <v>4919</v>
      </c>
      <c r="B375" t="s">
        <v>4920</v>
      </c>
      <c r="C375" t="s">
        <v>428</v>
      </c>
      <c r="D375" t="s">
        <v>521</v>
      </c>
      <c r="E375" t="s">
        <v>4921</v>
      </c>
      <c r="F375">
        <v>9753849689</v>
      </c>
      <c r="G375" t="s">
        <v>35</v>
      </c>
      <c r="H375" t="s">
        <v>4779</v>
      </c>
      <c r="I375" t="s">
        <v>4844</v>
      </c>
      <c r="J375" t="s">
        <v>4809</v>
      </c>
      <c r="K375" s="1">
        <v>43889</v>
      </c>
      <c r="L375">
        <v>43130</v>
      </c>
      <c r="M375" s="1">
        <v>45009</v>
      </c>
      <c r="N375" t="s">
        <v>4789</v>
      </c>
      <c r="O375">
        <v>84000</v>
      </c>
      <c r="P375">
        <v>9.9000000000000005E-2</v>
      </c>
      <c r="Q375">
        <v>0</v>
      </c>
      <c r="R375" t="s">
        <v>4790</v>
      </c>
      <c r="S375" t="s">
        <v>3302</v>
      </c>
      <c r="T375">
        <v>69</v>
      </c>
      <c r="U375" t="s">
        <v>4796</v>
      </c>
      <c r="V375">
        <v>35000</v>
      </c>
      <c r="W375">
        <v>61046.68</v>
      </c>
      <c r="X375">
        <v>1.744</v>
      </c>
      <c r="Y375" t="s">
        <v>4784</v>
      </c>
      <c r="Z375">
        <v>2023</v>
      </c>
      <c r="AA375">
        <v>0</v>
      </c>
    </row>
    <row r="376" spans="1:27">
      <c r="A376" t="s">
        <v>4919</v>
      </c>
      <c r="B376" t="s">
        <v>4920</v>
      </c>
      <c r="C376" t="s">
        <v>428</v>
      </c>
      <c r="D376" t="s">
        <v>521</v>
      </c>
      <c r="E376" t="s">
        <v>4921</v>
      </c>
      <c r="F376">
        <v>9753849689</v>
      </c>
      <c r="G376" t="s">
        <v>35</v>
      </c>
      <c r="H376" t="s">
        <v>4779</v>
      </c>
      <c r="I376" t="s">
        <v>4844</v>
      </c>
      <c r="J376" t="s">
        <v>4809</v>
      </c>
      <c r="K376" s="1">
        <v>43889</v>
      </c>
      <c r="L376">
        <v>43130</v>
      </c>
      <c r="M376" s="1">
        <v>45031</v>
      </c>
      <c r="N376" t="s">
        <v>4797</v>
      </c>
      <c r="O376">
        <v>91800</v>
      </c>
      <c r="P376">
        <v>6.0999999999999999E-2</v>
      </c>
      <c r="Q376">
        <v>0</v>
      </c>
      <c r="R376" t="s">
        <v>4786</v>
      </c>
      <c r="S376" t="s">
        <v>3416</v>
      </c>
      <c r="T376">
        <v>7</v>
      </c>
      <c r="U376" t="s">
        <v>4796</v>
      </c>
      <c r="V376">
        <v>35000</v>
      </c>
      <c r="W376">
        <v>112115.95</v>
      </c>
      <c r="X376">
        <v>3.2029999999999998</v>
      </c>
      <c r="Y376" t="s">
        <v>4784</v>
      </c>
      <c r="Z376">
        <v>2023</v>
      </c>
      <c r="AA376">
        <v>0</v>
      </c>
    </row>
    <row r="377" spans="1:27">
      <c r="A377" t="s">
        <v>4919</v>
      </c>
      <c r="B377" t="s">
        <v>4920</v>
      </c>
      <c r="C377" t="s">
        <v>428</v>
      </c>
      <c r="D377" t="s">
        <v>521</v>
      </c>
      <c r="E377" t="s">
        <v>4921</v>
      </c>
      <c r="F377">
        <v>9753849689</v>
      </c>
      <c r="G377" t="s">
        <v>35</v>
      </c>
      <c r="H377" t="s">
        <v>4779</v>
      </c>
      <c r="I377" t="s">
        <v>4844</v>
      </c>
      <c r="J377" t="s">
        <v>4809</v>
      </c>
      <c r="K377" s="1">
        <v>43889</v>
      </c>
      <c r="L377">
        <v>43130</v>
      </c>
      <c r="M377" s="1">
        <v>45038</v>
      </c>
      <c r="N377" t="s">
        <v>4785</v>
      </c>
      <c r="O377">
        <v>159000</v>
      </c>
      <c r="P377">
        <v>9.2999999999999999E-2</v>
      </c>
      <c r="Q377">
        <v>0</v>
      </c>
      <c r="R377" t="s">
        <v>4791</v>
      </c>
      <c r="S377" t="s">
        <v>3310</v>
      </c>
      <c r="T377">
        <v>3</v>
      </c>
      <c r="U377" t="s">
        <v>4787</v>
      </c>
      <c r="V377">
        <v>35000</v>
      </c>
      <c r="W377">
        <v>123696.24</v>
      </c>
      <c r="X377">
        <v>3.5339999999999998</v>
      </c>
      <c r="Y377" t="s">
        <v>4784</v>
      </c>
      <c r="Z377">
        <v>2023</v>
      </c>
      <c r="AA377">
        <v>0</v>
      </c>
    </row>
    <row r="378" spans="1:27">
      <c r="A378" t="s">
        <v>4919</v>
      </c>
      <c r="B378" t="s">
        <v>4920</v>
      </c>
      <c r="C378" t="s">
        <v>428</v>
      </c>
      <c r="D378" t="s">
        <v>521</v>
      </c>
      <c r="E378" t="s">
        <v>4921</v>
      </c>
      <c r="F378">
        <v>9753849689</v>
      </c>
      <c r="G378" t="s">
        <v>35</v>
      </c>
      <c r="H378" t="s">
        <v>4779</v>
      </c>
      <c r="I378" t="s">
        <v>4844</v>
      </c>
      <c r="J378" t="s">
        <v>4809</v>
      </c>
      <c r="K378" s="1">
        <v>43889</v>
      </c>
      <c r="L378">
        <v>43130</v>
      </c>
      <c r="M378" s="1">
        <v>45212</v>
      </c>
      <c r="N378" t="s">
        <v>4797</v>
      </c>
      <c r="O378">
        <v>211300</v>
      </c>
      <c r="P378">
        <v>9.8000000000000004E-2</v>
      </c>
      <c r="Q378">
        <v>0</v>
      </c>
      <c r="R378" t="s">
        <v>4783</v>
      </c>
      <c r="S378" t="s">
        <v>3411</v>
      </c>
      <c r="T378">
        <v>54</v>
      </c>
      <c r="U378" t="s">
        <v>4795</v>
      </c>
      <c r="V378">
        <v>35000</v>
      </c>
      <c r="W378">
        <v>248382.27</v>
      </c>
      <c r="X378">
        <v>7.0970000000000004</v>
      </c>
      <c r="Y378" t="s">
        <v>4784</v>
      </c>
      <c r="Z378">
        <v>2023</v>
      </c>
      <c r="AA378">
        <v>0</v>
      </c>
    </row>
    <row r="379" spans="1:27">
      <c r="A379" t="s">
        <v>4919</v>
      </c>
      <c r="B379" t="s">
        <v>4920</v>
      </c>
      <c r="C379" t="s">
        <v>428</v>
      </c>
      <c r="D379" t="s">
        <v>521</v>
      </c>
      <c r="E379" t="s">
        <v>4921</v>
      </c>
      <c r="F379">
        <v>9753849689</v>
      </c>
      <c r="G379" t="s">
        <v>35</v>
      </c>
      <c r="H379" t="s">
        <v>4779</v>
      </c>
      <c r="I379" t="s">
        <v>4844</v>
      </c>
      <c r="J379" t="s">
        <v>4809</v>
      </c>
      <c r="K379" s="1">
        <v>43889</v>
      </c>
      <c r="L379">
        <v>43130</v>
      </c>
      <c r="M379" s="1">
        <v>45213</v>
      </c>
      <c r="N379" t="s">
        <v>4797</v>
      </c>
      <c r="O379">
        <v>131400</v>
      </c>
      <c r="P379">
        <v>3.5999999999999997E-2</v>
      </c>
      <c r="Q379">
        <v>0</v>
      </c>
      <c r="R379" t="s">
        <v>4791</v>
      </c>
      <c r="S379" t="s">
        <v>3416</v>
      </c>
      <c r="T379">
        <v>75</v>
      </c>
      <c r="U379" t="s">
        <v>26</v>
      </c>
      <c r="V379">
        <v>35000</v>
      </c>
      <c r="W379">
        <v>110919.24</v>
      </c>
      <c r="X379">
        <v>3.169</v>
      </c>
      <c r="Y379" t="s">
        <v>4784</v>
      </c>
      <c r="Z379">
        <v>2023</v>
      </c>
      <c r="AA379">
        <v>0</v>
      </c>
    </row>
    <row r="380" spans="1:27">
      <c r="A380" t="s">
        <v>4919</v>
      </c>
      <c r="B380" t="s">
        <v>4920</v>
      </c>
      <c r="C380" t="s">
        <v>428</v>
      </c>
      <c r="D380" t="s">
        <v>521</v>
      </c>
      <c r="E380" t="s">
        <v>4921</v>
      </c>
      <c r="F380">
        <v>9753849689</v>
      </c>
      <c r="G380" t="s">
        <v>35</v>
      </c>
      <c r="H380" t="s">
        <v>4779</v>
      </c>
      <c r="I380" t="s">
        <v>4844</v>
      </c>
      <c r="J380" t="s">
        <v>4809</v>
      </c>
      <c r="K380" s="1">
        <v>43889</v>
      </c>
      <c r="L380">
        <v>43130</v>
      </c>
      <c r="M380" s="1">
        <v>45331</v>
      </c>
      <c r="N380" t="s">
        <v>4782</v>
      </c>
      <c r="O380">
        <v>173300</v>
      </c>
      <c r="P380">
        <v>3.3000000000000002E-2</v>
      </c>
      <c r="Q380">
        <v>5718.9</v>
      </c>
      <c r="R380" t="s">
        <v>4794</v>
      </c>
      <c r="S380" t="s">
        <v>3416</v>
      </c>
      <c r="T380">
        <v>57</v>
      </c>
      <c r="U380" t="s">
        <v>4795</v>
      </c>
      <c r="V380">
        <v>35000</v>
      </c>
      <c r="W380">
        <v>107591.63</v>
      </c>
      <c r="X380">
        <v>3.0739999999999998</v>
      </c>
      <c r="Y380" t="s">
        <v>4784</v>
      </c>
      <c r="Z380">
        <v>2024</v>
      </c>
      <c r="AA380">
        <v>1</v>
      </c>
    </row>
    <row r="381" spans="1:27">
      <c r="A381" t="s">
        <v>4919</v>
      </c>
      <c r="B381" t="s">
        <v>4920</v>
      </c>
      <c r="C381" t="s">
        <v>428</v>
      </c>
      <c r="D381" t="s">
        <v>521</v>
      </c>
      <c r="E381" t="s">
        <v>4921</v>
      </c>
      <c r="F381">
        <v>9753849689</v>
      </c>
      <c r="G381" t="s">
        <v>35</v>
      </c>
      <c r="H381" t="s">
        <v>4779</v>
      </c>
      <c r="I381" t="s">
        <v>4844</v>
      </c>
      <c r="J381" t="s">
        <v>4809</v>
      </c>
      <c r="K381" s="1">
        <v>43889</v>
      </c>
      <c r="L381">
        <v>43130</v>
      </c>
      <c r="M381" s="1">
        <v>45439</v>
      </c>
      <c r="N381" t="s">
        <v>4782</v>
      </c>
      <c r="O381">
        <v>167500</v>
      </c>
      <c r="P381">
        <v>3.6999999999999998E-2</v>
      </c>
      <c r="Q381">
        <v>6197.5</v>
      </c>
      <c r="R381" t="s">
        <v>4786</v>
      </c>
      <c r="S381" t="s">
        <v>3317</v>
      </c>
      <c r="T381">
        <v>64</v>
      </c>
      <c r="U381" t="s">
        <v>4795</v>
      </c>
      <c r="V381">
        <v>35000</v>
      </c>
      <c r="W381">
        <v>114203.28</v>
      </c>
      <c r="X381">
        <v>3.2629999999999999</v>
      </c>
      <c r="Y381" t="s">
        <v>4784</v>
      </c>
      <c r="Z381">
        <v>2024</v>
      </c>
      <c r="AA381">
        <v>1</v>
      </c>
    </row>
    <row r="382" spans="1:27">
      <c r="A382" t="s">
        <v>4922</v>
      </c>
      <c r="B382" t="s">
        <v>4923</v>
      </c>
      <c r="C382" t="s">
        <v>460</v>
      </c>
      <c r="D382" t="s">
        <v>816</v>
      </c>
      <c r="E382" t="s">
        <v>4924</v>
      </c>
      <c r="F382">
        <v>9661450458</v>
      </c>
      <c r="G382" t="s">
        <v>24</v>
      </c>
      <c r="H382" t="s">
        <v>4802</v>
      </c>
      <c r="I382" t="s">
        <v>4824</v>
      </c>
      <c r="J382" t="s">
        <v>4809</v>
      </c>
      <c r="K382" s="1">
        <v>44221</v>
      </c>
      <c r="L382">
        <v>25999</v>
      </c>
      <c r="M382" s="1">
        <v>44841</v>
      </c>
      <c r="N382" t="s">
        <v>4797</v>
      </c>
      <c r="O382">
        <v>128000</v>
      </c>
      <c r="P382">
        <v>4.8000000000000001E-2</v>
      </c>
      <c r="Q382">
        <v>0</v>
      </c>
      <c r="R382" t="s">
        <v>4786</v>
      </c>
      <c r="S382" t="s">
        <v>3302</v>
      </c>
      <c r="T382">
        <v>2</v>
      </c>
      <c r="U382" t="s">
        <v>4795</v>
      </c>
      <c r="V382">
        <v>37500</v>
      </c>
      <c r="W382">
        <v>120615.47</v>
      </c>
      <c r="X382">
        <v>3.2160000000000002</v>
      </c>
      <c r="Y382" t="s">
        <v>4784</v>
      </c>
      <c r="Z382">
        <v>2022</v>
      </c>
      <c r="AA382">
        <v>0</v>
      </c>
    </row>
    <row r="383" spans="1:27">
      <c r="A383" t="s">
        <v>4922</v>
      </c>
      <c r="B383" t="s">
        <v>4923</v>
      </c>
      <c r="C383" t="s">
        <v>460</v>
      </c>
      <c r="D383" t="s">
        <v>816</v>
      </c>
      <c r="E383" t="s">
        <v>4924</v>
      </c>
      <c r="F383">
        <v>9661450458</v>
      </c>
      <c r="G383" t="s">
        <v>24</v>
      </c>
      <c r="H383" t="s">
        <v>4802</v>
      </c>
      <c r="I383" t="s">
        <v>4824</v>
      </c>
      <c r="J383" t="s">
        <v>4809</v>
      </c>
      <c r="K383" s="1">
        <v>44221</v>
      </c>
      <c r="L383">
        <v>25999</v>
      </c>
      <c r="M383" s="1">
        <v>44921</v>
      </c>
      <c r="N383" t="s">
        <v>4782</v>
      </c>
      <c r="O383">
        <v>104700</v>
      </c>
      <c r="P383">
        <v>7.1999999999999995E-2</v>
      </c>
      <c r="Q383">
        <v>7538.4</v>
      </c>
      <c r="R383" t="s">
        <v>4790</v>
      </c>
      <c r="S383" t="s">
        <v>3317</v>
      </c>
      <c r="T383">
        <v>49</v>
      </c>
      <c r="U383" t="s">
        <v>26</v>
      </c>
      <c r="V383">
        <v>37500</v>
      </c>
      <c r="W383">
        <v>59128.87</v>
      </c>
      <c r="X383">
        <v>1.577</v>
      </c>
      <c r="Y383" t="s">
        <v>4784</v>
      </c>
      <c r="Z383">
        <v>2022</v>
      </c>
      <c r="AA383">
        <v>1</v>
      </c>
    </row>
    <row r="384" spans="1:27">
      <c r="A384" t="s">
        <v>4922</v>
      </c>
      <c r="B384" t="s">
        <v>4923</v>
      </c>
      <c r="C384" t="s">
        <v>460</v>
      </c>
      <c r="D384" t="s">
        <v>816</v>
      </c>
      <c r="E384" t="s">
        <v>4924</v>
      </c>
      <c r="F384">
        <v>9661450458</v>
      </c>
      <c r="G384" t="s">
        <v>24</v>
      </c>
      <c r="H384" t="s">
        <v>4802</v>
      </c>
      <c r="I384" t="s">
        <v>4824</v>
      </c>
      <c r="J384" t="s">
        <v>4809</v>
      </c>
      <c r="K384" s="1">
        <v>44221</v>
      </c>
      <c r="L384">
        <v>25999</v>
      </c>
      <c r="M384" s="1">
        <v>44974</v>
      </c>
      <c r="N384" t="s">
        <v>4782</v>
      </c>
      <c r="O384">
        <v>231100</v>
      </c>
      <c r="P384">
        <v>0.1</v>
      </c>
      <c r="Q384">
        <v>23110</v>
      </c>
      <c r="R384" t="s">
        <v>4791</v>
      </c>
      <c r="S384" t="s">
        <v>3317</v>
      </c>
      <c r="T384">
        <v>51</v>
      </c>
      <c r="U384" t="s">
        <v>26</v>
      </c>
      <c r="V384">
        <v>37500</v>
      </c>
      <c r="W384">
        <v>150443.66</v>
      </c>
      <c r="X384">
        <v>4.0119999999999996</v>
      </c>
      <c r="Y384" t="s">
        <v>4784</v>
      </c>
      <c r="Z384">
        <v>2023</v>
      </c>
      <c r="AA384">
        <v>1</v>
      </c>
    </row>
    <row r="385" spans="1:27">
      <c r="A385" t="s">
        <v>4922</v>
      </c>
      <c r="B385" t="s">
        <v>4923</v>
      </c>
      <c r="C385" t="s">
        <v>460</v>
      </c>
      <c r="D385" t="s">
        <v>816</v>
      </c>
      <c r="E385" t="s">
        <v>4924</v>
      </c>
      <c r="F385">
        <v>9661450458</v>
      </c>
      <c r="G385" t="s">
        <v>24</v>
      </c>
      <c r="H385" t="s">
        <v>4802</v>
      </c>
      <c r="I385" t="s">
        <v>4824</v>
      </c>
      <c r="J385" t="s">
        <v>4809</v>
      </c>
      <c r="K385" s="1">
        <v>44221</v>
      </c>
      <c r="L385">
        <v>25999</v>
      </c>
      <c r="M385" s="1">
        <v>44980</v>
      </c>
      <c r="N385" t="s">
        <v>4782</v>
      </c>
      <c r="O385">
        <v>138000</v>
      </c>
      <c r="P385">
        <v>3.6999999999999998E-2</v>
      </c>
      <c r="Q385">
        <v>5106</v>
      </c>
      <c r="R385" t="s">
        <v>4794</v>
      </c>
      <c r="S385" t="s">
        <v>3322</v>
      </c>
      <c r="T385">
        <v>40</v>
      </c>
      <c r="U385" t="s">
        <v>4796</v>
      </c>
      <c r="V385">
        <v>37500</v>
      </c>
      <c r="W385">
        <v>158631.88</v>
      </c>
      <c r="X385">
        <v>4.2300000000000004</v>
      </c>
      <c r="Y385" t="s">
        <v>4784</v>
      </c>
      <c r="Z385">
        <v>2023</v>
      </c>
      <c r="AA385">
        <v>1</v>
      </c>
    </row>
    <row r="386" spans="1:27">
      <c r="A386" t="s">
        <v>4922</v>
      </c>
      <c r="B386" t="s">
        <v>4923</v>
      </c>
      <c r="C386" t="s">
        <v>460</v>
      </c>
      <c r="D386" t="s">
        <v>816</v>
      </c>
      <c r="E386" t="s">
        <v>4924</v>
      </c>
      <c r="F386">
        <v>9661450458</v>
      </c>
      <c r="G386" t="s">
        <v>24</v>
      </c>
      <c r="H386" t="s">
        <v>4802</v>
      </c>
      <c r="I386" t="s">
        <v>4824</v>
      </c>
      <c r="J386" t="s">
        <v>4809</v>
      </c>
      <c r="K386" s="1">
        <v>44221</v>
      </c>
      <c r="L386">
        <v>25999</v>
      </c>
      <c r="M386" s="1">
        <v>45017</v>
      </c>
      <c r="N386" t="s">
        <v>4785</v>
      </c>
      <c r="O386">
        <v>233800</v>
      </c>
      <c r="P386">
        <v>6.4000000000000001E-2</v>
      </c>
      <c r="Q386">
        <v>0</v>
      </c>
      <c r="R386" t="s">
        <v>4788</v>
      </c>
      <c r="S386" t="s">
        <v>3310</v>
      </c>
      <c r="T386">
        <v>57</v>
      </c>
      <c r="U386" t="s">
        <v>4787</v>
      </c>
      <c r="V386">
        <v>37500</v>
      </c>
      <c r="W386">
        <v>130496.68</v>
      </c>
      <c r="X386">
        <v>3.48</v>
      </c>
      <c r="Y386" t="s">
        <v>4784</v>
      </c>
      <c r="Z386">
        <v>2023</v>
      </c>
      <c r="AA386">
        <v>0</v>
      </c>
    </row>
    <row r="387" spans="1:27">
      <c r="A387" t="s">
        <v>4922</v>
      </c>
      <c r="B387" t="s">
        <v>4923</v>
      </c>
      <c r="C387" t="s">
        <v>460</v>
      </c>
      <c r="D387" t="s">
        <v>816</v>
      </c>
      <c r="E387" t="s">
        <v>4924</v>
      </c>
      <c r="F387">
        <v>9661450458</v>
      </c>
      <c r="G387" t="s">
        <v>24</v>
      </c>
      <c r="H387" t="s">
        <v>4802</v>
      </c>
      <c r="I387" t="s">
        <v>4824</v>
      </c>
      <c r="J387" t="s">
        <v>4809</v>
      </c>
      <c r="K387" s="1">
        <v>44221</v>
      </c>
      <c r="L387">
        <v>25999</v>
      </c>
      <c r="M387" s="1">
        <v>45063</v>
      </c>
      <c r="N387" t="s">
        <v>4789</v>
      </c>
      <c r="O387">
        <v>51300</v>
      </c>
      <c r="P387">
        <v>8.5000000000000006E-2</v>
      </c>
      <c r="Q387">
        <v>0</v>
      </c>
      <c r="R387" t="s">
        <v>4788</v>
      </c>
      <c r="S387" t="s">
        <v>3317</v>
      </c>
      <c r="T387">
        <v>74</v>
      </c>
      <c r="U387" t="s">
        <v>26</v>
      </c>
      <c r="V387">
        <v>37500</v>
      </c>
      <c r="W387">
        <v>70329.899999999994</v>
      </c>
      <c r="X387">
        <v>1.875</v>
      </c>
      <c r="Y387" t="s">
        <v>4784</v>
      </c>
      <c r="Z387">
        <v>2023</v>
      </c>
      <c r="AA387">
        <v>0</v>
      </c>
    </row>
    <row r="388" spans="1:27">
      <c r="A388" t="s">
        <v>4922</v>
      </c>
      <c r="B388" t="s">
        <v>4923</v>
      </c>
      <c r="C388" t="s">
        <v>460</v>
      </c>
      <c r="D388" t="s">
        <v>816</v>
      </c>
      <c r="E388" t="s">
        <v>4924</v>
      </c>
      <c r="F388">
        <v>9661450458</v>
      </c>
      <c r="G388" t="s">
        <v>24</v>
      </c>
      <c r="H388" t="s">
        <v>4802</v>
      </c>
      <c r="I388" t="s">
        <v>4824</v>
      </c>
      <c r="J388" t="s">
        <v>4809</v>
      </c>
      <c r="K388" s="1">
        <v>44221</v>
      </c>
      <c r="L388">
        <v>25999</v>
      </c>
      <c r="M388" s="1">
        <v>45343</v>
      </c>
      <c r="N388" t="s">
        <v>4789</v>
      </c>
      <c r="O388">
        <v>228900</v>
      </c>
      <c r="P388">
        <v>3.6999999999999998E-2</v>
      </c>
      <c r="Q388">
        <v>0</v>
      </c>
      <c r="R388" t="s">
        <v>4788</v>
      </c>
      <c r="S388" t="s">
        <v>3416</v>
      </c>
      <c r="T388">
        <v>69</v>
      </c>
      <c r="U388" t="s">
        <v>4796</v>
      </c>
      <c r="V388">
        <v>37500</v>
      </c>
      <c r="W388">
        <v>228343.07</v>
      </c>
      <c r="X388">
        <v>6.0890000000000004</v>
      </c>
      <c r="Y388" t="s">
        <v>4784</v>
      </c>
      <c r="Z388">
        <v>2024</v>
      </c>
      <c r="AA388">
        <v>0</v>
      </c>
    </row>
    <row r="389" spans="1:27">
      <c r="A389" t="s">
        <v>4922</v>
      </c>
      <c r="B389" t="s">
        <v>4923</v>
      </c>
      <c r="C389" t="s">
        <v>460</v>
      </c>
      <c r="D389" t="s">
        <v>816</v>
      </c>
      <c r="E389" t="s">
        <v>4924</v>
      </c>
      <c r="F389">
        <v>9661450458</v>
      </c>
      <c r="G389" t="s">
        <v>24</v>
      </c>
      <c r="H389" t="s">
        <v>4802</v>
      </c>
      <c r="I389" t="s">
        <v>4824</v>
      </c>
      <c r="J389" t="s">
        <v>4809</v>
      </c>
      <c r="K389" s="1">
        <v>44221</v>
      </c>
      <c r="L389">
        <v>25999</v>
      </c>
      <c r="M389" s="1">
        <v>45413</v>
      </c>
      <c r="N389" t="s">
        <v>4789</v>
      </c>
      <c r="O389">
        <v>199600</v>
      </c>
      <c r="P389">
        <v>6.4000000000000001E-2</v>
      </c>
      <c r="Q389">
        <v>0</v>
      </c>
      <c r="R389" t="s">
        <v>4790</v>
      </c>
      <c r="S389" t="s">
        <v>3317</v>
      </c>
      <c r="T389">
        <v>83</v>
      </c>
      <c r="U389" t="s">
        <v>4787</v>
      </c>
      <c r="V389">
        <v>37500</v>
      </c>
      <c r="W389">
        <v>173234.6</v>
      </c>
      <c r="X389">
        <v>4.62</v>
      </c>
      <c r="Y389" t="s">
        <v>4784</v>
      </c>
      <c r="Z389">
        <v>2024</v>
      </c>
      <c r="AA389">
        <v>0</v>
      </c>
    </row>
    <row r="390" spans="1:27">
      <c r="A390" t="s">
        <v>4922</v>
      </c>
      <c r="B390" t="s">
        <v>4923</v>
      </c>
      <c r="C390" t="s">
        <v>460</v>
      </c>
      <c r="D390" t="s">
        <v>816</v>
      </c>
      <c r="E390" t="s">
        <v>4924</v>
      </c>
      <c r="F390">
        <v>9661450458</v>
      </c>
      <c r="G390" t="s">
        <v>24</v>
      </c>
      <c r="H390" t="s">
        <v>4802</v>
      </c>
      <c r="I390" t="s">
        <v>4824</v>
      </c>
      <c r="J390" t="s">
        <v>4809</v>
      </c>
      <c r="K390" s="1">
        <v>44221</v>
      </c>
      <c r="L390">
        <v>25999</v>
      </c>
      <c r="M390" s="1">
        <v>45465</v>
      </c>
      <c r="N390" t="s">
        <v>4789</v>
      </c>
      <c r="O390">
        <v>137500</v>
      </c>
      <c r="P390">
        <v>8.5000000000000006E-2</v>
      </c>
      <c r="Q390">
        <v>0</v>
      </c>
      <c r="R390" t="s">
        <v>4790</v>
      </c>
      <c r="S390" t="s">
        <v>3411</v>
      </c>
      <c r="T390">
        <v>20</v>
      </c>
      <c r="U390" t="s">
        <v>26</v>
      </c>
      <c r="V390">
        <v>37500</v>
      </c>
      <c r="W390">
        <v>71201.62</v>
      </c>
      <c r="X390">
        <v>1.899</v>
      </c>
      <c r="Y390" t="s">
        <v>4784</v>
      </c>
      <c r="Z390">
        <v>2024</v>
      </c>
      <c r="AA390">
        <v>0</v>
      </c>
    </row>
    <row r="391" spans="1:27">
      <c r="A391" t="s">
        <v>4922</v>
      </c>
      <c r="B391" t="s">
        <v>4923</v>
      </c>
      <c r="C391" t="s">
        <v>460</v>
      </c>
      <c r="D391" t="s">
        <v>816</v>
      </c>
      <c r="E391" t="s">
        <v>4924</v>
      </c>
      <c r="F391">
        <v>9661450458</v>
      </c>
      <c r="G391" t="s">
        <v>24</v>
      </c>
      <c r="H391" t="s">
        <v>4802</v>
      </c>
      <c r="I391" t="s">
        <v>4824</v>
      </c>
      <c r="J391" t="s">
        <v>4809</v>
      </c>
      <c r="K391" s="1">
        <v>44221</v>
      </c>
      <c r="L391">
        <v>25999</v>
      </c>
      <c r="M391" s="1">
        <v>45568</v>
      </c>
      <c r="N391" t="s">
        <v>4782</v>
      </c>
      <c r="O391">
        <v>55500</v>
      </c>
      <c r="P391">
        <v>3.5000000000000003E-2</v>
      </c>
      <c r="Q391">
        <v>1942.5</v>
      </c>
      <c r="R391" t="s">
        <v>4786</v>
      </c>
      <c r="S391" t="s">
        <v>3310</v>
      </c>
      <c r="T391">
        <v>17</v>
      </c>
      <c r="U391" t="s">
        <v>4787</v>
      </c>
      <c r="V391">
        <v>37500</v>
      </c>
      <c r="W391">
        <v>36425.11</v>
      </c>
      <c r="X391">
        <v>0.97099999999999997</v>
      </c>
      <c r="Y391" t="s">
        <v>4793</v>
      </c>
      <c r="Z391">
        <v>2024</v>
      </c>
      <c r="AA391">
        <v>1</v>
      </c>
    </row>
    <row r="392" spans="1:27">
      <c r="A392" t="s">
        <v>4925</v>
      </c>
      <c r="B392" t="s">
        <v>4926</v>
      </c>
      <c r="C392" t="s">
        <v>2586</v>
      </c>
      <c r="D392" t="s">
        <v>202</v>
      </c>
      <c r="E392" t="s">
        <v>4927</v>
      </c>
      <c r="F392">
        <v>9978147010</v>
      </c>
      <c r="G392" t="s">
        <v>35</v>
      </c>
      <c r="H392" t="s">
        <v>4833</v>
      </c>
      <c r="I392" t="s">
        <v>4844</v>
      </c>
      <c r="J392" t="s">
        <v>4829</v>
      </c>
      <c r="K392" s="1">
        <v>43680</v>
      </c>
      <c r="L392">
        <v>77691</v>
      </c>
      <c r="M392" s="1">
        <v>44641</v>
      </c>
      <c r="N392" t="s">
        <v>4782</v>
      </c>
      <c r="O392">
        <v>105900</v>
      </c>
      <c r="P392">
        <v>0.114</v>
      </c>
      <c r="Q392">
        <v>12072.6</v>
      </c>
      <c r="R392" t="s">
        <v>4786</v>
      </c>
      <c r="S392" t="s">
        <v>3310</v>
      </c>
      <c r="T392">
        <v>56</v>
      </c>
      <c r="U392" t="s">
        <v>4795</v>
      </c>
      <c r="V392">
        <v>35000</v>
      </c>
      <c r="W392">
        <v>126459.78</v>
      </c>
      <c r="X392">
        <v>3.613</v>
      </c>
      <c r="Y392" t="s">
        <v>4784</v>
      </c>
      <c r="Z392">
        <v>2022</v>
      </c>
      <c r="AA392">
        <v>1</v>
      </c>
    </row>
    <row r="393" spans="1:27">
      <c r="A393" t="s">
        <v>4925</v>
      </c>
      <c r="B393" t="s">
        <v>4926</v>
      </c>
      <c r="C393" t="s">
        <v>2586</v>
      </c>
      <c r="D393" t="s">
        <v>202</v>
      </c>
      <c r="E393" t="s">
        <v>4927</v>
      </c>
      <c r="F393">
        <v>9978147010</v>
      </c>
      <c r="G393" t="s">
        <v>35</v>
      </c>
      <c r="H393" t="s">
        <v>4833</v>
      </c>
      <c r="I393" t="s">
        <v>4844</v>
      </c>
      <c r="J393" t="s">
        <v>4829</v>
      </c>
      <c r="K393" s="1">
        <v>43680</v>
      </c>
      <c r="L393">
        <v>77691</v>
      </c>
      <c r="M393" s="1">
        <v>44726</v>
      </c>
      <c r="N393" t="s">
        <v>4785</v>
      </c>
      <c r="O393">
        <v>243500</v>
      </c>
      <c r="P393">
        <v>4.7E-2</v>
      </c>
      <c r="Q393">
        <v>0</v>
      </c>
      <c r="R393" t="s">
        <v>4790</v>
      </c>
      <c r="S393" t="s">
        <v>3310</v>
      </c>
      <c r="T393">
        <v>55</v>
      </c>
      <c r="U393" t="s">
        <v>4795</v>
      </c>
      <c r="V393">
        <v>35000</v>
      </c>
      <c r="W393">
        <v>273366.03000000003</v>
      </c>
      <c r="X393">
        <v>7.81</v>
      </c>
      <c r="Y393" t="s">
        <v>4784</v>
      </c>
      <c r="Z393">
        <v>2022</v>
      </c>
      <c r="AA393">
        <v>0</v>
      </c>
    </row>
    <row r="394" spans="1:27">
      <c r="A394" t="s">
        <v>4925</v>
      </c>
      <c r="B394" t="s">
        <v>4926</v>
      </c>
      <c r="C394" t="s">
        <v>2586</v>
      </c>
      <c r="D394" t="s">
        <v>202</v>
      </c>
      <c r="E394" t="s">
        <v>4927</v>
      </c>
      <c r="F394">
        <v>9978147010</v>
      </c>
      <c r="G394" t="s">
        <v>35</v>
      </c>
      <c r="H394" t="s">
        <v>4833</v>
      </c>
      <c r="I394" t="s">
        <v>4844</v>
      </c>
      <c r="J394" t="s">
        <v>4829</v>
      </c>
      <c r="K394" s="1">
        <v>43680</v>
      </c>
      <c r="L394">
        <v>77691</v>
      </c>
      <c r="M394" s="1">
        <v>44864</v>
      </c>
      <c r="N394" t="s">
        <v>4782</v>
      </c>
      <c r="O394">
        <v>163700</v>
      </c>
      <c r="P394">
        <v>7.0999999999999994E-2</v>
      </c>
      <c r="Q394">
        <v>11622.7</v>
      </c>
      <c r="R394" t="s">
        <v>4794</v>
      </c>
      <c r="S394" t="s">
        <v>3310</v>
      </c>
      <c r="T394">
        <v>33</v>
      </c>
      <c r="U394" t="s">
        <v>4796</v>
      </c>
      <c r="V394">
        <v>35000</v>
      </c>
      <c r="W394">
        <v>170564.66</v>
      </c>
      <c r="X394">
        <v>4.8730000000000002</v>
      </c>
      <c r="Y394" t="s">
        <v>4784</v>
      </c>
      <c r="Z394">
        <v>2022</v>
      </c>
      <c r="AA394">
        <v>1</v>
      </c>
    </row>
    <row r="395" spans="1:27">
      <c r="A395" t="s">
        <v>4925</v>
      </c>
      <c r="B395" t="s">
        <v>4926</v>
      </c>
      <c r="C395" t="s">
        <v>2586</v>
      </c>
      <c r="D395" t="s">
        <v>202</v>
      </c>
      <c r="E395" t="s">
        <v>4927</v>
      </c>
      <c r="F395">
        <v>9978147010</v>
      </c>
      <c r="G395" t="s">
        <v>35</v>
      </c>
      <c r="H395" t="s">
        <v>4833</v>
      </c>
      <c r="I395" t="s">
        <v>4844</v>
      </c>
      <c r="J395" t="s">
        <v>4829</v>
      </c>
      <c r="K395" s="1">
        <v>43680</v>
      </c>
      <c r="L395">
        <v>77691</v>
      </c>
      <c r="M395" s="1">
        <v>44892</v>
      </c>
      <c r="N395" t="s">
        <v>4782</v>
      </c>
      <c r="O395">
        <v>35600</v>
      </c>
      <c r="P395">
        <v>9.9000000000000005E-2</v>
      </c>
      <c r="Q395">
        <v>3524.4</v>
      </c>
      <c r="R395" t="s">
        <v>4794</v>
      </c>
      <c r="S395" t="s">
        <v>3348</v>
      </c>
      <c r="T395">
        <v>50</v>
      </c>
      <c r="U395" t="s">
        <v>26</v>
      </c>
      <c r="V395">
        <v>35000</v>
      </c>
      <c r="W395">
        <v>40422.480000000003</v>
      </c>
      <c r="X395">
        <v>1.155</v>
      </c>
      <c r="Y395" t="s">
        <v>4784</v>
      </c>
      <c r="Z395">
        <v>2022</v>
      </c>
      <c r="AA395">
        <v>1</v>
      </c>
    </row>
    <row r="396" spans="1:27">
      <c r="A396" t="s">
        <v>4925</v>
      </c>
      <c r="B396" t="s">
        <v>4926</v>
      </c>
      <c r="C396" t="s">
        <v>2586</v>
      </c>
      <c r="D396" t="s">
        <v>202</v>
      </c>
      <c r="E396" t="s">
        <v>4927</v>
      </c>
      <c r="F396">
        <v>9978147010</v>
      </c>
      <c r="G396" t="s">
        <v>35</v>
      </c>
      <c r="H396" t="s">
        <v>4833</v>
      </c>
      <c r="I396" t="s">
        <v>4844</v>
      </c>
      <c r="J396" t="s">
        <v>4829</v>
      </c>
      <c r="K396" s="1">
        <v>43680</v>
      </c>
      <c r="L396">
        <v>77691</v>
      </c>
      <c r="M396" s="1">
        <v>44906</v>
      </c>
      <c r="N396" t="s">
        <v>4789</v>
      </c>
      <c r="O396">
        <v>5400</v>
      </c>
      <c r="P396">
        <v>3.9E-2</v>
      </c>
      <c r="Q396">
        <v>0</v>
      </c>
      <c r="R396" t="s">
        <v>4798</v>
      </c>
      <c r="S396" t="s">
        <v>3348</v>
      </c>
      <c r="T396">
        <v>54</v>
      </c>
      <c r="U396" t="s">
        <v>26</v>
      </c>
      <c r="V396">
        <v>35000</v>
      </c>
      <c r="W396">
        <v>5880.97</v>
      </c>
      <c r="X396">
        <v>0.16800000000000001</v>
      </c>
      <c r="Y396" t="s">
        <v>4792</v>
      </c>
      <c r="Z396">
        <v>2022</v>
      </c>
      <c r="AA396">
        <v>0</v>
      </c>
    </row>
    <row r="397" spans="1:27">
      <c r="A397" t="s">
        <v>4925</v>
      </c>
      <c r="B397" t="s">
        <v>4926</v>
      </c>
      <c r="C397" t="s">
        <v>2586</v>
      </c>
      <c r="D397" t="s">
        <v>202</v>
      </c>
      <c r="E397" t="s">
        <v>4927</v>
      </c>
      <c r="F397">
        <v>9978147010</v>
      </c>
      <c r="G397" t="s">
        <v>35</v>
      </c>
      <c r="H397" t="s">
        <v>4833</v>
      </c>
      <c r="I397" t="s">
        <v>4844</v>
      </c>
      <c r="J397" t="s">
        <v>4829</v>
      </c>
      <c r="K397" s="1">
        <v>43680</v>
      </c>
      <c r="L397">
        <v>77691</v>
      </c>
      <c r="M397" s="1">
        <v>45267</v>
      </c>
      <c r="N397" t="s">
        <v>4782</v>
      </c>
      <c r="O397">
        <v>75500</v>
      </c>
      <c r="P397">
        <v>9.7000000000000003E-2</v>
      </c>
      <c r="Q397">
        <v>7323.5</v>
      </c>
      <c r="R397" t="s">
        <v>4794</v>
      </c>
      <c r="S397" t="s">
        <v>3322</v>
      </c>
      <c r="T397">
        <v>90</v>
      </c>
      <c r="U397" t="s">
        <v>4795</v>
      </c>
      <c r="V397">
        <v>35000</v>
      </c>
      <c r="W397">
        <v>38186.26</v>
      </c>
      <c r="X397">
        <v>1.091</v>
      </c>
      <c r="Y397" t="s">
        <v>4793</v>
      </c>
      <c r="Z397">
        <v>2023</v>
      </c>
      <c r="AA397">
        <v>1</v>
      </c>
    </row>
    <row r="398" spans="1:27">
      <c r="A398" t="s">
        <v>4925</v>
      </c>
      <c r="B398" t="s">
        <v>4926</v>
      </c>
      <c r="C398" t="s">
        <v>2586</v>
      </c>
      <c r="D398" t="s">
        <v>202</v>
      </c>
      <c r="E398" t="s">
        <v>4927</v>
      </c>
      <c r="F398">
        <v>9978147010</v>
      </c>
      <c r="G398" t="s">
        <v>35</v>
      </c>
      <c r="H398" t="s">
        <v>4833</v>
      </c>
      <c r="I398" t="s">
        <v>4844</v>
      </c>
      <c r="J398" t="s">
        <v>4829</v>
      </c>
      <c r="K398" s="1">
        <v>43680</v>
      </c>
      <c r="L398">
        <v>77691</v>
      </c>
      <c r="M398" s="1">
        <v>45275</v>
      </c>
      <c r="N398" t="s">
        <v>4785</v>
      </c>
      <c r="O398">
        <v>190900</v>
      </c>
      <c r="P398">
        <v>7.3999999999999996E-2</v>
      </c>
      <c r="Q398">
        <v>0</v>
      </c>
      <c r="R398" t="s">
        <v>4794</v>
      </c>
      <c r="S398" t="s">
        <v>3317</v>
      </c>
      <c r="T398">
        <v>90</v>
      </c>
      <c r="U398" t="s">
        <v>4787</v>
      </c>
      <c r="V398">
        <v>35000</v>
      </c>
      <c r="W398">
        <v>207282.22</v>
      </c>
      <c r="X398">
        <v>5.9219999999999997</v>
      </c>
      <c r="Y398" t="s">
        <v>4784</v>
      </c>
      <c r="Z398">
        <v>2023</v>
      </c>
      <c r="AA398">
        <v>0</v>
      </c>
    </row>
    <row r="399" spans="1:27">
      <c r="A399" t="s">
        <v>4925</v>
      </c>
      <c r="B399" t="s">
        <v>4926</v>
      </c>
      <c r="C399" t="s">
        <v>2586</v>
      </c>
      <c r="D399" t="s">
        <v>202</v>
      </c>
      <c r="E399" t="s">
        <v>4927</v>
      </c>
      <c r="F399">
        <v>9978147010</v>
      </c>
      <c r="G399" t="s">
        <v>35</v>
      </c>
      <c r="H399" t="s">
        <v>4833</v>
      </c>
      <c r="I399" t="s">
        <v>4844</v>
      </c>
      <c r="J399" t="s">
        <v>4829</v>
      </c>
      <c r="K399" s="1">
        <v>43680</v>
      </c>
      <c r="L399">
        <v>77691</v>
      </c>
      <c r="M399" s="1">
        <v>45430</v>
      </c>
      <c r="N399" t="s">
        <v>4797</v>
      </c>
      <c r="O399">
        <v>69700</v>
      </c>
      <c r="P399">
        <v>5.1999999999999998E-2</v>
      </c>
      <c r="Q399">
        <v>0</v>
      </c>
      <c r="R399" t="s">
        <v>4791</v>
      </c>
      <c r="S399" t="s">
        <v>3411</v>
      </c>
      <c r="T399">
        <v>47</v>
      </c>
      <c r="U399" t="s">
        <v>4787</v>
      </c>
      <c r="V399">
        <v>35000</v>
      </c>
      <c r="W399">
        <v>78602.38</v>
      </c>
      <c r="X399">
        <v>2.246</v>
      </c>
      <c r="Y399" t="s">
        <v>4784</v>
      </c>
      <c r="Z399">
        <v>2024</v>
      </c>
      <c r="AA399">
        <v>0</v>
      </c>
    </row>
    <row r="400" spans="1:27">
      <c r="A400" t="s">
        <v>4925</v>
      </c>
      <c r="B400" t="s">
        <v>4926</v>
      </c>
      <c r="C400" t="s">
        <v>2586</v>
      </c>
      <c r="D400" t="s">
        <v>202</v>
      </c>
      <c r="E400" t="s">
        <v>4927</v>
      </c>
      <c r="F400">
        <v>9978147010</v>
      </c>
      <c r="G400" t="s">
        <v>35</v>
      </c>
      <c r="H400" t="s">
        <v>4833</v>
      </c>
      <c r="I400" t="s">
        <v>4844</v>
      </c>
      <c r="J400" t="s">
        <v>4829</v>
      </c>
      <c r="K400" s="1">
        <v>43680</v>
      </c>
      <c r="L400">
        <v>77691</v>
      </c>
      <c r="M400" s="1">
        <v>45444</v>
      </c>
      <c r="N400" t="s">
        <v>4782</v>
      </c>
      <c r="O400">
        <v>51200</v>
      </c>
      <c r="P400">
        <v>6.4000000000000001E-2</v>
      </c>
      <c r="Q400">
        <v>3276.8</v>
      </c>
      <c r="R400" t="s">
        <v>4794</v>
      </c>
      <c r="S400" t="s">
        <v>3310</v>
      </c>
      <c r="T400">
        <v>26</v>
      </c>
      <c r="U400" t="s">
        <v>26</v>
      </c>
      <c r="V400">
        <v>35000</v>
      </c>
      <c r="W400">
        <v>33985.839999999997</v>
      </c>
      <c r="X400">
        <v>0.97099999999999997</v>
      </c>
      <c r="Y400" t="s">
        <v>4793</v>
      </c>
      <c r="Z400">
        <v>2024</v>
      </c>
      <c r="AA400">
        <v>1</v>
      </c>
    </row>
    <row r="401" spans="1:27">
      <c r="A401" t="s">
        <v>4925</v>
      </c>
      <c r="B401" t="s">
        <v>4926</v>
      </c>
      <c r="C401" t="s">
        <v>2586</v>
      </c>
      <c r="D401" t="s">
        <v>202</v>
      </c>
      <c r="E401" t="s">
        <v>4927</v>
      </c>
      <c r="F401">
        <v>9978147010</v>
      </c>
      <c r="G401" t="s">
        <v>35</v>
      </c>
      <c r="H401" t="s">
        <v>4833</v>
      </c>
      <c r="I401" t="s">
        <v>4844</v>
      </c>
      <c r="J401" t="s">
        <v>4829</v>
      </c>
      <c r="K401" s="1">
        <v>43680</v>
      </c>
      <c r="L401">
        <v>77691</v>
      </c>
      <c r="M401" s="1">
        <v>45587</v>
      </c>
      <c r="N401" t="s">
        <v>4785</v>
      </c>
      <c r="O401">
        <v>177600</v>
      </c>
      <c r="P401">
        <v>0.11</v>
      </c>
      <c r="Q401">
        <v>0</v>
      </c>
      <c r="R401" t="s">
        <v>4783</v>
      </c>
      <c r="S401" t="s">
        <v>3317</v>
      </c>
      <c r="T401">
        <v>53</v>
      </c>
      <c r="U401" t="s">
        <v>4787</v>
      </c>
      <c r="V401">
        <v>35000</v>
      </c>
      <c r="W401">
        <v>106266.37</v>
      </c>
      <c r="X401">
        <v>3.036</v>
      </c>
      <c r="Y401" t="s">
        <v>4784</v>
      </c>
      <c r="Z401">
        <v>2024</v>
      </c>
      <c r="AA401">
        <v>0</v>
      </c>
    </row>
    <row r="402" spans="1:27">
      <c r="A402" t="s">
        <v>4928</v>
      </c>
      <c r="B402" t="s">
        <v>4929</v>
      </c>
      <c r="C402" t="s">
        <v>845</v>
      </c>
      <c r="D402" t="s">
        <v>605</v>
      </c>
      <c r="E402" t="s">
        <v>4930</v>
      </c>
      <c r="F402">
        <v>9627233412</v>
      </c>
      <c r="G402" t="s">
        <v>24</v>
      </c>
      <c r="H402" t="s">
        <v>4802</v>
      </c>
      <c r="I402" t="s">
        <v>4819</v>
      </c>
      <c r="J402" t="s">
        <v>4829</v>
      </c>
      <c r="K402" s="1">
        <v>44918</v>
      </c>
      <c r="L402">
        <v>33524</v>
      </c>
      <c r="M402" s="1">
        <v>44925</v>
      </c>
      <c r="N402" t="s">
        <v>4797</v>
      </c>
      <c r="O402">
        <v>157700</v>
      </c>
      <c r="P402">
        <v>0.10100000000000001</v>
      </c>
      <c r="Q402">
        <v>0</v>
      </c>
      <c r="R402" t="s">
        <v>4791</v>
      </c>
      <c r="S402" t="s">
        <v>3302</v>
      </c>
      <c r="T402">
        <v>28</v>
      </c>
      <c r="U402" t="s">
        <v>4787</v>
      </c>
      <c r="V402">
        <v>37500</v>
      </c>
      <c r="W402">
        <v>132168.25</v>
      </c>
      <c r="X402">
        <v>3.524</v>
      </c>
      <c r="Y402" t="s">
        <v>4784</v>
      </c>
      <c r="Z402">
        <v>2022</v>
      </c>
      <c r="AA402">
        <v>0</v>
      </c>
    </row>
    <row r="403" spans="1:27">
      <c r="A403" t="s">
        <v>4928</v>
      </c>
      <c r="B403" t="s">
        <v>4929</v>
      </c>
      <c r="C403" t="s">
        <v>845</v>
      </c>
      <c r="D403" t="s">
        <v>605</v>
      </c>
      <c r="E403" t="s">
        <v>4930</v>
      </c>
      <c r="F403">
        <v>9627233412</v>
      </c>
      <c r="G403" t="s">
        <v>24</v>
      </c>
      <c r="H403" t="s">
        <v>4802</v>
      </c>
      <c r="I403" t="s">
        <v>4819</v>
      </c>
      <c r="J403" t="s">
        <v>4829</v>
      </c>
      <c r="K403" s="1">
        <v>44918</v>
      </c>
      <c r="L403">
        <v>33524</v>
      </c>
      <c r="M403" s="1">
        <v>45030</v>
      </c>
      <c r="N403" t="s">
        <v>4789</v>
      </c>
      <c r="O403">
        <v>153700</v>
      </c>
      <c r="P403">
        <v>0.10299999999999999</v>
      </c>
      <c r="Q403">
        <v>0</v>
      </c>
      <c r="R403" t="s">
        <v>4786</v>
      </c>
      <c r="S403" t="s">
        <v>3310</v>
      </c>
      <c r="T403">
        <v>8</v>
      </c>
      <c r="U403" t="s">
        <v>4796</v>
      </c>
      <c r="V403">
        <v>37500</v>
      </c>
      <c r="W403">
        <v>188783.68</v>
      </c>
      <c r="X403">
        <v>5.0339999999999998</v>
      </c>
      <c r="Y403" t="s">
        <v>4784</v>
      </c>
      <c r="Z403">
        <v>2023</v>
      </c>
      <c r="AA403">
        <v>0</v>
      </c>
    </row>
    <row r="404" spans="1:27">
      <c r="A404" t="s">
        <v>4928</v>
      </c>
      <c r="B404" t="s">
        <v>4929</v>
      </c>
      <c r="C404" t="s">
        <v>845</v>
      </c>
      <c r="D404" t="s">
        <v>605</v>
      </c>
      <c r="E404" t="s">
        <v>4930</v>
      </c>
      <c r="F404">
        <v>9627233412</v>
      </c>
      <c r="G404" t="s">
        <v>24</v>
      </c>
      <c r="H404" t="s">
        <v>4802</v>
      </c>
      <c r="I404" t="s">
        <v>4819</v>
      </c>
      <c r="J404" t="s">
        <v>4829</v>
      </c>
      <c r="K404" s="1">
        <v>44918</v>
      </c>
      <c r="L404">
        <v>33524</v>
      </c>
      <c r="M404" s="1">
        <v>45060</v>
      </c>
      <c r="N404" t="s">
        <v>4782</v>
      </c>
      <c r="O404">
        <v>162800</v>
      </c>
      <c r="P404">
        <v>4.1000000000000002E-2</v>
      </c>
      <c r="Q404">
        <v>6674.8</v>
      </c>
      <c r="R404" t="s">
        <v>4783</v>
      </c>
      <c r="S404" t="s">
        <v>3317</v>
      </c>
      <c r="T404">
        <v>90</v>
      </c>
      <c r="U404" t="s">
        <v>4796</v>
      </c>
      <c r="V404">
        <v>37500</v>
      </c>
      <c r="W404">
        <v>135382.35</v>
      </c>
      <c r="X404">
        <v>3.61</v>
      </c>
      <c r="Y404" t="s">
        <v>4784</v>
      </c>
      <c r="Z404">
        <v>2023</v>
      </c>
      <c r="AA404">
        <v>1</v>
      </c>
    </row>
    <row r="405" spans="1:27">
      <c r="A405" t="s">
        <v>4928</v>
      </c>
      <c r="B405" t="s">
        <v>4929</v>
      </c>
      <c r="C405" t="s">
        <v>845</v>
      </c>
      <c r="D405" t="s">
        <v>605</v>
      </c>
      <c r="E405" t="s">
        <v>4930</v>
      </c>
      <c r="F405">
        <v>9627233412</v>
      </c>
      <c r="G405" t="s">
        <v>24</v>
      </c>
      <c r="H405" t="s">
        <v>4802</v>
      </c>
      <c r="I405" t="s">
        <v>4819</v>
      </c>
      <c r="J405" t="s">
        <v>4829</v>
      </c>
      <c r="K405" s="1">
        <v>44918</v>
      </c>
      <c r="L405">
        <v>33524</v>
      </c>
      <c r="M405" s="1">
        <v>45088</v>
      </c>
      <c r="N405" t="s">
        <v>4782</v>
      </c>
      <c r="O405">
        <v>81800</v>
      </c>
      <c r="P405">
        <v>3.7999999999999999E-2</v>
      </c>
      <c r="Q405">
        <v>3108.4</v>
      </c>
      <c r="R405" t="s">
        <v>4791</v>
      </c>
      <c r="S405" t="s">
        <v>3317</v>
      </c>
      <c r="T405">
        <v>9</v>
      </c>
      <c r="U405" t="s">
        <v>4795</v>
      </c>
      <c r="V405">
        <v>37500</v>
      </c>
      <c r="W405">
        <v>43084.06</v>
      </c>
      <c r="X405">
        <v>1.149</v>
      </c>
      <c r="Y405" t="s">
        <v>4784</v>
      </c>
      <c r="Z405">
        <v>2023</v>
      </c>
      <c r="AA405">
        <v>1</v>
      </c>
    </row>
    <row r="406" spans="1:27">
      <c r="A406" t="s">
        <v>4928</v>
      </c>
      <c r="B406" t="s">
        <v>4929</v>
      </c>
      <c r="C406" t="s">
        <v>845</v>
      </c>
      <c r="D406" t="s">
        <v>605</v>
      </c>
      <c r="E406" t="s">
        <v>4930</v>
      </c>
      <c r="F406">
        <v>9627233412</v>
      </c>
      <c r="G406" t="s">
        <v>24</v>
      </c>
      <c r="H406" t="s">
        <v>4802</v>
      </c>
      <c r="I406" t="s">
        <v>4819</v>
      </c>
      <c r="J406" t="s">
        <v>4829</v>
      </c>
      <c r="K406" s="1">
        <v>44918</v>
      </c>
      <c r="L406">
        <v>33524</v>
      </c>
      <c r="M406" s="1">
        <v>45114</v>
      </c>
      <c r="N406" t="s">
        <v>4782</v>
      </c>
      <c r="O406">
        <v>241500</v>
      </c>
      <c r="P406">
        <v>0.108</v>
      </c>
      <c r="Q406">
        <v>26082</v>
      </c>
      <c r="R406" t="s">
        <v>4790</v>
      </c>
      <c r="S406" t="s">
        <v>3348</v>
      </c>
      <c r="T406">
        <v>80</v>
      </c>
      <c r="U406" t="s">
        <v>4787</v>
      </c>
      <c r="V406">
        <v>37500</v>
      </c>
      <c r="W406">
        <v>309488.48</v>
      </c>
      <c r="X406">
        <v>8.2530000000000001</v>
      </c>
      <c r="Y406" t="s">
        <v>4784</v>
      </c>
      <c r="Z406">
        <v>2023</v>
      </c>
      <c r="AA406">
        <v>1</v>
      </c>
    </row>
    <row r="407" spans="1:27">
      <c r="A407" t="s">
        <v>4928</v>
      </c>
      <c r="B407" t="s">
        <v>4929</v>
      </c>
      <c r="C407" t="s">
        <v>845</v>
      </c>
      <c r="D407" t="s">
        <v>605</v>
      </c>
      <c r="E407" t="s">
        <v>4930</v>
      </c>
      <c r="F407">
        <v>9627233412</v>
      </c>
      <c r="G407" t="s">
        <v>24</v>
      </c>
      <c r="H407" t="s">
        <v>4802</v>
      </c>
      <c r="I407" t="s">
        <v>4819</v>
      </c>
      <c r="J407" t="s">
        <v>4829</v>
      </c>
      <c r="K407" s="1">
        <v>44918</v>
      </c>
      <c r="L407">
        <v>33524</v>
      </c>
      <c r="M407" s="1">
        <v>45158</v>
      </c>
      <c r="N407" t="s">
        <v>4789</v>
      </c>
      <c r="O407">
        <v>132200</v>
      </c>
      <c r="P407">
        <v>9.0999999999999998E-2</v>
      </c>
      <c r="Q407">
        <v>0</v>
      </c>
      <c r="R407" t="s">
        <v>4791</v>
      </c>
      <c r="S407" t="s">
        <v>3302</v>
      </c>
      <c r="T407">
        <v>8</v>
      </c>
      <c r="U407" t="s">
        <v>4795</v>
      </c>
      <c r="V407">
        <v>37500</v>
      </c>
      <c r="W407">
        <v>155549.01</v>
      </c>
      <c r="X407">
        <v>4.1479999999999997</v>
      </c>
      <c r="Y407" t="s">
        <v>4784</v>
      </c>
      <c r="Z407">
        <v>2023</v>
      </c>
      <c r="AA407">
        <v>0</v>
      </c>
    </row>
    <row r="408" spans="1:27">
      <c r="A408" t="s">
        <v>4928</v>
      </c>
      <c r="B408" t="s">
        <v>4929</v>
      </c>
      <c r="C408" t="s">
        <v>845</v>
      </c>
      <c r="D408" t="s">
        <v>605</v>
      </c>
      <c r="E408" t="s">
        <v>4930</v>
      </c>
      <c r="F408">
        <v>9627233412</v>
      </c>
      <c r="G408" t="s">
        <v>24</v>
      </c>
      <c r="H408" t="s">
        <v>4802</v>
      </c>
      <c r="I408" t="s">
        <v>4819</v>
      </c>
      <c r="J408" t="s">
        <v>4829</v>
      </c>
      <c r="K408" s="1">
        <v>44918</v>
      </c>
      <c r="L408">
        <v>33524</v>
      </c>
      <c r="M408" s="1">
        <v>45282</v>
      </c>
      <c r="N408" t="s">
        <v>4782</v>
      </c>
      <c r="O408">
        <v>216400</v>
      </c>
      <c r="P408">
        <v>3.9E-2</v>
      </c>
      <c r="Q408">
        <v>8439.6</v>
      </c>
      <c r="R408" t="s">
        <v>4790</v>
      </c>
      <c r="S408" t="s">
        <v>3411</v>
      </c>
      <c r="T408">
        <v>90</v>
      </c>
      <c r="U408" t="s">
        <v>26</v>
      </c>
      <c r="V408">
        <v>37500</v>
      </c>
      <c r="W408">
        <v>249443.88</v>
      </c>
      <c r="X408">
        <v>6.6520000000000001</v>
      </c>
      <c r="Y408" t="s">
        <v>4784</v>
      </c>
      <c r="Z408">
        <v>2023</v>
      </c>
      <c r="AA408">
        <v>1</v>
      </c>
    </row>
    <row r="409" spans="1:27">
      <c r="A409" t="s">
        <v>4928</v>
      </c>
      <c r="B409" t="s">
        <v>4929</v>
      </c>
      <c r="C409" t="s">
        <v>845</v>
      </c>
      <c r="D409" t="s">
        <v>605</v>
      </c>
      <c r="E409" t="s">
        <v>4930</v>
      </c>
      <c r="F409">
        <v>9627233412</v>
      </c>
      <c r="G409" t="s">
        <v>24</v>
      </c>
      <c r="H409" t="s">
        <v>4802</v>
      </c>
      <c r="I409" t="s">
        <v>4819</v>
      </c>
      <c r="J409" t="s">
        <v>4829</v>
      </c>
      <c r="K409" s="1">
        <v>44918</v>
      </c>
      <c r="L409">
        <v>33524</v>
      </c>
      <c r="M409" s="1">
        <v>45450</v>
      </c>
      <c r="N409" t="s">
        <v>4782</v>
      </c>
      <c r="O409">
        <v>249400</v>
      </c>
      <c r="P409">
        <v>7.3999999999999996E-2</v>
      </c>
      <c r="Q409">
        <v>18455.599999999999</v>
      </c>
      <c r="R409" t="s">
        <v>4798</v>
      </c>
      <c r="S409" t="s">
        <v>3317</v>
      </c>
      <c r="T409">
        <v>78</v>
      </c>
      <c r="U409" t="s">
        <v>26</v>
      </c>
      <c r="V409">
        <v>37500</v>
      </c>
      <c r="W409">
        <v>200242.06</v>
      </c>
      <c r="X409">
        <v>5.34</v>
      </c>
      <c r="Y409" t="s">
        <v>4784</v>
      </c>
      <c r="Z409">
        <v>2024</v>
      </c>
      <c r="AA409">
        <v>1</v>
      </c>
    </row>
    <row r="410" spans="1:27">
      <c r="A410" t="s">
        <v>4928</v>
      </c>
      <c r="B410" t="s">
        <v>4929</v>
      </c>
      <c r="C410" t="s">
        <v>845</v>
      </c>
      <c r="D410" t="s">
        <v>605</v>
      </c>
      <c r="E410" t="s">
        <v>4930</v>
      </c>
      <c r="F410">
        <v>9627233412</v>
      </c>
      <c r="G410" t="s">
        <v>24</v>
      </c>
      <c r="H410" t="s">
        <v>4802</v>
      </c>
      <c r="I410" t="s">
        <v>4819</v>
      </c>
      <c r="J410" t="s">
        <v>4829</v>
      </c>
      <c r="K410" s="1">
        <v>44918</v>
      </c>
      <c r="L410">
        <v>33524</v>
      </c>
      <c r="M410" s="1">
        <v>45551</v>
      </c>
      <c r="N410" t="s">
        <v>4797</v>
      </c>
      <c r="O410">
        <v>177700</v>
      </c>
      <c r="P410">
        <v>0.108</v>
      </c>
      <c r="Q410">
        <v>0</v>
      </c>
      <c r="R410" t="s">
        <v>4783</v>
      </c>
      <c r="S410" t="s">
        <v>3322</v>
      </c>
      <c r="T410">
        <v>85</v>
      </c>
      <c r="U410" t="s">
        <v>4796</v>
      </c>
      <c r="V410">
        <v>37500</v>
      </c>
      <c r="W410">
        <v>89350.44</v>
      </c>
      <c r="X410">
        <v>2.383</v>
      </c>
      <c r="Y410" t="s">
        <v>4784</v>
      </c>
      <c r="Z410">
        <v>2024</v>
      </c>
      <c r="AA410">
        <v>0</v>
      </c>
    </row>
    <row r="411" spans="1:27">
      <c r="A411" t="s">
        <v>4928</v>
      </c>
      <c r="B411" t="s">
        <v>4929</v>
      </c>
      <c r="C411" t="s">
        <v>845</v>
      </c>
      <c r="D411" t="s">
        <v>605</v>
      </c>
      <c r="E411" t="s">
        <v>4930</v>
      </c>
      <c r="F411">
        <v>9627233412</v>
      </c>
      <c r="G411" t="s">
        <v>24</v>
      </c>
      <c r="H411" t="s">
        <v>4802</v>
      </c>
      <c r="I411" t="s">
        <v>4819</v>
      </c>
      <c r="J411" t="s">
        <v>4829</v>
      </c>
      <c r="K411" s="1">
        <v>44918</v>
      </c>
      <c r="L411">
        <v>33524</v>
      </c>
      <c r="M411" s="1">
        <v>45616</v>
      </c>
      <c r="N411" t="s">
        <v>4782</v>
      </c>
      <c r="O411">
        <v>87600</v>
      </c>
      <c r="P411">
        <v>0.104</v>
      </c>
      <c r="Q411">
        <v>9110.4</v>
      </c>
      <c r="R411" t="s">
        <v>4788</v>
      </c>
      <c r="S411" t="s">
        <v>3348</v>
      </c>
      <c r="T411">
        <v>52</v>
      </c>
      <c r="U411" t="s">
        <v>26</v>
      </c>
      <c r="V411">
        <v>37500</v>
      </c>
      <c r="W411">
        <v>91956.19</v>
      </c>
      <c r="X411">
        <v>2.452</v>
      </c>
      <c r="Y411" t="s">
        <v>4784</v>
      </c>
      <c r="Z411">
        <v>2024</v>
      </c>
      <c r="AA411">
        <v>1</v>
      </c>
    </row>
    <row r="412" spans="1:27">
      <c r="A412" t="s">
        <v>4931</v>
      </c>
      <c r="B412" t="s">
        <v>4932</v>
      </c>
      <c r="C412" t="s">
        <v>287</v>
      </c>
      <c r="D412" t="s">
        <v>1235</v>
      </c>
      <c r="E412" t="s">
        <v>4933</v>
      </c>
      <c r="F412">
        <v>9828957055</v>
      </c>
      <c r="G412" t="s">
        <v>24</v>
      </c>
      <c r="H412" t="s">
        <v>4823</v>
      </c>
      <c r="I412" t="s">
        <v>4808</v>
      </c>
      <c r="J412" t="s">
        <v>4845</v>
      </c>
      <c r="K412" s="1">
        <v>43453</v>
      </c>
      <c r="L412">
        <v>50684</v>
      </c>
      <c r="M412" s="1">
        <v>44621</v>
      </c>
      <c r="N412" t="s">
        <v>4782</v>
      </c>
      <c r="O412">
        <v>248500</v>
      </c>
      <c r="P412">
        <v>0.114</v>
      </c>
      <c r="Q412">
        <v>28329</v>
      </c>
      <c r="R412" t="s">
        <v>4790</v>
      </c>
      <c r="S412" t="s">
        <v>3411</v>
      </c>
      <c r="T412">
        <v>36</v>
      </c>
      <c r="U412" t="s">
        <v>4796</v>
      </c>
      <c r="V412">
        <v>37500</v>
      </c>
      <c r="W412">
        <v>285093.48</v>
      </c>
      <c r="X412">
        <v>7.6020000000000003</v>
      </c>
      <c r="Y412" t="s">
        <v>4784</v>
      </c>
      <c r="Z412">
        <v>2022</v>
      </c>
      <c r="AA412">
        <v>1</v>
      </c>
    </row>
    <row r="413" spans="1:27">
      <c r="A413" t="s">
        <v>4931</v>
      </c>
      <c r="B413" t="s">
        <v>4932</v>
      </c>
      <c r="C413" t="s">
        <v>287</v>
      </c>
      <c r="D413" t="s">
        <v>1235</v>
      </c>
      <c r="E413" t="s">
        <v>4933</v>
      </c>
      <c r="F413">
        <v>9828957055</v>
      </c>
      <c r="G413" t="s">
        <v>24</v>
      </c>
      <c r="H413" t="s">
        <v>4823</v>
      </c>
      <c r="I413" t="s">
        <v>4808</v>
      </c>
      <c r="J413" t="s">
        <v>4845</v>
      </c>
      <c r="K413" s="1">
        <v>43453</v>
      </c>
      <c r="L413">
        <v>50684</v>
      </c>
      <c r="M413" s="1">
        <v>44740</v>
      </c>
      <c r="N413" t="s">
        <v>4782</v>
      </c>
      <c r="O413">
        <v>223200</v>
      </c>
      <c r="P413">
        <v>9.0999999999999998E-2</v>
      </c>
      <c r="Q413">
        <v>20311.2</v>
      </c>
      <c r="R413" t="s">
        <v>4783</v>
      </c>
      <c r="S413" t="s">
        <v>3411</v>
      </c>
      <c r="T413">
        <v>60</v>
      </c>
      <c r="U413" t="s">
        <v>4796</v>
      </c>
      <c r="V413">
        <v>37500</v>
      </c>
      <c r="W413">
        <v>291670.55</v>
      </c>
      <c r="X413">
        <v>7.7779999999999996</v>
      </c>
      <c r="Y413" t="s">
        <v>4784</v>
      </c>
      <c r="Z413">
        <v>2022</v>
      </c>
      <c r="AA413">
        <v>1</v>
      </c>
    </row>
    <row r="414" spans="1:27">
      <c r="A414" t="s">
        <v>4931</v>
      </c>
      <c r="B414" t="s">
        <v>4932</v>
      </c>
      <c r="C414" t="s">
        <v>287</v>
      </c>
      <c r="D414" t="s">
        <v>1235</v>
      </c>
      <c r="E414" t="s">
        <v>4933</v>
      </c>
      <c r="F414">
        <v>9828957055</v>
      </c>
      <c r="G414" t="s">
        <v>24</v>
      </c>
      <c r="H414" t="s">
        <v>4823</v>
      </c>
      <c r="I414" t="s">
        <v>4808</v>
      </c>
      <c r="J414" t="s">
        <v>4845</v>
      </c>
      <c r="K414" s="1">
        <v>43453</v>
      </c>
      <c r="L414">
        <v>50684</v>
      </c>
      <c r="M414" s="1">
        <v>44767</v>
      </c>
      <c r="N414" t="s">
        <v>4797</v>
      </c>
      <c r="O414">
        <v>105900</v>
      </c>
      <c r="P414">
        <v>5.6000000000000001E-2</v>
      </c>
      <c r="Q414">
        <v>0</v>
      </c>
      <c r="R414" t="s">
        <v>4786</v>
      </c>
      <c r="S414" t="s">
        <v>3348</v>
      </c>
      <c r="T414">
        <v>19</v>
      </c>
      <c r="U414" t="s">
        <v>4787</v>
      </c>
      <c r="V414">
        <v>37500</v>
      </c>
      <c r="W414">
        <v>65136.47</v>
      </c>
      <c r="X414">
        <v>1.7370000000000001</v>
      </c>
      <c r="Y414" t="s">
        <v>4784</v>
      </c>
      <c r="Z414">
        <v>2022</v>
      </c>
      <c r="AA414">
        <v>0</v>
      </c>
    </row>
    <row r="415" spans="1:27">
      <c r="A415" t="s">
        <v>4931</v>
      </c>
      <c r="B415" t="s">
        <v>4932</v>
      </c>
      <c r="C415" t="s">
        <v>287</v>
      </c>
      <c r="D415" t="s">
        <v>1235</v>
      </c>
      <c r="E415" t="s">
        <v>4933</v>
      </c>
      <c r="F415">
        <v>9828957055</v>
      </c>
      <c r="G415" t="s">
        <v>24</v>
      </c>
      <c r="H415" t="s">
        <v>4823</v>
      </c>
      <c r="I415" t="s">
        <v>4808</v>
      </c>
      <c r="J415" t="s">
        <v>4845</v>
      </c>
      <c r="K415" s="1">
        <v>43453</v>
      </c>
      <c r="L415">
        <v>50684</v>
      </c>
      <c r="M415" s="1">
        <v>44798</v>
      </c>
      <c r="N415" t="s">
        <v>4789</v>
      </c>
      <c r="O415">
        <v>178700</v>
      </c>
      <c r="P415">
        <v>7.9000000000000001E-2</v>
      </c>
      <c r="Q415">
        <v>0</v>
      </c>
      <c r="R415" t="s">
        <v>4786</v>
      </c>
      <c r="S415" t="s">
        <v>3310</v>
      </c>
      <c r="T415">
        <v>22</v>
      </c>
      <c r="U415" t="s">
        <v>4787</v>
      </c>
      <c r="V415">
        <v>37500</v>
      </c>
      <c r="W415">
        <v>106312.69</v>
      </c>
      <c r="X415">
        <v>2.835</v>
      </c>
      <c r="Y415" t="s">
        <v>4784</v>
      </c>
      <c r="Z415">
        <v>2022</v>
      </c>
      <c r="AA415">
        <v>0</v>
      </c>
    </row>
    <row r="416" spans="1:27">
      <c r="A416" t="s">
        <v>4931</v>
      </c>
      <c r="B416" t="s">
        <v>4932</v>
      </c>
      <c r="C416" t="s">
        <v>287</v>
      </c>
      <c r="D416" t="s">
        <v>1235</v>
      </c>
      <c r="E416" t="s">
        <v>4933</v>
      </c>
      <c r="F416">
        <v>9828957055</v>
      </c>
      <c r="G416" t="s">
        <v>24</v>
      </c>
      <c r="H416" t="s">
        <v>4823</v>
      </c>
      <c r="I416" t="s">
        <v>4808</v>
      </c>
      <c r="J416" t="s">
        <v>4845</v>
      </c>
      <c r="K416" s="1">
        <v>43453</v>
      </c>
      <c r="L416">
        <v>50684</v>
      </c>
      <c r="M416" s="1">
        <v>45157</v>
      </c>
      <c r="N416" t="s">
        <v>4782</v>
      </c>
      <c r="O416">
        <v>34200</v>
      </c>
      <c r="P416">
        <v>3.7999999999999999E-2</v>
      </c>
      <c r="Q416">
        <v>1299.5999999999999</v>
      </c>
      <c r="R416" t="s">
        <v>4794</v>
      </c>
      <c r="S416" t="s">
        <v>3416</v>
      </c>
      <c r="T416">
        <v>25</v>
      </c>
      <c r="U416" t="s">
        <v>4787</v>
      </c>
      <c r="V416">
        <v>37500</v>
      </c>
      <c r="W416">
        <v>34731.980000000003</v>
      </c>
      <c r="X416">
        <v>0.92600000000000005</v>
      </c>
      <c r="Y416" t="s">
        <v>4793</v>
      </c>
      <c r="Z416">
        <v>2023</v>
      </c>
      <c r="AA416">
        <v>1</v>
      </c>
    </row>
    <row r="417" spans="1:27">
      <c r="A417" t="s">
        <v>4931</v>
      </c>
      <c r="B417" t="s">
        <v>4932</v>
      </c>
      <c r="C417" t="s">
        <v>287</v>
      </c>
      <c r="D417" t="s">
        <v>1235</v>
      </c>
      <c r="E417" t="s">
        <v>4933</v>
      </c>
      <c r="F417">
        <v>9828957055</v>
      </c>
      <c r="G417" t="s">
        <v>24</v>
      </c>
      <c r="H417" t="s">
        <v>4823</v>
      </c>
      <c r="I417" t="s">
        <v>4808</v>
      </c>
      <c r="J417" t="s">
        <v>4845</v>
      </c>
      <c r="K417" s="1">
        <v>43453</v>
      </c>
      <c r="L417">
        <v>50684</v>
      </c>
      <c r="M417" s="1">
        <v>45221</v>
      </c>
      <c r="N417" t="s">
        <v>4782</v>
      </c>
      <c r="O417">
        <v>171100</v>
      </c>
      <c r="P417">
        <v>6.2E-2</v>
      </c>
      <c r="Q417">
        <v>10608.2</v>
      </c>
      <c r="R417" t="s">
        <v>4791</v>
      </c>
      <c r="S417" t="s">
        <v>3411</v>
      </c>
      <c r="T417">
        <v>42</v>
      </c>
      <c r="U417" t="s">
        <v>26</v>
      </c>
      <c r="V417">
        <v>37500</v>
      </c>
      <c r="W417">
        <v>121515.7</v>
      </c>
      <c r="X417">
        <v>3.24</v>
      </c>
      <c r="Y417" t="s">
        <v>4784</v>
      </c>
      <c r="Z417">
        <v>2023</v>
      </c>
      <c r="AA417">
        <v>1</v>
      </c>
    </row>
    <row r="418" spans="1:27">
      <c r="A418" t="s">
        <v>4931</v>
      </c>
      <c r="B418" t="s">
        <v>4932</v>
      </c>
      <c r="C418" t="s">
        <v>287</v>
      </c>
      <c r="D418" t="s">
        <v>1235</v>
      </c>
      <c r="E418" t="s">
        <v>4933</v>
      </c>
      <c r="F418">
        <v>9828957055</v>
      </c>
      <c r="G418" t="s">
        <v>24</v>
      </c>
      <c r="H418" t="s">
        <v>4823</v>
      </c>
      <c r="I418" t="s">
        <v>4808</v>
      </c>
      <c r="J418" t="s">
        <v>4845</v>
      </c>
      <c r="K418" s="1">
        <v>43453</v>
      </c>
      <c r="L418">
        <v>50684</v>
      </c>
      <c r="M418" s="1">
        <v>45243</v>
      </c>
      <c r="N418" t="s">
        <v>4782</v>
      </c>
      <c r="O418">
        <v>249300</v>
      </c>
      <c r="P418">
        <v>8.2000000000000003E-2</v>
      </c>
      <c r="Q418">
        <v>20442.599999999999</v>
      </c>
      <c r="R418" t="s">
        <v>4783</v>
      </c>
      <c r="S418" t="s">
        <v>3302</v>
      </c>
      <c r="T418">
        <v>83</v>
      </c>
      <c r="U418" t="s">
        <v>4795</v>
      </c>
      <c r="V418">
        <v>37500</v>
      </c>
      <c r="W418">
        <v>209239.81</v>
      </c>
      <c r="X418">
        <v>5.58</v>
      </c>
      <c r="Y418" t="s">
        <v>4784</v>
      </c>
      <c r="Z418">
        <v>2023</v>
      </c>
      <c r="AA418">
        <v>1</v>
      </c>
    </row>
    <row r="419" spans="1:27">
      <c r="A419" t="s">
        <v>4931</v>
      </c>
      <c r="B419" t="s">
        <v>4932</v>
      </c>
      <c r="C419" t="s">
        <v>287</v>
      </c>
      <c r="D419" t="s">
        <v>1235</v>
      </c>
      <c r="E419" t="s">
        <v>4933</v>
      </c>
      <c r="F419">
        <v>9828957055</v>
      </c>
      <c r="G419" t="s">
        <v>24</v>
      </c>
      <c r="H419" t="s">
        <v>4823</v>
      </c>
      <c r="I419" t="s">
        <v>4808</v>
      </c>
      <c r="J419" t="s">
        <v>4845</v>
      </c>
      <c r="K419" s="1">
        <v>43453</v>
      </c>
      <c r="L419">
        <v>50684</v>
      </c>
      <c r="M419" s="1">
        <v>45343</v>
      </c>
      <c r="N419" t="s">
        <v>4797</v>
      </c>
      <c r="O419">
        <v>173300</v>
      </c>
      <c r="P419">
        <v>0.10100000000000001</v>
      </c>
      <c r="Q419">
        <v>0</v>
      </c>
      <c r="R419" t="s">
        <v>4798</v>
      </c>
      <c r="S419" t="s">
        <v>3322</v>
      </c>
      <c r="T419">
        <v>30</v>
      </c>
      <c r="U419" t="s">
        <v>4796</v>
      </c>
      <c r="V419">
        <v>37500</v>
      </c>
      <c r="W419">
        <v>127060.88</v>
      </c>
      <c r="X419">
        <v>3.3879999999999999</v>
      </c>
      <c r="Y419" t="s">
        <v>4784</v>
      </c>
      <c r="Z419">
        <v>2024</v>
      </c>
      <c r="AA419">
        <v>0</v>
      </c>
    </row>
    <row r="420" spans="1:27">
      <c r="A420" t="s">
        <v>4931</v>
      </c>
      <c r="B420" t="s">
        <v>4932</v>
      </c>
      <c r="C420" t="s">
        <v>287</v>
      </c>
      <c r="D420" t="s">
        <v>1235</v>
      </c>
      <c r="E420" t="s">
        <v>4933</v>
      </c>
      <c r="F420">
        <v>9828957055</v>
      </c>
      <c r="G420" t="s">
        <v>24</v>
      </c>
      <c r="H420" t="s">
        <v>4823</v>
      </c>
      <c r="I420" t="s">
        <v>4808</v>
      </c>
      <c r="J420" t="s">
        <v>4845</v>
      </c>
      <c r="K420" s="1">
        <v>43453</v>
      </c>
      <c r="L420">
        <v>50684</v>
      </c>
      <c r="M420" s="1">
        <v>45537</v>
      </c>
      <c r="N420" t="s">
        <v>4797</v>
      </c>
      <c r="O420">
        <v>37300</v>
      </c>
      <c r="P420">
        <v>0.09</v>
      </c>
      <c r="Q420">
        <v>0</v>
      </c>
      <c r="R420" t="s">
        <v>4783</v>
      </c>
      <c r="S420" t="s">
        <v>3348</v>
      </c>
      <c r="T420">
        <v>63</v>
      </c>
      <c r="U420" t="s">
        <v>4787</v>
      </c>
      <c r="V420">
        <v>37500</v>
      </c>
      <c r="W420">
        <v>45356.29</v>
      </c>
      <c r="X420">
        <v>1.21</v>
      </c>
      <c r="Y420" t="s">
        <v>4784</v>
      </c>
      <c r="Z420">
        <v>2024</v>
      </c>
      <c r="AA420">
        <v>0</v>
      </c>
    </row>
    <row r="421" spans="1:27">
      <c r="A421" t="s">
        <v>4931</v>
      </c>
      <c r="B421" t="s">
        <v>4932</v>
      </c>
      <c r="C421" t="s">
        <v>287</v>
      </c>
      <c r="D421" t="s">
        <v>1235</v>
      </c>
      <c r="E421" t="s">
        <v>4933</v>
      </c>
      <c r="F421">
        <v>9828957055</v>
      </c>
      <c r="G421" t="s">
        <v>24</v>
      </c>
      <c r="H421" t="s">
        <v>4823</v>
      </c>
      <c r="I421" t="s">
        <v>4808</v>
      </c>
      <c r="J421" t="s">
        <v>4845</v>
      </c>
      <c r="K421" s="1">
        <v>43453</v>
      </c>
      <c r="L421">
        <v>50684</v>
      </c>
      <c r="M421" s="1">
        <v>45554</v>
      </c>
      <c r="N421" t="s">
        <v>4789</v>
      </c>
      <c r="O421">
        <v>198800</v>
      </c>
      <c r="P421">
        <v>8.5000000000000006E-2</v>
      </c>
      <c r="Q421">
        <v>0</v>
      </c>
      <c r="R421" t="s">
        <v>4791</v>
      </c>
      <c r="S421" t="s">
        <v>3317</v>
      </c>
      <c r="T421">
        <v>55</v>
      </c>
      <c r="U421" t="s">
        <v>26</v>
      </c>
      <c r="V421">
        <v>37500</v>
      </c>
      <c r="W421">
        <v>275971.03999999998</v>
      </c>
      <c r="X421">
        <v>7.359</v>
      </c>
      <c r="Y421" t="s">
        <v>4784</v>
      </c>
      <c r="Z421">
        <v>2024</v>
      </c>
      <c r="AA421">
        <v>0</v>
      </c>
    </row>
    <row r="422" spans="1:27">
      <c r="A422" t="s">
        <v>4934</v>
      </c>
      <c r="B422" t="s">
        <v>4814</v>
      </c>
      <c r="C422" t="s">
        <v>61</v>
      </c>
      <c r="D422" t="s">
        <v>816</v>
      </c>
      <c r="E422" t="s">
        <v>4935</v>
      </c>
      <c r="F422">
        <v>9642168851</v>
      </c>
      <c r="G422" t="s">
        <v>35</v>
      </c>
      <c r="H422" t="s">
        <v>4802</v>
      </c>
      <c r="I422" t="s">
        <v>4824</v>
      </c>
      <c r="J422" t="s">
        <v>4803</v>
      </c>
      <c r="K422" s="1">
        <v>45286</v>
      </c>
      <c r="L422">
        <v>74528</v>
      </c>
      <c r="M422" s="1">
        <v>45290</v>
      </c>
      <c r="N422" t="s">
        <v>4785</v>
      </c>
      <c r="O422">
        <v>228400</v>
      </c>
      <c r="P422">
        <v>7.0999999999999994E-2</v>
      </c>
      <c r="Q422">
        <v>0</v>
      </c>
      <c r="R422" t="s">
        <v>4786</v>
      </c>
      <c r="S422" t="s">
        <v>3411</v>
      </c>
      <c r="T422">
        <v>38</v>
      </c>
      <c r="U422" t="s">
        <v>4796</v>
      </c>
      <c r="V422">
        <v>35000</v>
      </c>
      <c r="W422">
        <v>216945.6</v>
      </c>
      <c r="X422">
        <v>6.1980000000000004</v>
      </c>
      <c r="Y422" t="s">
        <v>4784</v>
      </c>
      <c r="Z422">
        <v>2023</v>
      </c>
      <c r="AA422">
        <v>0</v>
      </c>
    </row>
    <row r="423" spans="1:27">
      <c r="A423" t="s">
        <v>4934</v>
      </c>
      <c r="B423" t="s">
        <v>4814</v>
      </c>
      <c r="C423" t="s">
        <v>61</v>
      </c>
      <c r="D423" t="s">
        <v>816</v>
      </c>
      <c r="E423" t="s">
        <v>4935</v>
      </c>
      <c r="F423">
        <v>9642168851</v>
      </c>
      <c r="G423" t="s">
        <v>35</v>
      </c>
      <c r="H423" t="s">
        <v>4802</v>
      </c>
      <c r="I423" t="s">
        <v>4824</v>
      </c>
      <c r="J423" t="s">
        <v>4803</v>
      </c>
      <c r="K423" s="1">
        <v>45286</v>
      </c>
      <c r="L423">
        <v>74528</v>
      </c>
      <c r="M423" s="1">
        <v>45351</v>
      </c>
      <c r="N423" t="s">
        <v>4782</v>
      </c>
      <c r="O423">
        <v>104700</v>
      </c>
      <c r="P423">
        <v>8.2000000000000003E-2</v>
      </c>
      <c r="Q423">
        <v>8585.4</v>
      </c>
      <c r="R423" t="s">
        <v>4791</v>
      </c>
      <c r="S423" t="s">
        <v>3317</v>
      </c>
      <c r="T423">
        <v>8</v>
      </c>
      <c r="U423" t="s">
        <v>4796</v>
      </c>
      <c r="V423">
        <v>35000</v>
      </c>
      <c r="W423">
        <v>132173.99</v>
      </c>
      <c r="X423">
        <v>3.7759999999999998</v>
      </c>
      <c r="Y423" t="s">
        <v>4784</v>
      </c>
      <c r="Z423">
        <v>2024</v>
      </c>
      <c r="AA423">
        <v>1</v>
      </c>
    </row>
    <row r="424" spans="1:27">
      <c r="A424" t="s">
        <v>4934</v>
      </c>
      <c r="B424" t="s">
        <v>4814</v>
      </c>
      <c r="C424" t="s">
        <v>61</v>
      </c>
      <c r="D424" t="s">
        <v>816</v>
      </c>
      <c r="E424" t="s">
        <v>4935</v>
      </c>
      <c r="F424">
        <v>9642168851</v>
      </c>
      <c r="G424" t="s">
        <v>35</v>
      </c>
      <c r="H424" t="s">
        <v>4802</v>
      </c>
      <c r="I424" t="s">
        <v>4824</v>
      </c>
      <c r="J424" t="s">
        <v>4803</v>
      </c>
      <c r="K424" s="1">
        <v>45286</v>
      </c>
      <c r="L424">
        <v>74528</v>
      </c>
      <c r="M424" s="1">
        <v>45385</v>
      </c>
      <c r="N424" t="s">
        <v>4797</v>
      </c>
      <c r="O424">
        <v>229500</v>
      </c>
      <c r="P424">
        <v>7.9000000000000001E-2</v>
      </c>
      <c r="Q424">
        <v>0</v>
      </c>
      <c r="R424" t="s">
        <v>4791</v>
      </c>
      <c r="S424" t="s">
        <v>3310</v>
      </c>
      <c r="T424">
        <v>42</v>
      </c>
      <c r="U424" t="s">
        <v>4787</v>
      </c>
      <c r="V424">
        <v>35000</v>
      </c>
      <c r="W424">
        <v>290278.2</v>
      </c>
      <c r="X424">
        <v>8.2940000000000005</v>
      </c>
      <c r="Y424" t="s">
        <v>4784</v>
      </c>
      <c r="Z424">
        <v>2024</v>
      </c>
      <c r="AA424">
        <v>0</v>
      </c>
    </row>
    <row r="425" spans="1:27">
      <c r="A425" t="s">
        <v>4934</v>
      </c>
      <c r="B425" t="s">
        <v>4814</v>
      </c>
      <c r="C425" t="s">
        <v>61</v>
      </c>
      <c r="D425" t="s">
        <v>816</v>
      </c>
      <c r="E425" t="s">
        <v>4935</v>
      </c>
      <c r="F425">
        <v>9642168851</v>
      </c>
      <c r="G425" t="s">
        <v>35</v>
      </c>
      <c r="H425" t="s">
        <v>4802</v>
      </c>
      <c r="I425" t="s">
        <v>4824</v>
      </c>
      <c r="J425" t="s">
        <v>4803</v>
      </c>
      <c r="K425" s="1">
        <v>45286</v>
      </c>
      <c r="L425">
        <v>74528</v>
      </c>
      <c r="M425" s="1">
        <v>45393</v>
      </c>
      <c r="N425" t="s">
        <v>4797</v>
      </c>
      <c r="O425">
        <v>250000</v>
      </c>
      <c r="P425">
        <v>0.10299999999999999</v>
      </c>
      <c r="Q425">
        <v>0</v>
      </c>
      <c r="R425" t="s">
        <v>4794</v>
      </c>
      <c r="S425" t="s">
        <v>3348</v>
      </c>
      <c r="T425">
        <v>7</v>
      </c>
      <c r="U425" t="s">
        <v>4796</v>
      </c>
      <c r="V425">
        <v>35000</v>
      </c>
      <c r="W425">
        <v>317775.23</v>
      </c>
      <c r="X425">
        <v>9.0790000000000006</v>
      </c>
      <c r="Y425" t="s">
        <v>4784</v>
      </c>
      <c r="Z425">
        <v>2024</v>
      </c>
      <c r="AA425">
        <v>0</v>
      </c>
    </row>
    <row r="426" spans="1:27">
      <c r="A426" t="s">
        <v>4934</v>
      </c>
      <c r="B426" t="s">
        <v>4814</v>
      </c>
      <c r="C426" t="s">
        <v>61</v>
      </c>
      <c r="D426" t="s">
        <v>816</v>
      </c>
      <c r="E426" t="s">
        <v>4935</v>
      </c>
      <c r="F426">
        <v>9642168851</v>
      </c>
      <c r="G426" t="s">
        <v>35</v>
      </c>
      <c r="H426" t="s">
        <v>4802</v>
      </c>
      <c r="I426" t="s">
        <v>4824</v>
      </c>
      <c r="J426" t="s">
        <v>4803</v>
      </c>
      <c r="K426" s="1">
        <v>45286</v>
      </c>
      <c r="L426">
        <v>74528</v>
      </c>
      <c r="M426" s="1">
        <v>45396</v>
      </c>
      <c r="N426" t="s">
        <v>4789</v>
      </c>
      <c r="O426">
        <v>81400</v>
      </c>
      <c r="P426">
        <v>9.2999999999999999E-2</v>
      </c>
      <c r="Q426">
        <v>0</v>
      </c>
      <c r="R426" t="s">
        <v>4790</v>
      </c>
      <c r="S426" t="s">
        <v>3302</v>
      </c>
      <c r="T426">
        <v>43</v>
      </c>
      <c r="U426" t="s">
        <v>4796</v>
      </c>
      <c r="V426">
        <v>35000</v>
      </c>
      <c r="W426">
        <v>101350.83</v>
      </c>
      <c r="X426">
        <v>2.8959999999999999</v>
      </c>
      <c r="Y426" t="s">
        <v>4784</v>
      </c>
      <c r="Z426">
        <v>2024</v>
      </c>
      <c r="AA426">
        <v>0</v>
      </c>
    </row>
    <row r="427" spans="1:27">
      <c r="A427" t="s">
        <v>4934</v>
      </c>
      <c r="B427" t="s">
        <v>4814</v>
      </c>
      <c r="C427" t="s">
        <v>61</v>
      </c>
      <c r="D427" t="s">
        <v>816</v>
      </c>
      <c r="E427" t="s">
        <v>4935</v>
      </c>
      <c r="F427">
        <v>9642168851</v>
      </c>
      <c r="G427" t="s">
        <v>35</v>
      </c>
      <c r="H427" t="s">
        <v>4802</v>
      </c>
      <c r="I427" t="s">
        <v>4824</v>
      </c>
      <c r="J427" t="s">
        <v>4803</v>
      </c>
      <c r="K427" s="1">
        <v>45286</v>
      </c>
      <c r="L427">
        <v>74528</v>
      </c>
      <c r="M427" s="1">
        <v>45444</v>
      </c>
      <c r="N427" t="s">
        <v>4785</v>
      </c>
      <c r="O427">
        <v>185500</v>
      </c>
      <c r="P427">
        <v>4.1000000000000002E-2</v>
      </c>
      <c r="Q427">
        <v>0</v>
      </c>
      <c r="R427" t="s">
        <v>4798</v>
      </c>
      <c r="S427" t="s">
        <v>3348</v>
      </c>
      <c r="T427">
        <v>74</v>
      </c>
      <c r="U427" t="s">
        <v>26</v>
      </c>
      <c r="V427">
        <v>35000</v>
      </c>
      <c r="W427">
        <v>198108.32</v>
      </c>
      <c r="X427">
        <v>5.66</v>
      </c>
      <c r="Y427" t="s">
        <v>4784</v>
      </c>
      <c r="Z427">
        <v>2024</v>
      </c>
      <c r="AA427">
        <v>0</v>
      </c>
    </row>
    <row r="428" spans="1:27">
      <c r="A428" t="s">
        <v>4934</v>
      </c>
      <c r="B428" t="s">
        <v>4814</v>
      </c>
      <c r="C428" t="s">
        <v>61</v>
      </c>
      <c r="D428" t="s">
        <v>816</v>
      </c>
      <c r="E428" t="s">
        <v>4935</v>
      </c>
      <c r="F428">
        <v>9642168851</v>
      </c>
      <c r="G428" t="s">
        <v>35</v>
      </c>
      <c r="H428" t="s">
        <v>4802</v>
      </c>
      <c r="I428" t="s">
        <v>4824</v>
      </c>
      <c r="J428" t="s">
        <v>4803</v>
      </c>
      <c r="K428" s="1">
        <v>45286</v>
      </c>
      <c r="L428">
        <v>74528</v>
      </c>
      <c r="M428" s="1">
        <v>45486</v>
      </c>
      <c r="N428" t="s">
        <v>4782</v>
      </c>
      <c r="O428">
        <v>218600</v>
      </c>
      <c r="P428">
        <v>8.8999999999999996E-2</v>
      </c>
      <c r="Q428">
        <v>19455.400000000001</v>
      </c>
      <c r="R428" t="s">
        <v>4798</v>
      </c>
      <c r="S428" t="s">
        <v>3310</v>
      </c>
      <c r="T428">
        <v>3</v>
      </c>
      <c r="U428" t="s">
        <v>26</v>
      </c>
      <c r="V428">
        <v>35000</v>
      </c>
      <c r="W428">
        <v>175682.07</v>
      </c>
      <c r="X428">
        <v>5.0190000000000001</v>
      </c>
      <c r="Y428" t="s">
        <v>4784</v>
      </c>
      <c r="Z428">
        <v>2024</v>
      </c>
      <c r="AA428">
        <v>1</v>
      </c>
    </row>
    <row r="429" spans="1:27">
      <c r="A429" t="s">
        <v>4934</v>
      </c>
      <c r="B429" t="s">
        <v>4814</v>
      </c>
      <c r="C429" t="s">
        <v>61</v>
      </c>
      <c r="D429" t="s">
        <v>816</v>
      </c>
      <c r="E429" t="s">
        <v>4935</v>
      </c>
      <c r="F429">
        <v>9642168851</v>
      </c>
      <c r="G429" t="s">
        <v>35</v>
      </c>
      <c r="H429" t="s">
        <v>4802</v>
      </c>
      <c r="I429" t="s">
        <v>4824</v>
      </c>
      <c r="J429" t="s">
        <v>4803</v>
      </c>
      <c r="K429" s="1">
        <v>45286</v>
      </c>
      <c r="L429">
        <v>74528</v>
      </c>
      <c r="M429" s="1">
        <v>45502</v>
      </c>
      <c r="N429" t="s">
        <v>4782</v>
      </c>
      <c r="O429">
        <v>207200</v>
      </c>
      <c r="P429">
        <v>6.3E-2</v>
      </c>
      <c r="Q429">
        <v>13053.6</v>
      </c>
      <c r="R429" t="s">
        <v>4794</v>
      </c>
      <c r="S429" t="s">
        <v>3411</v>
      </c>
      <c r="T429">
        <v>17</v>
      </c>
      <c r="U429" t="s">
        <v>4796</v>
      </c>
      <c r="V429">
        <v>35000</v>
      </c>
      <c r="W429">
        <v>123476.14</v>
      </c>
      <c r="X429">
        <v>3.528</v>
      </c>
      <c r="Y429" t="s">
        <v>4784</v>
      </c>
      <c r="Z429">
        <v>2024</v>
      </c>
      <c r="AA429">
        <v>1</v>
      </c>
    </row>
    <row r="430" spans="1:27">
      <c r="A430" t="s">
        <v>4934</v>
      </c>
      <c r="B430" t="s">
        <v>4814</v>
      </c>
      <c r="C430" t="s">
        <v>61</v>
      </c>
      <c r="D430" t="s">
        <v>816</v>
      </c>
      <c r="E430" t="s">
        <v>4935</v>
      </c>
      <c r="F430">
        <v>9642168851</v>
      </c>
      <c r="G430" t="s">
        <v>35</v>
      </c>
      <c r="H430" t="s">
        <v>4802</v>
      </c>
      <c r="I430" t="s">
        <v>4824</v>
      </c>
      <c r="J430" t="s">
        <v>4803</v>
      </c>
      <c r="K430" s="1">
        <v>45286</v>
      </c>
      <c r="L430">
        <v>74528</v>
      </c>
      <c r="M430" s="1">
        <v>45519</v>
      </c>
      <c r="N430" t="s">
        <v>4782</v>
      </c>
      <c r="O430">
        <v>162700</v>
      </c>
      <c r="P430">
        <v>5.6000000000000001E-2</v>
      </c>
      <c r="Q430">
        <v>9111.2000000000007</v>
      </c>
      <c r="R430" t="s">
        <v>4794</v>
      </c>
      <c r="S430" t="s">
        <v>3348</v>
      </c>
      <c r="T430">
        <v>90</v>
      </c>
      <c r="U430" t="s">
        <v>4787</v>
      </c>
      <c r="V430">
        <v>35000</v>
      </c>
      <c r="W430">
        <v>169044.04</v>
      </c>
      <c r="X430">
        <v>4.83</v>
      </c>
      <c r="Y430" t="s">
        <v>4784</v>
      </c>
      <c r="Z430">
        <v>2024</v>
      </c>
      <c r="AA430">
        <v>1</v>
      </c>
    </row>
    <row r="431" spans="1:27">
      <c r="A431" t="s">
        <v>4934</v>
      </c>
      <c r="B431" t="s">
        <v>4814</v>
      </c>
      <c r="C431" t="s">
        <v>61</v>
      </c>
      <c r="D431" t="s">
        <v>816</v>
      </c>
      <c r="E431" t="s">
        <v>4935</v>
      </c>
      <c r="F431">
        <v>9642168851</v>
      </c>
      <c r="G431" t="s">
        <v>35</v>
      </c>
      <c r="H431" t="s">
        <v>4802</v>
      </c>
      <c r="I431" t="s">
        <v>4824</v>
      </c>
      <c r="J431" t="s">
        <v>4803</v>
      </c>
      <c r="K431" s="1">
        <v>45286</v>
      </c>
      <c r="L431">
        <v>74528</v>
      </c>
      <c r="M431" s="1">
        <v>45633</v>
      </c>
      <c r="N431" t="s">
        <v>4789</v>
      </c>
      <c r="O431">
        <v>96300</v>
      </c>
      <c r="P431">
        <v>9.8000000000000004E-2</v>
      </c>
      <c r="Q431">
        <v>0</v>
      </c>
      <c r="R431" t="s">
        <v>4790</v>
      </c>
      <c r="S431" t="s">
        <v>3302</v>
      </c>
      <c r="T431">
        <v>68</v>
      </c>
      <c r="U431" t="s">
        <v>4795</v>
      </c>
      <c r="V431">
        <v>35000</v>
      </c>
      <c r="W431">
        <v>72622.5</v>
      </c>
      <c r="X431">
        <v>2.0750000000000002</v>
      </c>
      <c r="Y431" t="s">
        <v>4784</v>
      </c>
      <c r="Z431">
        <v>2024</v>
      </c>
      <c r="AA431">
        <v>0</v>
      </c>
    </row>
    <row r="432" spans="1:27">
      <c r="A432" t="s">
        <v>4936</v>
      </c>
      <c r="B432" t="s">
        <v>4937</v>
      </c>
      <c r="C432" t="s">
        <v>497</v>
      </c>
      <c r="D432" t="s">
        <v>231</v>
      </c>
      <c r="E432" t="s">
        <v>4938</v>
      </c>
      <c r="F432">
        <v>9852622392</v>
      </c>
      <c r="G432" t="s">
        <v>46</v>
      </c>
      <c r="H432" t="s">
        <v>4823</v>
      </c>
      <c r="I432" t="s">
        <v>4808</v>
      </c>
      <c r="J432" t="s">
        <v>4829</v>
      </c>
      <c r="K432" s="1">
        <v>45007</v>
      </c>
      <c r="L432">
        <v>40184</v>
      </c>
      <c r="M432" s="1">
        <v>45098</v>
      </c>
      <c r="N432" t="s">
        <v>4789</v>
      </c>
      <c r="O432">
        <v>231700</v>
      </c>
      <c r="P432">
        <v>0.104</v>
      </c>
      <c r="Q432">
        <v>0</v>
      </c>
      <c r="R432" t="s">
        <v>4790</v>
      </c>
      <c r="S432" t="s">
        <v>3317</v>
      </c>
      <c r="T432">
        <v>81</v>
      </c>
      <c r="U432" t="s">
        <v>26</v>
      </c>
      <c r="V432">
        <v>41666.67</v>
      </c>
      <c r="W432">
        <v>192447.88</v>
      </c>
      <c r="X432">
        <v>4.6189999999999998</v>
      </c>
      <c r="Y432" t="s">
        <v>4784</v>
      </c>
      <c r="Z432">
        <v>2023</v>
      </c>
      <c r="AA432">
        <v>0</v>
      </c>
    </row>
    <row r="433" spans="1:27">
      <c r="A433" t="s">
        <v>4936</v>
      </c>
      <c r="B433" t="s">
        <v>4937</v>
      </c>
      <c r="C433" t="s">
        <v>497</v>
      </c>
      <c r="D433" t="s">
        <v>231</v>
      </c>
      <c r="E433" t="s">
        <v>4938</v>
      </c>
      <c r="F433">
        <v>9852622392</v>
      </c>
      <c r="G433" t="s">
        <v>46</v>
      </c>
      <c r="H433" t="s">
        <v>4823</v>
      </c>
      <c r="I433" t="s">
        <v>4808</v>
      </c>
      <c r="J433" t="s">
        <v>4829</v>
      </c>
      <c r="K433" s="1">
        <v>45007</v>
      </c>
      <c r="L433">
        <v>40184</v>
      </c>
      <c r="M433" s="1">
        <v>45129</v>
      </c>
      <c r="N433" t="s">
        <v>4782</v>
      </c>
      <c r="O433">
        <v>26700</v>
      </c>
      <c r="P433">
        <v>4.1000000000000002E-2</v>
      </c>
      <c r="Q433">
        <v>1094.7</v>
      </c>
      <c r="R433" t="s">
        <v>4794</v>
      </c>
      <c r="S433" t="s">
        <v>3348</v>
      </c>
      <c r="T433">
        <v>66</v>
      </c>
      <c r="U433" t="s">
        <v>4796</v>
      </c>
      <c r="V433">
        <v>41666.67</v>
      </c>
      <c r="W433">
        <v>13903.33</v>
      </c>
      <c r="X433">
        <v>0.33400000000000002</v>
      </c>
      <c r="Y433" t="s">
        <v>4792</v>
      </c>
      <c r="Z433">
        <v>2023</v>
      </c>
      <c r="AA433">
        <v>1</v>
      </c>
    </row>
    <row r="434" spans="1:27">
      <c r="A434" t="s">
        <v>4936</v>
      </c>
      <c r="B434" t="s">
        <v>4937</v>
      </c>
      <c r="C434" t="s">
        <v>497</v>
      </c>
      <c r="D434" t="s">
        <v>231</v>
      </c>
      <c r="E434" t="s">
        <v>4938</v>
      </c>
      <c r="F434">
        <v>9852622392</v>
      </c>
      <c r="G434" t="s">
        <v>46</v>
      </c>
      <c r="H434" t="s">
        <v>4823</v>
      </c>
      <c r="I434" t="s">
        <v>4808</v>
      </c>
      <c r="J434" t="s">
        <v>4829</v>
      </c>
      <c r="K434" s="1">
        <v>45007</v>
      </c>
      <c r="L434">
        <v>40184</v>
      </c>
      <c r="M434" s="1">
        <v>45155</v>
      </c>
      <c r="N434" t="s">
        <v>4782</v>
      </c>
      <c r="O434">
        <v>62200</v>
      </c>
      <c r="P434">
        <v>0.10199999999999999</v>
      </c>
      <c r="Q434">
        <v>6344.4</v>
      </c>
      <c r="R434" t="s">
        <v>4786</v>
      </c>
      <c r="S434" t="s">
        <v>3348</v>
      </c>
      <c r="T434">
        <v>84</v>
      </c>
      <c r="U434" t="s">
        <v>4787</v>
      </c>
      <c r="V434">
        <v>41666.67</v>
      </c>
      <c r="W434">
        <v>51377.4</v>
      </c>
      <c r="X434">
        <v>1.2330000000000001</v>
      </c>
      <c r="Y434" t="s">
        <v>4784</v>
      </c>
      <c r="Z434">
        <v>2023</v>
      </c>
      <c r="AA434">
        <v>1</v>
      </c>
    </row>
    <row r="435" spans="1:27">
      <c r="A435" t="s">
        <v>4936</v>
      </c>
      <c r="B435" t="s">
        <v>4937</v>
      </c>
      <c r="C435" t="s">
        <v>497</v>
      </c>
      <c r="D435" t="s">
        <v>231</v>
      </c>
      <c r="E435" t="s">
        <v>4938</v>
      </c>
      <c r="F435">
        <v>9852622392</v>
      </c>
      <c r="G435" t="s">
        <v>46</v>
      </c>
      <c r="H435" t="s">
        <v>4823</v>
      </c>
      <c r="I435" t="s">
        <v>4808</v>
      </c>
      <c r="J435" t="s">
        <v>4829</v>
      </c>
      <c r="K435" s="1">
        <v>45007</v>
      </c>
      <c r="L435">
        <v>40184</v>
      </c>
      <c r="M435" s="1">
        <v>45179</v>
      </c>
      <c r="N435" t="s">
        <v>4782</v>
      </c>
      <c r="O435">
        <v>30200</v>
      </c>
      <c r="P435">
        <v>6.2E-2</v>
      </c>
      <c r="Q435">
        <v>1872.4</v>
      </c>
      <c r="R435" t="s">
        <v>4790</v>
      </c>
      <c r="S435" t="s">
        <v>3310</v>
      </c>
      <c r="T435">
        <v>7</v>
      </c>
      <c r="U435" t="s">
        <v>4787</v>
      </c>
      <c r="V435">
        <v>41666.67</v>
      </c>
      <c r="W435">
        <v>41743.919999999998</v>
      </c>
      <c r="X435">
        <v>1.002</v>
      </c>
      <c r="Y435" t="s">
        <v>4793</v>
      </c>
      <c r="Z435">
        <v>2023</v>
      </c>
      <c r="AA435">
        <v>1</v>
      </c>
    </row>
    <row r="436" spans="1:27">
      <c r="A436" t="s">
        <v>4936</v>
      </c>
      <c r="B436" t="s">
        <v>4937</v>
      </c>
      <c r="C436" t="s">
        <v>497</v>
      </c>
      <c r="D436" t="s">
        <v>231</v>
      </c>
      <c r="E436" t="s">
        <v>4938</v>
      </c>
      <c r="F436">
        <v>9852622392</v>
      </c>
      <c r="G436" t="s">
        <v>46</v>
      </c>
      <c r="H436" t="s">
        <v>4823</v>
      </c>
      <c r="I436" t="s">
        <v>4808</v>
      </c>
      <c r="J436" t="s">
        <v>4829</v>
      </c>
      <c r="K436" s="1">
        <v>45007</v>
      </c>
      <c r="L436">
        <v>40184</v>
      </c>
      <c r="M436" s="1">
        <v>45253</v>
      </c>
      <c r="N436" t="s">
        <v>4789</v>
      </c>
      <c r="O436">
        <v>133100</v>
      </c>
      <c r="P436">
        <v>5.7000000000000002E-2</v>
      </c>
      <c r="Q436">
        <v>0</v>
      </c>
      <c r="R436" t="s">
        <v>4783</v>
      </c>
      <c r="S436" t="s">
        <v>3310</v>
      </c>
      <c r="T436">
        <v>84</v>
      </c>
      <c r="U436" t="s">
        <v>26</v>
      </c>
      <c r="V436">
        <v>41666.67</v>
      </c>
      <c r="W436">
        <v>159489.04999999999</v>
      </c>
      <c r="X436">
        <v>3.8279999999999998</v>
      </c>
      <c r="Y436" t="s">
        <v>4784</v>
      </c>
      <c r="Z436">
        <v>2023</v>
      </c>
      <c r="AA436">
        <v>0</v>
      </c>
    </row>
    <row r="437" spans="1:27">
      <c r="A437" t="s">
        <v>4936</v>
      </c>
      <c r="B437" t="s">
        <v>4937</v>
      </c>
      <c r="C437" t="s">
        <v>497</v>
      </c>
      <c r="D437" t="s">
        <v>231</v>
      </c>
      <c r="E437" t="s">
        <v>4938</v>
      </c>
      <c r="F437">
        <v>9852622392</v>
      </c>
      <c r="G437" t="s">
        <v>46</v>
      </c>
      <c r="H437" t="s">
        <v>4823</v>
      </c>
      <c r="I437" t="s">
        <v>4808</v>
      </c>
      <c r="J437" t="s">
        <v>4829</v>
      </c>
      <c r="K437" s="1">
        <v>45007</v>
      </c>
      <c r="L437">
        <v>40184</v>
      </c>
      <c r="M437" s="1">
        <v>45318</v>
      </c>
      <c r="N437" t="s">
        <v>4789</v>
      </c>
      <c r="O437">
        <v>176600</v>
      </c>
      <c r="P437">
        <v>4.4999999999999998E-2</v>
      </c>
      <c r="Q437">
        <v>0</v>
      </c>
      <c r="R437" t="s">
        <v>4786</v>
      </c>
      <c r="S437" t="s">
        <v>3322</v>
      </c>
      <c r="T437">
        <v>90</v>
      </c>
      <c r="U437" t="s">
        <v>26</v>
      </c>
      <c r="V437">
        <v>41666.67</v>
      </c>
      <c r="W437">
        <v>134564.5</v>
      </c>
      <c r="X437">
        <v>3.23</v>
      </c>
      <c r="Y437" t="s">
        <v>4784</v>
      </c>
      <c r="Z437">
        <v>2024</v>
      </c>
      <c r="AA437">
        <v>0</v>
      </c>
    </row>
    <row r="438" spans="1:27">
      <c r="A438" t="s">
        <v>4936</v>
      </c>
      <c r="B438" t="s">
        <v>4937</v>
      </c>
      <c r="C438" t="s">
        <v>497</v>
      </c>
      <c r="D438" t="s">
        <v>231</v>
      </c>
      <c r="E438" t="s">
        <v>4938</v>
      </c>
      <c r="F438">
        <v>9852622392</v>
      </c>
      <c r="G438" t="s">
        <v>46</v>
      </c>
      <c r="H438" t="s">
        <v>4823</v>
      </c>
      <c r="I438" t="s">
        <v>4808</v>
      </c>
      <c r="J438" t="s">
        <v>4829</v>
      </c>
      <c r="K438" s="1">
        <v>45007</v>
      </c>
      <c r="L438">
        <v>40184</v>
      </c>
      <c r="M438" s="1">
        <v>45353</v>
      </c>
      <c r="N438" t="s">
        <v>4785</v>
      </c>
      <c r="O438">
        <v>118700</v>
      </c>
      <c r="P438">
        <v>0.11700000000000001</v>
      </c>
      <c r="Q438">
        <v>0</v>
      </c>
      <c r="R438" t="s">
        <v>4794</v>
      </c>
      <c r="S438" t="s">
        <v>3348</v>
      </c>
      <c r="T438">
        <v>52</v>
      </c>
      <c r="U438" t="s">
        <v>4796</v>
      </c>
      <c r="V438">
        <v>41666.67</v>
      </c>
      <c r="W438">
        <v>62981.45</v>
      </c>
      <c r="X438">
        <v>1.512</v>
      </c>
      <c r="Y438" t="s">
        <v>4784</v>
      </c>
      <c r="Z438">
        <v>2024</v>
      </c>
      <c r="AA438">
        <v>0</v>
      </c>
    </row>
    <row r="439" spans="1:27">
      <c r="A439" t="s">
        <v>4936</v>
      </c>
      <c r="B439" t="s">
        <v>4937</v>
      </c>
      <c r="C439" t="s">
        <v>497</v>
      </c>
      <c r="D439" t="s">
        <v>231</v>
      </c>
      <c r="E439" t="s">
        <v>4938</v>
      </c>
      <c r="F439">
        <v>9852622392</v>
      </c>
      <c r="G439" t="s">
        <v>46</v>
      </c>
      <c r="H439" t="s">
        <v>4823</v>
      </c>
      <c r="I439" t="s">
        <v>4808</v>
      </c>
      <c r="J439" t="s">
        <v>4829</v>
      </c>
      <c r="K439" s="1">
        <v>45007</v>
      </c>
      <c r="L439">
        <v>40184</v>
      </c>
      <c r="M439" s="1">
        <v>45451</v>
      </c>
      <c r="N439" t="s">
        <v>4782</v>
      </c>
      <c r="O439">
        <v>154800</v>
      </c>
      <c r="P439">
        <v>4.1000000000000002E-2</v>
      </c>
      <c r="Q439">
        <v>6346.8</v>
      </c>
      <c r="R439" t="s">
        <v>4788</v>
      </c>
      <c r="S439" t="s">
        <v>3302</v>
      </c>
      <c r="T439">
        <v>69</v>
      </c>
      <c r="U439" t="s">
        <v>4796</v>
      </c>
      <c r="V439">
        <v>41666.67</v>
      </c>
      <c r="W439">
        <v>133870.65</v>
      </c>
      <c r="X439">
        <v>3.2130000000000001</v>
      </c>
      <c r="Y439" t="s">
        <v>4784</v>
      </c>
      <c r="Z439">
        <v>2024</v>
      </c>
      <c r="AA439">
        <v>1</v>
      </c>
    </row>
    <row r="440" spans="1:27">
      <c r="A440" t="s">
        <v>4936</v>
      </c>
      <c r="B440" t="s">
        <v>4937</v>
      </c>
      <c r="C440" t="s">
        <v>497</v>
      </c>
      <c r="D440" t="s">
        <v>231</v>
      </c>
      <c r="E440" t="s">
        <v>4938</v>
      </c>
      <c r="F440">
        <v>9852622392</v>
      </c>
      <c r="G440" t="s">
        <v>46</v>
      </c>
      <c r="H440" t="s">
        <v>4823</v>
      </c>
      <c r="I440" t="s">
        <v>4808</v>
      </c>
      <c r="J440" t="s">
        <v>4829</v>
      </c>
      <c r="K440" s="1">
        <v>45007</v>
      </c>
      <c r="L440">
        <v>40184</v>
      </c>
      <c r="M440" s="1">
        <v>45593</v>
      </c>
      <c r="N440" t="s">
        <v>4785</v>
      </c>
      <c r="O440">
        <v>130700</v>
      </c>
      <c r="P440">
        <v>5.5E-2</v>
      </c>
      <c r="Q440">
        <v>0</v>
      </c>
      <c r="R440" t="s">
        <v>4794</v>
      </c>
      <c r="S440" t="s">
        <v>3302</v>
      </c>
      <c r="T440">
        <v>76</v>
      </c>
      <c r="U440" t="s">
        <v>4796</v>
      </c>
      <c r="V440">
        <v>41666.67</v>
      </c>
      <c r="W440">
        <v>110515.2</v>
      </c>
      <c r="X440">
        <v>2.6520000000000001</v>
      </c>
      <c r="Y440" t="s">
        <v>4784</v>
      </c>
      <c r="Z440">
        <v>2024</v>
      </c>
      <c r="AA440">
        <v>0</v>
      </c>
    </row>
    <row r="441" spans="1:27">
      <c r="A441" t="s">
        <v>4936</v>
      </c>
      <c r="B441" t="s">
        <v>4937</v>
      </c>
      <c r="C441" t="s">
        <v>497</v>
      </c>
      <c r="D441" t="s">
        <v>231</v>
      </c>
      <c r="E441" t="s">
        <v>4938</v>
      </c>
      <c r="F441">
        <v>9852622392</v>
      </c>
      <c r="G441" t="s">
        <v>46</v>
      </c>
      <c r="H441" t="s">
        <v>4823</v>
      </c>
      <c r="I441" t="s">
        <v>4808</v>
      </c>
      <c r="J441" t="s">
        <v>4829</v>
      </c>
      <c r="K441" s="1">
        <v>45007</v>
      </c>
      <c r="L441">
        <v>40184</v>
      </c>
      <c r="M441" s="1">
        <v>45596</v>
      </c>
      <c r="N441" t="s">
        <v>4782</v>
      </c>
      <c r="O441">
        <v>182800</v>
      </c>
      <c r="P441">
        <v>0.10100000000000001</v>
      </c>
      <c r="Q441">
        <v>18462.8</v>
      </c>
      <c r="R441" t="s">
        <v>4798</v>
      </c>
      <c r="S441" t="s">
        <v>3310</v>
      </c>
      <c r="T441">
        <v>49</v>
      </c>
      <c r="U441" t="s">
        <v>26</v>
      </c>
      <c r="V441">
        <v>41666.67</v>
      </c>
      <c r="W441">
        <v>203182.34</v>
      </c>
      <c r="X441">
        <v>4.8760000000000003</v>
      </c>
      <c r="Y441" t="s">
        <v>4784</v>
      </c>
      <c r="Z441">
        <v>2024</v>
      </c>
      <c r="AA441">
        <v>1</v>
      </c>
    </row>
    <row r="442" spans="1:27">
      <c r="A442" t="s">
        <v>4939</v>
      </c>
      <c r="B442" t="s">
        <v>4940</v>
      </c>
      <c r="C442" t="s">
        <v>307</v>
      </c>
      <c r="D442" t="s">
        <v>345</v>
      </c>
      <c r="E442" t="s">
        <v>4941</v>
      </c>
      <c r="F442">
        <v>9774354783</v>
      </c>
      <c r="G442" t="s">
        <v>35</v>
      </c>
      <c r="H442" t="s">
        <v>4802</v>
      </c>
      <c r="I442" t="s">
        <v>4808</v>
      </c>
      <c r="J442" t="s">
        <v>4809</v>
      </c>
      <c r="K442" s="1">
        <v>44454</v>
      </c>
      <c r="L442">
        <v>54706</v>
      </c>
      <c r="M442" s="1">
        <v>44562</v>
      </c>
      <c r="N442" t="s">
        <v>4782</v>
      </c>
      <c r="O442">
        <v>83800</v>
      </c>
      <c r="P442">
        <v>3.4000000000000002E-2</v>
      </c>
      <c r="Q442">
        <v>2849.2</v>
      </c>
      <c r="R442" t="s">
        <v>4783</v>
      </c>
      <c r="S442" t="s">
        <v>3411</v>
      </c>
      <c r="T442">
        <v>38</v>
      </c>
      <c r="U442" t="s">
        <v>26</v>
      </c>
      <c r="V442">
        <v>35000</v>
      </c>
      <c r="W442">
        <v>52447.87</v>
      </c>
      <c r="X442">
        <v>1.4990000000000001</v>
      </c>
      <c r="Y442" t="s">
        <v>4784</v>
      </c>
      <c r="Z442">
        <v>2022</v>
      </c>
      <c r="AA442">
        <v>1</v>
      </c>
    </row>
    <row r="443" spans="1:27">
      <c r="A443" t="s">
        <v>4939</v>
      </c>
      <c r="B443" t="s">
        <v>4940</v>
      </c>
      <c r="C443" t="s">
        <v>307</v>
      </c>
      <c r="D443" t="s">
        <v>345</v>
      </c>
      <c r="E443" t="s">
        <v>4941</v>
      </c>
      <c r="F443">
        <v>9774354783</v>
      </c>
      <c r="G443" t="s">
        <v>35</v>
      </c>
      <c r="H443" t="s">
        <v>4802</v>
      </c>
      <c r="I443" t="s">
        <v>4808</v>
      </c>
      <c r="J443" t="s">
        <v>4809</v>
      </c>
      <c r="K443" s="1">
        <v>44454</v>
      </c>
      <c r="L443">
        <v>54706</v>
      </c>
      <c r="M443" s="1">
        <v>44602</v>
      </c>
      <c r="N443" t="s">
        <v>4789</v>
      </c>
      <c r="O443">
        <v>150800</v>
      </c>
      <c r="P443">
        <v>0.104</v>
      </c>
      <c r="Q443">
        <v>0</v>
      </c>
      <c r="R443" t="s">
        <v>4798</v>
      </c>
      <c r="S443" t="s">
        <v>3411</v>
      </c>
      <c r="T443">
        <v>68</v>
      </c>
      <c r="U443" t="s">
        <v>26</v>
      </c>
      <c r="V443">
        <v>35000</v>
      </c>
      <c r="W443">
        <v>84076.81</v>
      </c>
      <c r="X443">
        <v>2.4020000000000001</v>
      </c>
      <c r="Y443" t="s">
        <v>4784</v>
      </c>
      <c r="Z443">
        <v>2022</v>
      </c>
      <c r="AA443">
        <v>0</v>
      </c>
    </row>
    <row r="444" spans="1:27">
      <c r="A444" t="s">
        <v>4939</v>
      </c>
      <c r="B444" t="s">
        <v>4940</v>
      </c>
      <c r="C444" t="s">
        <v>307</v>
      </c>
      <c r="D444" t="s">
        <v>345</v>
      </c>
      <c r="E444" t="s">
        <v>4941</v>
      </c>
      <c r="F444">
        <v>9774354783</v>
      </c>
      <c r="G444" t="s">
        <v>35</v>
      </c>
      <c r="H444" t="s">
        <v>4802</v>
      </c>
      <c r="I444" t="s">
        <v>4808</v>
      </c>
      <c r="J444" t="s">
        <v>4809</v>
      </c>
      <c r="K444" s="1">
        <v>44454</v>
      </c>
      <c r="L444">
        <v>54706</v>
      </c>
      <c r="M444" s="1">
        <v>44653</v>
      </c>
      <c r="N444" t="s">
        <v>4782</v>
      </c>
      <c r="O444">
        <v>14600</v>
      </c>
      <c r="P444">
        <v>4.7E-2</v>
      </c>
      <c r="Q444">
        <v>686.2</v>
      </c>
      <c r="R444" t="s">
        <v>4788</v>
      </c>
      <c r="S444" t="s">
        <v>3411</v>
      </c>
      <c r="T444">
        <v>28</v>
      </c>
      <c r="U444" t="s">
        <v>4796</v>
      </c>
      <c r="V444">
        <v>35000</v>
      </c>
      <c r="W444">
        <v>15212.18</v>
      </c>
      <c r="X444">
        <v>0.435</v>
      </c>
      <c r="Y444" t="s">
        <v>4792</v>
      </c>
      <c r="Z444">
        <v>2022</v>
      </c>
      <c r="AA444">
        <v>1</v>
      </c>
    </row>
    <row r="445" spans="1:27">
      <c r="A445" t="s">
        <v>4939</v>
      </c>
      <c r="B445" t="s">
        <v>4940</v>
      </c>
      <c r="C445" t="s">
        <v>307</v>
      </c>
      <c r="D445" t="s">
        <v>345</v>
      </c>
      <c r="E445" t="s">
        <v>4941</v>
      </c>
      <c r="F445">
        <v>9774354783</v>
      </c>
      <c r="G445" t="s">
        <v>35</v>
      </c>
      <c r="H445" t="s">
        <v>4802</v>
      </c>
      <c r="I445" t="s">
        <v>4808</v>
      </c>
      <c r="J445" t="s">
        <v>4809</v>
      </c>
      <c r="K445" s="1">
        <v>44454</v>
      </c>
      <c r="L445">
        <v>54706</v>
      </c>
      <c r="M445" s="1">
        <v>44816</v>
      </c>
      <c r="N445" t="s">
        <v>4782</v>
      </c>
      <c r="O445">
        <v>177600</v>
      </c>
      <c r="P445">
        <v>0.111</v>
      </c>
      <c r="Q445">
        <v>19713.599999999999</v>
      </c>
      <c r="R445" t="s">
        <v>4786</v>
      </c>
      <c r="S445" t="s">
        <v>3411</v>
      </c>
      <c r="T445">
        <v>77</v>
      </c>
      <c r="U445" t="s">
        <v>4796</v>
      </c>
      <c r="V445">
        <v>35000</v>
      </c>
      <c r="W445">
        <v>89650.99</v>
      </c>
      <c r="X445">
        <v>2.5609999999999999</v>
      </c>
      <c r="Y445" t="s">
        <v>4784</v>
      </c>
      <c r="Z445">
        <v>2022</v>
      </c>
      <c r="AA445">
        <v>1</v>
      </c>
    </row>
    <row r="446" spans="1:27">
      <c r="A446" t="s">
        <v>4939</v>
      </c>
      <c r="B446" t="s">
        <v>4940</v>
      </c>
      <c r="C446" t="s">
        <v>307</v>
      </c>
      <c r="D446" t="s">
        <v>345</v>
      </c>
      <c r="E446" t="s">
        <v>4941</v>
      </c>
      <c r="F446">
        <v>9774354783</v>
      </c>
      <c r="G446" t="s">
        <v>35</v>
      </c>
      <c r="H446" t="s">
        <v>4802</v>
      </c>
      <c r="I446" t="s">
        <v>4808</v>
      </c>
      <c r="J446" t="s">
        <v>4809</v>
      </c>
      <c r="K446" s="1">
        <v>44454</v>
      </c>
      <c r="L446">
        <v>54706</v>
      </c>
      <c r="M446" s="1">
        <v>44855</v>
      </c>
      <c r="N446" t="s">
        <v>4785</v>
      </c>
      <c r="O446">
        <v>58400</v>
      </c>
      <c r="P446">
        <v>3.5999999999999997E-2</v>
      </c>
      <c r="Q446">
        <v>0</v>
      </c>
      <c r="R446" t="s">
        <v>4794</v>
      </c>
      <c r="S446" t="s">
        <v>3317</v>
      </c>
      <c r="T446">
        <v>82</v>
      </c>
      <c r="U446" t="s">
        <v>4796</v>
      </c>
      <c r="V446">
        <v>35000</v>
      </c>
      <c r="W446">
        <v>66751.23</v>
      </c>
      <c r="X446">
        <v>1.907</v>
      </c>
      <c r="Y446" t="s">
        <v>4784</v>
      </c>
      <c r="Z446">
        <v>2022</v>
      </c>
      <c r="AA446">
        <v>0</v>
      </c>
    </row>
    <row r="447" spans="1:27">
      <c r="A447" t="s">
        <v>4939</v>
      </c>
      <c r="B447" t="s">
        <v>4940</v>
      </c>
      <c r="C447" t="s">
        <v>307</v>
      </c>
      <c r="D447" t="s">
        <v>345</v>
      </c>
      <c r="E447" t="s">
        <v>4941</v>
      </c>
      <c r="F447">
        <v>9774354783</v>
      </c>
      <c r="G447" t="s">
        <v>35</v>
      </c>
      <c r="H447" t="s">
        <v>4802</v>
      </c>
      <c r="I447" t="s">
        <v>4808</v>
      </c>
      <c r="J447" t="s">
        <v>4809</v>
      </c>
      <c r="K447" s="1">
        <v>44454</v>
      </c>
      <c r="L447">
        <v>54706</v>
      </c>
      <c r="M447" s="1">
        <v>45004</v>
      </c>
      <c r="N447" t="s">
        <v>4785</v>
      </c>
      <c r="O447">
        <v>99100</v>
      </c>
      <c r="P447">
        <v>5.5E-2</v>
      </c>
      <c r="Q447">
        <v>0</v>
      </c>
      <c r="R447" t="s">
        <v>4794</v>
      </c>
      <c r="S447" t="s">
        <v>3416</v>
      </c>
      <c r="T447">
        <v>55</v>
      </c>
      <c r="U447" t="s">
        <v>4787</v>
      </c>
      <c r="V447">
        <v>35000</v>
      </c>
      <c r="W447">
        <v>98591</v>
      </c>
      <c r="X447">
        <v>2.8170000000000002</v>
      </c>
      <c r="Y447" t="s">
        <v>4784</v>
      </c>
      <c r="Z447">
        <v>2023</v>
      </c>
      <c r="AA447">
        <v>0</v>
      </c>
    </row>
    <row r="448" spans="1:27">
      <c r="A448" t="s">
        <v>4939</v>
      </c>
      <c r="B448" t="s">
        <v>4940</v>
      </c>
      <c r="C448" t="s">
        <v>307</v>
      </c>
      <c r="D448" t="s">
        <v>345</v>
      </c>
      <c r="E448" t="s">
        <v>4941</v>
      </c>
      <c r="F448">
        <v>9774354783</v>
      </c>
      <c r="G448" t="s">
        <v>35</v>
      </c>
      <c r="H448" t="s">
        <v>4802</v>
      </c>
      <c r="I448" t="s">
        <v>4808</v>
      </c>
      <c r="J448" t="s">
        <v>4809</v>
      </c>
      <c r="K448" s="1">
        <v>44454</v>
      </c>
      <c r="L448">
        <v>54706</v>
      </c>
      <c r="M448" s="1">
        <v>45087</v>
      </c>
      <c r="N448" t="s">
        <v>4782</v>
      </c>
      <c r="O448">
        <v>27200</v>
      </c>
      <c r="P448">
        <v>0.11799999999999999</v>
      </c>
      <c r="Q448">
        <v>3209.6</v>
      </c>
      <c r="R448" t="s">
        <v>4783</v>
      </c>
      <c r="S448" t="s">
        <v>3317</v>
      </c>
      <c r="T448">
        <v>47</v>
      </c>
      <c r="U448" t="s">
        <v>4796</v>
      </c>
      <c r="V448">
        <v>35000</v>
      </c>
      <c r="W448">
        <v>23956.3</v>
      </c>
      <c r="X448">
        <v>0.68400000000000005</v>
      </c>
      <c r="Y448" t="s">
        <v>4792</v>
      </c>
      <c r="Z448">
        <v>2023</v>
      </c>
      <c r="AA448">
        <v>1</v>
      </c>
    </row>
    <row r="449" spans="1:27">
      <c r="A449" t="s">
        <v>4939</v>
      </c>
      <c r="B449" t="s">
        <v>4940</v>
      </c>
      <c r="C449" t="s">
        <v>307</v>
      </c>
      <c r="D449" t="s">
        <v>345</v>
      </c>
      <c r="E449" t="s">
        <v>4941</v>
      </c>
      <c r="F449">
        <v>9774354783</v>
      </c>
      <c r="G449" t="s">
        <v>35</v>
      </c>
      <c r="H449" t="s">
        <v>4802</v>
      </c>
      <c r="I449" t="s">
        <v>4808</v>
      </c>
      <c r="J449" t="s">
        <v>4809</v>
      </c>
      <c r="K449" s="1">
        <v>44454</v>
      </c>
      <c r="L449">
        <v>54706</v>
      </c>
      <c r="M449" s="1">
        <v>45095</v>
      </c>
      <c r="N449" t="s">
        <v>4789</v>
      </c>
      <c r="O449">
        <v>175300</v>
      </c>
      <c r="P449">
        <v>0.111</v>
      </c>
      <c r="Q449">
        <v>0</v>
      </c>
      <c r="R449" t="s">
        <v>4790</v>
      </c>
      <c r="S449" t="s">
        <v>3322</v>
      </c>
      <c r="T449">
        <v>11</v>
      </c>
      <c r="U449" t="s">
        <v>4795</v>
      </c>
      <c r="V449">
        <v>35000</v>
      </c>
      <c r="W449">
        <v>194385.46</v>
      </c>
      <c r="X449">
        <v>5.5540000000000003</v>
      </c>
      <c r="Y449" t="s">
        <v>4784</v>
      </c>
      <c r="Z449">
        <v>2023</v>
      </c>
      <c r="AA449">
        <v>0</v>
      </c>
    </row>
    <row r="450" spans="1:27">
      <c r="A450" t="s">
        <v>4939</v>
      </c>
      <c r="B450" t="s">
        <v>4940</v>
      </c>
      <c r="C450" t="s">
        <v>307</v>
      </c>
      <c r="D450" t="s">
        <v>345</v>
      </c>
      <c r="E450" t="s">
        <v>4941</v>
      </c>
      <c r="F450">
        <v>9774354783</v>
      </c>
      <c r="G450" t="s">
        <v>35</v>
      </c>
      <c r="H450" t="s">
        <v>4802</v>
      </c>
      <c r="I450" t="s">
        <v>4808</v>
      </c>
      <c r="J450" t="s">
        <v>4809</v>
      </c>
      <c r="K450" s="1">
        <v>44454</v>
      </c>
      <c r="L450">
        <v>54706</v>
      </c>
      <c r="M450" s="1">
        <v>45477</v>
      </c>
      <c r="N450" t="s">
        <v>4782</v>
      </c>
      <c r="O450">
        <v>37300</v>
      </c>
      <c r="P450">
        <v>3.4000000000000002E-2</v>
      </c>
      <c r="Q450">
        <v>1268.2</v>
      </c>
      <c r="R450" t="s">
        <v>4783</v>
      </c>
      <c r="S450" t="s">
        <v>3310</v>
      </c>
      <c r="T450">
        <v>84</v>
      </c>
      <c r="U450" t="s">
        <v>4796</v>
      </c>
      <c r="V450">
        <v>35000</v>
      </c>
      <c r="W450">
        <v>21598.15</v>
      </c>
      <c r="X450">
        <v>0.61699999999999999</v>
      </c>
      <c r="Y450" t="s">
        <v>4792</v>
      </c>
      <c r="Z450">
        <v>2024</v>
      </c>
      <c r="AA450">
        <v>1</v>
      </c>
    </row>
    <row r="451" spans="1:27">
      <c r="A451" t="s">
        <v>4939</v>
      </c>
      <c r="B451" t="s">
        <v>4940</v>
      </c>
      <c r="C451" t="s">
        <v>307</v>
      </c>
      <c r="D451" t="s">
        <v>345</v>
      </c>
      <c r="E451" t="s">
        <v>4941</v>
      </c>
      <c r="F451">
        <v>9774354783</v>
      </c>
      <c r="G451" t="s">
        <v>35</v>
      </c>
      <c r="H451" t="s">
        <v>4802</v>
      </c>
      <c r="I451" t="s">
        <v>4808</v>
      </c>
      <c r="J451" t="s">
        <v>4809</v>
      </c>
      <c r="K451" s="1">
        <v>44454</v>
      </c>
      <c r="L451">
        <v>54706</v>
      </c>
      <c r="M451" s="1">
        <v>45566</v>
      </c>
      <c r="N451" t="s">
        <v>4797</v>
      </c>
      <c r="O451">
        <v>87000</v>
      </c>
      <c r="P451">
        <v>7.6999999999999999E-2</v>
      </c>
      <c r="Q451">
        <v>0</v>
      </c>
      <c r="R451" t="s">
        <v>4788</v>
      </c>
      <c r="S451" t="s">
        <v>3416</v>
      </c>
      <c r="T451">
        <v>69</v>
      </c>
      <c r="U451" t="s">
        <v>4796</v>
      </c>
      <c r="V451">
        <v>35000</v>
      </c>
      <c r="W451">
        <v>97364.94</v>
      </c>
      <c r="X451">
        <v>2.782</v>
      </c>
      <c r="Y451" t="s">
        <v>4784</v>
      </c>
      <c r="Z451">
        <v>2024</v>
      </c>
      <c r="AA451">
        <v>0</v>
      </c>
    </row>
    <row r="452" spans="1:27">
      <c r="A452" t="s">
        <v>4942</v>
      </c>
      <c r="B452" t="s">
        <v>4943</v>
      </c>
      <c r="C452" t="s">
        <v>39</v>
      </c>
      <c r="D452" t="s">
        <v>521</v>
      </c>
      <c r="E452" t="s">
        <v>4944</v>
      </c>
      <c r="F452">
        <v>9691698380</v>
      </c>
      <c r="G452" t="s">
        <v>46</v>
      </c>
      <c r="H452" t="s">
        <v>4823</v>
      </c>
      <c r="I452" t="s">
        <v>4844</v>
      </c>
      <c r="J452" t="s">
        <v>4834</v>
      </c>
      <c r="K452" s="1">
        <v>44990</v>
      </c>
      <c r="L452">
        <v>43498</v>
      </c>
      <c r="M452" s="1">
        <v>45221</v>
      </c>
      <c r="N452" t="s">
        <v>4782</v>
      </c>
      <c r="O452">
        <v>7600</v>
      </c>
      <c r="P452">
        <v>3.9E-2</v>
      </c>
      <c r="Q452">
        <v>296.39999999999998</v>
      </c>
      <c r="R452" t="s">
        <v>4786</v>
      </c>
      <c r="S452" t="s">
        <v>3322</v>
      </c>
      <c r="T452">
        <v>14</v>
      </c>
      <c r="U452" t="s">
        <v>4787</v>
      </c>
      <c r="V452">
        <v>41666.67</v>
      </c>
      <c r="W452">
        <v>5002</v>
      </c>
      <c r="X452">
        <v>0.12</v>
      </c>
      <c r="Y452" t="s">
        <v>4792</v>
      </c>
      <c r="Z452">
        <v>2023</v>
      </c>
      <c r="AA452">
        <v>1</v>
      </c>
    </row>
    <row r="453" spans="1:27">
      <c r="A453" t="s">
        <v>4942</v>
      </c>
      <c r="B453" t="s">
        <v>4943</v>
      </c>
      <c r="C453" t="s">
        <v>39</v>
      </c>
      <c r="D453" t="s">
        <v>521</v>
      </c>
      <c r="E453" t="s">
        <v>4944</v>
      </c>
      <c r="F453">
        <v>9691698380</v>
      </c>
      <c r="G453" t="s">
        <v>46</v>
      </c>
      <c r="H453" t="s">
        <v>4823</v>
      </c>
      <c r="I453" t="s">
        <v>4844</v>
      </c>
      <c r="J453" t="s">
        <v>4834</v>
      </c>
      <c r="K453" s="1">
        <v>44990</v>
      </c>
      <c r="L453">
        <v>43498</v>
      </c>
      <c r="M453" s="1">
        <v>45303</v>
      </c>
      <c r="N453" t="s">
        <v>4785</v>
      </c>
      <c r="O453">
        <v>220300</v>
      </c>
      <c r="P453">
        <v>0.10299999999999999</v>
      </c>
      <c r="Q453">
        <v>0</v>
      </c>
      <c r="R453" t="s">
        <v>4791</v>
      </c>
      <c r="S453" t="s">
        <v>3416</v>
      </c>
      <c r="T453">
        <v>45</v>
      </c>
      <c r="U453" t="s">
        <v>4795</v>
      </c>
      <c r="V453">
        <v>41666.67</v>
      </c>
      <c r="W453">
        <v>219504.28</v>
      </c>
      <c r="X453">
        <v>5.2679999999999998</v>
      </c>
      <c r="Y453" t="s">
        <v>4784</v>
      </c>
      <c r="Z453">
        <v>2024</v>
      </c>
      <c r="AA453">
        <v>0</v>
      </c>
    </row>
    <row r="454" spans="1:27">
      <c r="A454" t="s">
        <v>4942</v>
      </c>
      <c r="B454" t="s">
        <v>4943</v>
      </c>
      <c r="C454" t="s">
        <v>39</v>
      </c>
      <c r="D454" t="s">
        <v>521</v>
      </c>
      <c r="E454" t="s">
        <v>4944</v>
      </c>
      <c r="F454">
        <v>9691698380</v>
      </c>
      <c r="G454" t="s">
        <v>46</v>
      </c>
      <c r="H454" t="s">
        <v>4823</v>
      </c>
      <c r="I454" t="s">
        <v>4844</v>
      </c>
      <c r="J454" t="s">
        <v>4834</v>
      </c>
      <c r="K454" s="1">
        <v>44990</v>
      </c>
      <c r="L454">
        <v>43498</v>
      </c>
      <c r="M454" s="1">
        <v>45352</v>
      </c>
      <c r="N454" t="s">
        <v>4789</v>
      </c>
      <c r="O454">
        <v>136700</v>
      </c>
      <c r="P454">
        <v>5.6000000000000001E-2</v>
      </c>
      <c r="Q454">
        <v>0</v>
      </c>
      <c r="R454" t="s">
        <v>4790</v>
      </c>
      <c r="S454" t="s">
        <v>3416</v>
      </c>
      <c r="T454">
        <v>30</v>
      </c>
      <c r="U454" t="s">
        <v>4795</v>
      </c>
      <c r="V454">
        <v>41666.67</v>
      </c>
      <c r="W454">
        <v>146552.20000000001</v>
      </c>
      <c r="X454">
        <v>3.5169999999999999</v>
      </c>
      <c r="Y454" t="s">
        <v>4784</v>
      </c>
      <c r="Z454">
        <v>2024</v>
      </c>
      <c r="AA454">
        <v>0</v>
      </c>
    </row>
    <row r="455" spans="1:27">
      <c r="A455" t="s">
        <v>4942</v>
      </c>
      <c r="B455" t="s">
        <v>4943</v>
      </c>
      <c r="C455" t="s">
        <v>39</v>
      </c>
      <c r="D455" t="s">
        <v>521</v>
      </c>
      <c r="E455" t="s">
        <v>4944</v>
      </c>
      <c r="F455">
        <v>9691698380</v>
      </c>
      <c r="G455" t="s">
        <v>46</v>
      </c>
      <c r="H455" t="s">
        <v>4823</v>
      </c>
      <c r="I455" t="s">
        <v>4844</v>
      </c>
      <c r="J455" t="s">
        <v>4834</v>
      </c>
      <c r="K455" s="1">
        <v>44990</v>
      </c>
      <c r="L455">
        <v>43498</v>
      </c>
      <c r="M455" s="1">
        <v>45434</v>
      </c>
      <c r="N455" t="s">
        <v>4789</v>
      </c>
      <c r="O455">
        <v>11800</v>
      </c>
      <c r="P455">
        <v>0.11700000000000001</v>
      </c>
      <c r="Q455">
        <v>0</v>
      </c>
      <c r="R455" t="s">
        <v>4786</v>
      </c>
      <c r="S455" t="s">
        <v>3302</v>
      </c>
      <c r="T455">
        <v>35</v>
      </c>
      <c r="U455" t="s">
        <v>4787</v>
      </c>
      <c r="V455">
        <v>41666.67</v>
      </c>
      <c r="W455">
        <v>11544.21</v>
      </c>
      <c r="X455">
        <v>0.27700000000000002</v>
      </c>
      <c r="Y455" t="s">
        <v>4792</v>
      </c>
      <c r="Z455">
        <v>2024</v>
      </c>
      <c r="AA455">
        <v>0</v>
      </c>
    </row>
    <row r="456" spans="1:27">
      <c r="A456" t="s">
        <v>4942</v>
      </c>
      <c r="B456" t="s">
        <v>4943</v>
      </c>
      <c r="C456" t="s">
        <v>39</v>
      </c>
      <c r="D456" t="s">
        <v>521</v>
      </c>
      <c r="E456" t="s">
        <v>4944</v>
      </c>
      <c r="F456">
        <v>9691698380</v>
      </c>
      <c r="G456" t="s">
        <v>46</v>
      </c>
      <c r="H456" t="s">
        <v>4823</v>
      </c>
      <c r="I456" t="s">
        <v>4844</v>
      </c>
      <c r="J456" t="s">
        <v>4834</v>
      </c>
      <c r="K456" s="1">
        <v>44990</v>
      </c>
      <c r="L456">
        <v>43498</v>
      </c>
      <c r="M456" s="1">
        <v>45515</v>
      </c>
      <c r="N456" t="s">
        <v>4797</v>
      </c>
      <c r="O456">
        <v>45800</v>
      </c>
      <c r="P456">
        <v>8.8999999999999996E-2</v>
      </c>
      <c r="Q456">
        <v>0</v>
      </c>
      <c r="R456" t="s">
        <v>4786</v>
      </c>
      <c r="S456" t="s">
        <v>3322</v>
      </c>
      <c r="T456">
        <v>73</v>
      </c>
      <c r="U456" t="s">
        <v>4795</v>
      </c>
      <c r="V456">
        <v>41666.67</v>
      </c>
      <c r="W456">
        <v>25079.08</v>
      </c>
      <c r="X456">
        <v>0.60199999999999998</v>
      </c>
      <c r="Y456" t="s">
        <v>4792</v>
      </c>
      <c r="Z456">
        <v>2024</v>
      </c>
      <c r="AA456">
        <v>0</v>
      </c>
    </row>
    <row r="457" spans="1:27">
      <c r="A457" t="s">
        <v>4942</v>
      </c>
      <c r="B457" t="s">
        <v>4943</v>
      </c>
      <c r="C457" t="s">
        <v>39</v>
      </c>
      <c r="D457" t="s">
        <v>521</v>
      </c>
      <c r="E457" t="s">
        <v>4944</v>
      </c>
      <c r="F457">
        <v>9691698380</v>
      </c>
      <c r="G457" t="s">
        <v>46</v>
      </c>
      <c r="H457" t="s">
        <v>4823</v>
      </c>
      <c r="I457" t="s">
        <v>4844</v>
      </c>
      <c r="J457" t="s">
        <v>4834</v>
      </c>
      <c r="K457" s="1">
        <v>44990</v>
      </c>
      <c r="L457">
        <v>43498</v>
      </c>
      <c r="M457" s="1">
        <v>45534</v>
      </c>
      <c r="N457" t="s">
        <v>4785</v>
      </c>
      <c r="O457">
        <v>160900</v>
      </c>
      <c r="P457">
        <v>0.109</v>
      </c>
      <c r="Q457">
        <v>0</v>
      </c>
      <c r="R457" t="s">
        <v>4790</v>
      </c>
      <c r="S457" t="s">
        <v>3322</v>
      </c>
      <c r="T457">
        <v>76</v>
      </c>
      <c r="U457" t="s">
        <v>4796</v>
      </c>
      <c r="V457">
        <v>41666.67</v>
      </c>
      <c r="W457">
        <v>117964.63</v>
      </c>
      <c r="X457">
        <v>2.831</v>
      </c>
      <c r="Y457" t="s">
        <v>4784</v>
      </c>
      <c r="Z457">
        <v>2024</v>
      </c>
      <c r="AA457">
        <v>0</v>
      </c>
    </row>
    <row r="458" spans="1:27">
      <c r="A458" t="s">
        <v>4942</v>
      </c>
      <c r="B458" t="s">
        <v>4943</v>
      </c>
      <c r="C458" t="s">
        <v>39</v>
      </c>
      <c r="D458" t="s">
        <v>521</v>
      </c>
      <c r="E458" t="s">
        <v>4944</v>
      </c>
      <c r="F458">
        <v>9691698380</v>
      </c>
      <c r="G458" t="s">
        <v>46</v>
      </c>
      <c r="H458" t="s">
        <v>4823</v>
      </c>
      <c r="I458" t="s">
        <v>4844</v>
      </c>
      <c r="J458" t="s">
        <v>4834</v>
      </c>
      <c r="K458" s="1">
        <v>44990</v>
      </c>
      <c r="L458">
        <v>43498</v>
      </c>
      <c r="M458" s="1">
        <v>45551</v>
      </c>
      <c r="N458" t="s">
        <v>4789</v>
      </c>
      <c r="O458">
        <v>22300</v>
      </c>
      <c r="P458">
        <v>0.06</v>
      </c>
      <c r="Q458">
        <v>0</v>
      </c>
      <c r="R458" t="s">
        <v>4791</v>
      </c>
      <c r="S458" t="s">
        <v>3317</v>
      </c>
      <c r="T458">
        <v>43</v>
      </c>
      <c r="U458" t="s">
        <v>4795</v>
      </c>
      <c r="V458">
        <v>41666.67</v>
      </c>
      <c r="W458">
        <v>14086.84</v>
      </c>
      <c r="X458">
        <v>0.33800000000000002</v>
      </c>
      <c r="Y458" t="s">
        <v>4792</v>
      </c>
      <c r="Z458">
        <v>2024</v>
      </c>
      <c r="AA458">
        <v>0</v>
      </c>
    </row>
    <row r="459" spans="1:27">
      <c r="A459" t="s">
        <v>4942</v>
      </c>
      <c r="B459" t="s">
        <v>4943</v>
      </c>
      <c r="C459" t="s">
        <v>39</v>
      </c>
      <c r="D459" t="s">
        <v>521</v>
      </c>
      <c r="E459" t="s">
        <v>4944</v>
      </c>
      <c r="F459">
        <v>9691698380</v>
      </c>
      <c r="G459" t="s">
        <v>46</v>
      </c>
      <c r="H459" t="s">
        <v>4823</v>
      </c>
      <c r="I459" t="s">
        <v>4844</v>
      </c>
      <c r="J459" t="s">
        <v>4834</v>
      </c>
      <c r="K459" s="1">
        <v>44990</v>
      </c>
      <c r="L459">
        <v>43498</v>
      </c>
      <c r="M459" s="1">
        <v>45567</v>
      </c>
      <c r="N459" t="s">
        <v>4797</v>
      </c>
      <c r="O459">
        <v>174800</v>
      </c>
      <c r="P459">
        <v>0.104</v>
      </c>
      <c r="Q459">
        <v>0</v>
      </c>
      <c r="R459" t="s">
        <v>4783</v>
      </c>
      <c r="S459" t="s">
        <v>3310</v>
      </c>
      <c r="T459">
        <v>54</v>
      </c>
      <c r="U459" t="s">
        <v>4796</v>
      </c>
      <c r="V459">
        <v>41666.67</v>
      </c>
      <c r="W459">
        <v>137169.81</v>
      </c>
      <c r="X459">
        <v>3.2919999999999998</v>
      </c>
      <c r="Y459" t="s">
        <v>4784</v>
      </c>
      <c r="Z459">
        <v>2024</v>
      </c>
      <c r="AA459">
        <v>0</v>
      </c>
    </row>
    <row r="460" spans="1:27">
      <c r="A460" t="s">
        <v>4942</v>
      </c>
      <c r="B460" t="s">
        <v>4943</v>
      </c>
      <c r="C460" t="s">
        <v>39</v>
      </c>
      <c r="D460" t="s">
        <v>521</v>
      </c>
      <c r="E460" t="s">
        <v>4944</v>
      </c>
      <c r="F460">
        <v>9691698380</v>
      </c>
      <c r="G460" t="s">
        <v>46</v>
      </c>
      <c r="H460" t="s">
        <v>4823</v>
      </c>
      <c r="I460" t="s">
        <v>4844</v>
      </c>
      <c r="J460" t="s">
        <v>4834</v>
      </c>
      <c r="K460" s="1">
        <v>44990</v>
      </c>
      <c r="L460">
        <v>43498</v>
      </c>
      <c r="M460" s="1">
        <v>45612</v>
      </c>
      <c r="N460" t="s">
        <v>4782</v>
      </c>
      <c r="O460">
        <v>240000</v>
      </c>
      <c r="P460">
        <v>3.4000000000000002E-2</v>
      </c>
      <c r="Q460">
        <v>8160</v>
      </c>
      <c r="R460" t="s">
        <v>4788</v>
      </c>
      <c r="S460" t="s">
        <v>3411</v>
      </c>
      <c r="T460">
        <v>50</v>
      </c>
      <c r="U460" t="s">
        <v>4796</v>
      </c>
      <c r="V460">
        <v>41666.67</v>
      </c>
      <c r="W460">
        <v>194557.34</v>
      </c>
      <c r="X460">
        <v>4.6689999999999996</v>
      </c>
      <c r="Y460" t="s">
        <v>4784</v>
      </c>
      <c r="Z460">
        <v>2024</v>
      </c>
      <c r="AA460">
        <v>1</v>
      </c>
    </row>
    <row r="461" spans="1:27">
      <c r="A461" t="s">
        <v>4942</v>
      </c>
      <c r="B461" t="s">
        <v>4943</v>
      </c>
      <c r="C461" t="s">
        <v>39</v>
      </c>
      <c r="D461" t="s">
        <v>521</v>
      </c>
      <c r="E461" t="s">
        <v>4944</v>
      </c>
      <c r="F461">
        <v>9691698380</v>
      </c>
      <c r="G461" t="s">
        <v>46</v>
      </c>
      <c r="H461" t="s">
        <v>4823</v>
      </c>
      <c r="I461" t="s">
        <v>4844</v>
      </c>
      <c r="J461" t="s">
        <v>4834</v>
      </c>
      <c r="K461" s="1">
        <v>44990</v>
      </c>
      <c r="L461">
        <v>43498</v>
      </c>
      <c r="M461" s="1">
        <v>45644</v>
      </c>
      <c r="N461" t="s">
        <v>4782</v>
      </c>
      <c r="O461">
        <v>190500</v>
      </c>
      <c r="P461">
        <v>0.1</v>
      </c>
      <c r="Q461">
        <v>19050</v>
      </c>
      <c r="R461" t="s">
        <v>4794</v>
      </c>
      <c r="S461" t="s">
        <v>3416</v>
      </c>
      <c r="T461">
        <v>54</v>
      </c>
      <c r="U461" t="s">
        <v>26</v>
      </c>
      <c r="V461">
        <v>41666.67</v>
      </c>
      <c r="W461">
        <v>126643.27</v>
      </c>
      <c r="X461">
        <v>3.0390000000000001</v>
      </c>
      <c r="Y461" t="s">
        <v>4784</v>
      </c>
      <c r="Z461">
        <v>2024</v>
      </c>
      <c r="AA461">
        <v>1</v>
      </c>
    </row>
    <row r="462" spans="1:27">
      <c r="A462" t="s">
        <v>4945</v>
      </c>
      <c r="B462" t="s">
        <v>4879</v>
      </c>
      <c r="C462" t="s">
        <v>805</v>
      </c>
      <c r="D462" t="s">
        <v>231</v>
      </c>
      <c r="E462" t="s">
        <v>4946</v>
      </c>
      <c r="F462">
        <v>9762198432</v>
      </c>
      <c r="G462" t="s">
        <v>24</v>
      </c>
      <c r="H462" t="s">
        <v>4807</v>
      </c>
      <c r="I462" t="s">
        <v>4780</v>
      </c>
      <c r="J462" t="s">
        <v>4829</v>
      </c>
      <c r="K462" s="1">
        <v>43391</v>
      </c>
      <c r="L462">
        <v>59914</v>
      </c>
      <c r="M462" s="1">
        <v>44583</v>
      </c>
      <c r="N462" t="s">
        <v>4789</v>
      </c>
      <c r="O462">
        <v>182500</v>
      </c>
      <c r="P462">
        <v>7.5999999999999998E-2</v>
      </c>
      <c r="Q462">
        <v>0</v>
      </c>
      <c r="R462" t="s">
        <v>4794</v>
      </c>
      <c r="S462" t="s">
        <v>3310</v>
      </c>
      <c r="T462">
        <v>62</v>
      </c>
      <c r="U462" t="s">
        <v>26</v>
      </c>
      <c r="V462">
        <v>37500</v>
      </c>
      <c r="W462">
        <v>175840.64000000001</v>
      </c>
      <c r="X462">
        <v>4.6890000000000001</v>
      </c>
      <c r="Y462" t="s">
        <v>4784</v>
      </c>
      <c r="Z462">
        <v>2022</v>
      </c>
      <c r="AA462">
        <v>0</v>
      </c>
    </row>
    <row r="463" spans="1:27">
      <c r="A463" t="s">
        <v>4945</v>
      </c>
      <c r="B463" t="s">
        <v>4879</v>
      </c>
      <c r="C463" t="s">
        <v>805</v>
      </c>
      <c r="D463" t="s">
        <v>231</v>
      </c>
      <c r="E463" t="s">
        <v>4946</v>
      </c>
      <c r="F463">
        <v>9762198432</v>
      </c>
      <c r="G463" t="s">
        <v>24</v>
      </c>
      <c r="H463" t="s">
        <v>4807</v>
      </c>
      <c r="I463" t="s">
        <v>4780</v>
      </c>
      <c r="J463" t="s">
        <v>4829</v>
      </c>
      <c r="K463" s="1">
        <v>43391</v>
      </c>
      <c r="L463">
        <v>59914</v>
      </c>
      <c r="M463" s="1">
        <v>44740</v>
      </c>
      <c r="N463" t="s">
        <v>4782</v>
      </c>
      <c r="O463">
        <v>111600</v>
      </c>
      <c r="P463">
        <v>9.9000000000000005E-2</v>
      </c>
      <c r="Q463">
        <v>11048.4</v>
      </c>
      <c r="R463" t="s">
        <v>4798</v>
      </c>
      <c r="S463" t="s">
        <v>3302</v>
      </c>
      <c r="T463">
        <v>82</v>
      </c>
      <c r="U463" t="s">
        <v>4787</v>
      </c>
      <c r="V463">
        <v>37500</v>
      </c>
      <c r="W463">
        <v>63503.07</v>
      </c>
      <c r="X463">
        <v>1.6930000000000001</v>
      </c>
      <c r="Y463" t="s">
        <v>4784</v>
      </c>
      <c r="Z463">
        <v>2022</v>
      </c>
      <c r="AA463">
        <v>1</v>
      </c>
    </row>
    <row r="464" spans="1:27">
      <c r="A464" t="s">
        <v>4945</v>
      </c>
      <c r="B464" t="s">
        <v>4879</v>
      </c>
      <c r="C464" t="s">
        <v>805</v>
      </c>
      <c r="D464" t="s">
        <v>231</v>
      </c>
      <c r="E464" t="s">
        <v>4946</v>
      </c>
      <c r="F464">
        <v>9762198432</v>
      </c>
      <c r="G464" t="s">
        <v>24</v>
      </c>
      <c r="H464" t="s">
        <v>4807</v>
      </c>
      <c r="I464" t="s">
        <v>4780</v>
      </c>
      <c r="J464" t="s">
        <v>4829</v>
      </c>
      <c r="K464" s="1">
        <v>43391</v>
      </c>
      <c r="L464">
        <v>59914</v>
      </c>
      <c r="M464" s="1">
        <v>44793</v>
      </c>
      <c r="N464" t="s">
        <v>4782</v>
      </c>
      <c r="O464">
        <v>244600</v>
      </c>
      <c r="P464">
        <v>9.0999999999999998E-2</v>
      </c>
      <c r="Q464">
        <v>22258.6</v>
      </c>
      <c r="R464" t="s">
        <v>4798</v>
      </c>
      <c r="S464" t="s">
        <v>3416</v>
      </c>
      <c r="T464">
        <v>16</v>
      </c>
      <c r="U464" t="s">
        <v>4795</v>
      </c>
      <c r="V464">
        <v>37500</v>
      </c>
      <c r="W464">
        <v>188161.04</v>
      </c>
      <c r="X464">
        <v>5.0179999999999998</v>
      </c>
      <c r="Y464" t="s">
        <v>4784</v>
      </c>
      <c r="Z464">
        <v>2022</v>
      </c>
      <c r="AA464">
        <v>1</v>
      </c>
    </row>
    <row r="465" spans="1:27">
      <c r="A465" t="s">
        <v>4945</v>
      </c>
      <c r="B465" t="s">
        <v>4879</v>
      </c>
      <c r="C465" t="s">
        <v>805</v>
      </c>
      <c r="D465" t="s">
        <v>231</v>
      </c>
      <c r="E465" t="s">
        <v>4946</v>
      </c>
      <c r="F465">
        <v>9762198432</v>
      </c>
      <c r="G465" t="s">
        <v>24</v>
      </c>
      <c r="H465" t="s">
        <v>4807</v>
      </c>
      <c r="I465" t="s">
        <v>4780</v>
      </c>
      <c r="J465" t="s">
        <v>4829</v>
      </c>
      <c r="K465" s="1">
        <v>43391</v>
      </c>
      <c r="L465">
        <v>59914</v>
      </c>
      <c r="M465" s="1">
        <v>44835</v>
      </c>
      <c r="N465" t="s">
        <v>4785</v>
      </c>
      <c r="O465">
        <v>97600</v>
      </c>
      <c r="P465">
        <v>0.11600000000000001</v>
      </c>
      <c r="Q465">
        <v>0</v>
      </c>
      <c r="R465" t="s">
        <v>4790</v>
      </c>
      <c r="S465" t="s">
        <v>3322</v>
      </c>
      <c r="T465">
        <v>49</v>
      </c>
      <c r="U465" t="s">
        <v>4796</v>
      </c>
      <c r="V465">
        <v>37500</v>
      </c>
      <c r="W465">
        <v>81589.240000000005</v>
      </c>
      <c r="X465">
        <v>2.1760000000000002</v>
      </c>
      <c r="Y465" t="s">
        <v>4784</v>
      </c>
      <c r="Z465">
        <v>2022</v>
      </c>
      <c r="AA465">
        <v>0</v>
      </c>
    </row>
    <row r="466" spans="1:27">
      <c r="A466" t="s">
        <v>4945</v>
      </c>
      <c r="B466" t="s">
        <v>4879</v>
      </c>
      <c r="C466" t="s">
        <v>805</v>
      </c>
      <c r="D466" t="s">
        <v>231</v>
      </c>
      <c r="E466" t="s">
        <v>4946</v>
      </c>
      <c r="F466">
        <v>9762198432</v>
      </c>
      <c r="G466" t="s">
        <v>24</v>
      </c>
      <c r="H466" t="s">
        <v>4807</v>
      </c>
      <c r="I466" t="s">
        <v>4780</v>
      </c>
      <c r="J466" t="s">
        <v>4829</v>
      </c>
      <c r="K466" s="1">
        <v>43391</v>
      </c>
      <c r="L466">
        <v>59914</v>
      </c>
      <c r="M466" s="1">
        <v>44907</v>
      </c>
      <c r="N466" t="s">
        <v>4797</v>
      </c>
      <c r="O466">
        <v>248800</v>
      </c>
      <c r="P466">
        <v>0.109</v>
      </c>
      <c r="Q466">
        <v>0</v>
      </c>
      <c r="R466" t="s">
        <v>4783</v>
      </c>
      <c r="S466" t="s">
        <v>3310</v>
      </c>
      <c r="T466">
        <v>23</v>
      </c>
      <c r="U466" t="s">
        <v>4787</v>
      </c>
      <c r="V466">
        <v>37500</v>
      </c>
      <c r="W466">
        <v>206590.05</v>
      </c>
      <c r="X466">
        <v>5.5090000000000003</v>
      </c>
      <c r="Y466" t="s">
        <v>4784</v>
      </c>
      <c r="Z466">
        <v>2022</v>
      </c>
      <c r="AA466">
        <v>0</v>
      </c>
    </row>
    <row r="467" spans="1:27">
      <c r="A467" t="s">
        <v>4945</v>
      </c>
      <c r="B467" t="s">
        <v>4879</v>
      </c>
      <c r="C467" t="s">
        <v>805</v>
      </c>
      <c r="D467" t="s">
        <v>231</v>
      </c>
      <c r="E467" t="s">
        <v>4946</v>
      </c>
      <c r="F467">
        <v>9762198432</v>
      </c>
      <c r="G467" t="s">
        <v>24</v>
      </c>
      <c r="H467" t="s">
        <v>4807</v>
      </c>
      <c r="I467" t="s">
        <v>4780</v>
      </c>
      <c r="J467" t="s">
        <v>4829</v>
      </c>
      <c r="K467" s="1">
        <v>43391</v>
      </c>
      <c r="L467">
        <v>59914</v>
      </c>
      <c r="M467" s="1">
        <v>45053</v>
      </c>
      <c r="N467" t="s">
        <v>4782</v>
      </c>
      <c r="O467">
        <v>48300</v>
      </c>
      <c r="P467">
        <v>8.2000000000000003E-2</v>
      </c>
      <c r="Q467">
        <v>3960.6</v>
      </c>
      <c r="R467" t="s">
        <v>4791</v>
      </c>
      <c r="S467" t="s">
        <v>3348</v>
      </c>
      <c r="T467">
        <v>37</v>
      </c>
      <c r="U467" t="s">
        <v>26</v>
      </c>
      <c r="V467">
        <v>37500</v>
      </c>
      <c r="W467">
        <v>59288.84</v>
      </c>
      <c r="X467">
        <v>1.581</v>
      </c>
      <c r="Y467" t="s">
        <v>4784</v>
      </c>
      <c r="Z467">
        <v>2023</v>
      </c>
      <c r="AA467">
        <v>1</v>
      </c>
    </row>
    <row r="468" spans="1:27">
      <c r="A468" t="s">
        <v>4945</v>
      </c>
      <c r="B468" t="s">
        <v>4879</v>
      </c>
      <c r="C468" t="s">
        <v>805</v>
      </c>
      <c r="D468" t="s">
        <v>231</v>
      </c>
      <c r="E468" t="s">
        <v>4946</v>
      </c>
      <c r="F468">
        <v>9762198432</v>
      </c>
      <c r="G468" t="s">
        <v>24</v>
      </c>
      <c r="H468" t="s">
        <v>4807</v>
      </c>
      <c r="I468" t="s">
        <v>4780</v>
      </c>
      <c r="J468" t="s">
        <v>4829</v>
      </c>
      <c r="K468" s="1">
        <v>43391</v>
      </c>
      <c r="L468">
        <v>59914</v>
      </c>
      <c r="M468" s="1">
        <v>45163</v>
      </c>
      <c r="N468" t="s">
        <v>4782</v>
      </c>
      <c r="O468">
        <v>60900</v>
      </c>
      <c r="P468">
        <v>0.03</v>
      </c>
      <c r="Q468">
        <v>1827</v>
      </c>
      <c r="R468" t="s">
        <v>4794</v>
      </c>
      <c r="S468" t="s">
        <v>3416</v>
      </c>
      <c r="T468">
        <v>51</v>
      </c>
      <c r="U468" t="s">
        <v>4796</v>
      </c>
      <c r="V468">
        <v>37500</v>
      </c>
      <c r="W468">
        <v>81042.720000000001</v>
      </c>
      <c r="X468">
        <v>2.161</v>
      </c>
      <c r="Y468" t="s">
        <v>4784</v>
      </c>
      <c r="Z468">
        <v>2023</v>
      </c>
      <c r="AA468">
        <v>1</v>
      </c>
    </row>
    <row r="469" spans="1:27">
      <c r="A469" t="s">
        <v>4945</v>
      </c>
      <c r="B469" t="s">
        <v>4879</v>
      </c>
      <c r="C469" t="s">
        <v>805</v>
      </c>
      <c r="D469" t="s">
        <v>231</v>
      </c>
      <c r="E469" t="s">
        <v>4946</v>
      </c>
      <c r="F469">
        <v>9762198432</v>
      </c>
      <c r="G469" t="s">
        <v>24</v>
      </c>
      <c r="H469" t="s">
        <v>4807</v>
      </c>
      <c r="I469" t="s">
        <v>4780</v>
      </c>
      <c r="J469" t="s">
        <v>4829</v>
      </c>
      <c r="K469" s="1">
        <v>43391</v>
      </c>
      <c r="L469">
        <v>59914</v>
      </c>
      <c r="M469" s="1">
        <v>45268</v>
      </c>
      <c r="N469" t="s">
        <v>4782</v>
      </c>
      <c r="O469">
        <v>198700</v>
      </c>
      <c r="P469">
        <v>0.09</v>
      </c>
      <c r="Q469">
        <v>17883</v>
      </c>
      <c r="R469" t="s">
        <v>4798</v>
      </c>
      <c r="S469" t="s">
        <v>3416</v>
      </c>
      <c r="T469">
        <v>88</v>
      </c>
      <c r="U469" t="s">
        <v>4787</v>
      </c>
      <c r="V469">
        <v>37500</v>
      </c>
      <c r="W469">
        <v>207966.61</v>
      </c>
      <c r="X469">
        <v>5.5460000000000003</v>
      </c>
      <c r="Y469" t="s">
        <v>4784</v>
      </c>
      <c r="Z469">
        <v>2023</v>
      </c>
      <c r="AA469">
        <v>1</v>
      </c>
    </row>
    <row r="470" spans="1:27">
      <c r="A470" t="s">
        <v>4945</v>
      </c>
      <c r="B470" t="s">
        <v>4879</v>
      </c>
      <c r="C470" t="s">
        <v>805</v>
      </c>
      <c r="D470" t="s">
        <v>231</v>
      </c>
      <c r="E470" t="s">
        <v>4946</v>
      </c>
      <c r="F470">
        <v>9762198432</v>
      </c>
      <c r="G470" t="s">
        <v>24</v>
      </c>
      <c r="H470" t="s">
        <v>4807</v>
      </c>
      <c r="I470" t="s">
        <v>4780</v>
      </c>
      <c r="J470" t="s">
        <v>4829</v>
      </c>
      <c r="K470" s="1">
        <v>43391</v>
      </c>
      <c r="L470">
        <v>59914</v>
      </c>
      <c r="M470" s="1">
        <v>45617</v>
      </c>
      <c r="N470" t="s">
        <v>4782</v>
      </c>
      <c r="O470">
        <v>126400</v>
      </c>
      <c r="P470">
        <v>0.11</v>
      </c>
      <c r="Q470">
        <v>13904</v>
      </c>
      <c r="R470" t="s">
        <v>4798</v>
      </c>
      <c r="S470" t="s">
        <v>3322</v>
      </c>
      <c r="T470">
        <v>8</v>
      </c>
      <c r="U470" t="s">
        <v>4795</v>
      </c>
      <c r="V470">
        <v>37500</v>
      </c>
      <c r="W470">
        <v>63870.17</v>
      </c>
      <c r="X470">
        <v>1.7030000000000001</v>
      </c>
      <c r="Y470" t="s">
        <v>4784</v>
      </c>
      <c r="Z470">
        <v>2024</v>
      </c>
      <c r="AA470">
        <v>1</v>
      </c>
    </row>
    <row r="471" spans="1:27">
      <c r="A471" t="s">
        <v>4945</v>
      </c>
      <c r="B471" t="s">
        <v>4879</v>
      </c>
      <c r="C471" t="s">
        <v>805</v>
      </c>
      <c r="D471" t="s">
        <v>231</v>
      </c>
      <c r="E471" t="s">
        <v>4946</v>
      </c>
      <c r="F471">
        <v>9762198432</v>
      </c>
      <c r="G471" t="s">
        <v>24</v>
      </c>
      <c r="H471" t="s">
        <v>4807</v>
      </c>
      <c r="I471" t="s">
        <v>4780</v>
      </c>
      <c r="J471" t="s">
        <v>4829</v>
      </c>
      <c r="K471" s="1">
        <v>43391</v>
      </c>
      <c r="L471">
        <v>59914</v>
      </c>
      <c r="M471" s="1">
        <v>45652</v>
      </c>
      <c r="N471" t="s">
        <v>4797</v>
      </c>
      <c r="O471">
        <v>37700</v>
      </c>
      <c r="P471">
        <v>6.6000000000000003E-2</v>
      </c>
      <c r="Q471">
        <v>0</v>
      </c>
      <c r="R471" t="s">
        <v>4783</v>
      </c>
      <c r="S471" t="s">
        <v>3310</v>
      </c>
      <c r="T471">
        <v>1</v>
      </c>
      <c r="U471" t="s">
        <v>26</v>
      </c>
      <c r="V471">
        <v>37500</v>
      </c>
      <c r="W471">
        <v>42688.94</v>
      </c>
      <c r="X471">
        <v>1.1379999999999999</v>
      </c>
      <c r="Y471" t="s">
        <v>4784</v>
      </c>
      <c r="Z471">
        <v>2024</v>
      </c>
      <c r="AA471">
        <v>0</v>
      </c>
    </row>
    <row r="472" spans="1:27">
      <c r="A472" t="s">
        <v>4947</v>
      </c>
      <c r="B472" t="s">
        <v>4948</v>
      </c>
      <c r="C472" t="s">
        <v>497</v>
      </c>
      <c r="D472" t="s">
        <v>105</v>
      </c>
      <c r="E472" t="s">
        <v>4949</v>
      </c>
      <c r="F472">
        <v>9858972921</v>
      </c>
      <c r="G472" t="s">
        <v>46</v>
      </c>
      <c r="H472" t="s">
        <v>4779</v>
      </c>
      <c r="I472" t="s">
        <v>4819</v>
      </c>
      <c r="J472" t="s">
        <v>4809</v>
      </c>
      <c r="K472" s="1">
        <v>43752</v>
      </c>
      <c r="L472">
        <v>50153</v>
      </c>
      <c r="M472" s="1">
        <v>44769</v>
      </c>
      <c r="N472" t="s">
        <v>4789</v>
      </c>
      <c r="O472">
        <v>134000</v>
      </c>
      <c r="P472">
        <v>4.8000000000000001E-2</v>
      </c>
      <c r="Q472">
        <v>0</v>
      </c>
      <c r="R472" t="s">
        <v>4783</v>
      </c>
      <c r="S472" t="s">
        <v>3416</v>
      </c>
      <c r="T472">
        <v>20</v>
      </c>
      <c r="U472" t="s">
        <v>26</v>
      </c>
      <c r="V472">
        <v>41666.67</v>
      </c>
      <c r="W472">
        <v>81935.42</v>
      </c>
      <c r="X472">
        <v>1.966</v>
      </c>
      <c r="Y472" t="s">
        <v>4784</v>
      </c>
      <c r="Z472">
        <v>2022</v>
      </c>
      <c r="AA472">
        <v>0</v>
      </c>
    </row>
    <row r="473" spans="1:27">
      <c r="A473" t="s">
        <v>4947</v>
      </c>
      <c r="B473" t="s">
        <v>4948</v>
      </c>
      <c r="C473" t="s">
        <v>497</v>
      </c>
      <c r="D473" t="s">
        <v>105</v>
      </c>
      <c r="E473" t="s">
        <v>4949</v>
      </c>
      <c r="F473">
        <v>9858972921</v>
      </c>
      <c r="G473" t="s">
        <v>46</v>
      </c>
      <c r="H473" t="s">
        <v>4779</v>
      </c>
      <c r="I473" t="s">
        <v>4819</v>
      </c>
      <c r="J473" t="s">
        <v>4809</v>
      </c>
      <c r="K473" s="1">
        <v>43752</v>
      </c>
      <c r="L473">
        <v>50153</v>
      </c>
      <c r="M473" s="1">
        <v>44782</v>
      </c>
      <c r="N473" t="s">
        <v>4782</v>
      </c>
      <c r="O473">
        <v>38100</v>
      </c>
      <c r="P473">
        <v>4.3999999999999997E-2</v>
      </c>
      <c r="Q473">
        <v>1676.4</v>
      </c>
      <c r="R473" t="s">
        <v>4783</v>
      </c>
      <c r="S473" t="s">
        <v>3302</v>
      </c>
      <c r="T473">
        <v>88</v>
      </c>
      <c r="U473" t="s">
        <v>4796</v>
      </c>
      <c r="V473">
        <v>41666.67</v>
      </c>
      <c r="W473">
        <v>20834.45</v>
      </c>
      <c r="X473">
        <v>0.5</v>
      </c>
      <c r="Y473" t="s">
        <v>4792</v>
      </c>
      <c r="Z473">
        <v>2022</v>
      </c>
      <c r="AA473">
        <v>1</v>
      </c>
    </row>
    <row r="474" spans="1:27">
      <c r="A474" t="s">
        <v>4947</v>
      </c>
      <c r="B474" t="s">
        <v>4948</v>
      </c>
      <c r="C474" t="s">
        <v>497</v>
      </c>
      <c r="D474" t="s">
        <v>105</v>
      </c>
      <c r="E474" t="s">
        <v>4949</v>
      </c>
      <c r="F474">
        <v>9858972921</v>
      </c>
      <c r="G474" t="s">
        <v>46</v>
      </c>
      <c r="H474" t="s">
        <v>4779</v>
      </c>
      <c r="I474" t="s">
        <v>4819</v>
      </c>
      <c r="J474" t="s">
        <v>4809</v>
      </c>
      <c r="K474" s="1">
        <v>43752</v>
      </c>
      <c r="L474">
        <v>50153</v>
      </c>
      <c r="M474" s="1">
        <v>45145</v>
      </c>
      <c r="N474" t="s">
        <v>4782</v>
      </c>
      <c r="O474">
        <v>40000</v>
      </c>
      <c r="P474">
        <v>6.6000000000000003E-2</v>
      </c>
      <c r="Q474">
        <v>2640</v>
      </c>
      <c r="R474" t="s">
        <v>4794</v>
      </c>
      <c r="S474" t="s">
        <v>3317</v>
      </c>
      <c r="T474">
        <v>5</v>
      </c>
      <c r="U474" t="s">
        <v>4796</v>
      </c>
      <c r="V474">
        <v>41666.67</v>
      </c>
      <c r="W474">
        <v>43983.37</v>
      </c>
      <c r="X474">
        <v>1.056</v>
      </c>
      <c r="Y474" t="s">
        <v>4793</v>
      </c>
      <c r="Z474">
        <v>2023</v>
      </c>
      <c r="AA474">
        <v>1</v>
      </c>
    </row>
    <row r="475" spans="1:27">
      <c r="A475" t="s">
        <v>4947</v>
      </c>
      <c r="B475" t="s">
        <v>4948</v>
      </c>
      <c r="C475" t="s">
        <v>497</v>
      </c>
      <c r="D475" t="s">
        <v>105</v>
      </c>
      <c r="E475" t="s">
        <v>4949</v>
      </c>
      <c r="F475">
        <v>9858972921</v>
      </c>
      <c r="G475" t="s">
        <v>46</v>
      </c>
      <c r="H475" t="s">
        <v>4779</v>
      </c>
      <c r="I475" t="s">
        <v>4819</v>
      </c>
      <c r="J475" t="s">
        <v>4809</v>
      </c>
      <c r="K475" s="1">
        <v>43752</v>
      </c>
      <c r="L475">
        <v>50153</v>
      </c>
      <c r="M475" s="1">
        <v>45262</v>
      </c>
      <c r="N475" t="s">
        <v>4789</v>
      </c>
      <c r="O475">
        <v>161500</v>
      </c>
      <c r="P475">
        <v>9.6000000000000002E-2</v>
      </c>
      <c r="Q475">
        <v>0</v>
      </c>
      <c r="R475" t="s">
        <v>4790</v>
      </c>
      <c r="S475" t="s">
        <v>3322</v>
      </c>
      <c r="T475">
        <v>38</v>
      </c>
      <c r="U475" t="s">
        <v>4795</v>
      </c>
      <c r="V475">
        <v>41666.67</v>
      </c>
      <c r="W475">
        <v>151379.82</v>
      </c>
      <c r="X475">
        <v>3.633</v>
      </c>
      <c r="Y475" t="s">
        <v>4784</v>
      </c>
      <c r="Z475">
        <v>2023</v>
      </c>
      <c r="AA475">
        <v>0</v>
      </c>
    </row>
    <row r="476" spans="1:27">
      <c r="A476" t="s">
        <v>4947</v>
      </c>
      <c r="B476" t="s">
        <v>4948</v>
      </c>
      <c r="C476" t="s">
        <v>497</v>
      </c>
      <c r="D476" t="s">
        <v>105</v>
      </c>
      <c r="E476" t="s">
        <v>4949</v>
      </c>
      <c r="F476">
        <v>9858972921</v>
      </c>
      <c r="G476" t="s">
        <v>46</v>
      </c>
      <c r="H476" t="s">
        <v>4779</v>
      </c>
      <c r="I476" t="s">
        <v>4819</v>
      </c>
      <c r="J476" t="s">
        <v>4809</v>
      </c>
      <c r="K476" s="1">
        <v>43752</v>
      </c>
      <c r="L476">
        <v>50153</v>
      </c>
      <c r="M476" s="1">
        <v>45308</v>
      </c>
      <c r="N476" t="s">
        <v>4789</v>
      </c>
      <c r="O476">
        <v>238900</v>
      </c>
      <c r="P476">
        <v>4.5999999999999999E-2</v>
      </c>
      <c r="Q476">
        <v>0</v>
      </c>
      <c r="R476" t="s">
        <v>4798</v>
      </c>
      <c r="S476" t="s">
        <v>3317</v>
      </c>
      <c r="T476">
        <v>14</v>
      </c>
      <c r="U476" t="s">
        <v>26</v>
      </c>
      <c r="V476">
        <v>41666.67</v>
      </c>
      <c r="W476">
        <v>260556.69</v>
      </c>
      <c r="X476">
        <v>6.2530000000000001</v>
      </c>
      <c r="Y476" t="s">
        <v>4784</v>
      </c>
      <c r="Z476">
        <v>2024</v>
      </c>
      <c r="AA476">
        <v>0</v>
      </c>
    </row>
    <row r="477" spans="1:27">
      <c r="A477" t="s">
        <v>4947</v>
      </c>
      <c r="B477" t="s">
        <v>4948</v>
      </c>
      <c r="C477" t="s">
        <v>497</v>
      </c>
      <c r="D477" t="s">
        <v>105</v>
      </c>
      <c r="E477" t="s">
        <v>4949</v>
      </c>
      <c r="F477">
        <v>9858972921</v>
      </c>
      <c r="G477" t="s">
        <v>46</v>
      </c>
      <c r="H477" t="s">
        <v>4779</v>
      </c>
      <c r="I477" t="s">
        <v>4819</v>
      </c>
      <c r="J477" t="s">
        <v>4809</v>
      </c>
      <c r="K477" s="1">
        <v>43752</v>
      </c>
      <c r="L477">
        <v>50153</v>
      </c>
      <c r="M477" s="1">
        <v>45380</v>
      </c>
      <c r="N477" t="s">
        <v>4785</v>
      </c>
      <c r="O477">
        <v>195300</v>
      </c>
      <c r="P477">
        <v>0.113</v>
      </c>
      <c r="Q477">
        <v>0</v>
      </c>
      <c r="R477" t="s">
        <v>4798</v>
      </c>
      <c r="S477" t="s">
        <v>3411</v>
      </c>
      <c r="T477">
        <v>50</v>
      </c>
      <c r="U477" t="s">
        <v>4796</v>
      </c>
      <c r="V477">
        <v>41666.67</v>
      </c>
      <c r="W477">
        <v>116937.73</v>
      </c>
      <c r="X477">
        <v>2.8069999999999999</v>
      </c>
      <c r="Y477" t="s">
        <v>4784</v>
      </c>
      <c r="Z477">
        <v>2024</v>
      </c>
      <c r="AA477">
        <v>0</v>
      </c>
    </row>
    <row r="478" spans="1:27">
      <c r="A478" t="s">
        <v>4947</v>
      </c>
      <c r="B478" t="s">
        <v>4948</v>
      </c>
      <c r="C478" t="s">
        <v>497</v>
      </c>
      <c r="D478" t="s">
        <v>105</v>
      </c>
      <c r="E478" t="s">
        <v>4949</v>
      </c>
      <c r="F478">
        <v>9858972921</v>
      </c>
      <c r="G478" t="s">
        <v>46</v>
      </c>
      <c r="H478" t="s">
        <v>4779</v>
      </c>
      <c r="I478" t="s">
        <v>4819</v>
      </c>
      <c r="J478" t="s">
        <v>4809</v>
      </c>
      <c r="K478" s="1">
        <v>43752</v>
      </c>
      <c r="L478">
        <v>50153</v>
      </c>
      <c r="M478" s="1">
        <v>45461</v>
      </c>
      <c r="N478" t="s">
        <v>4782</v>
      </c>
      <c r="O478">
        <v>41700</v>
      </c>
      <c r="P478">
        <v>6.2E-2</v>
      </c>
      <c r="Q478">
        <v>2585.4</v>
      </c>
      <c r="R478" t="s">
        <v>4790</v>
      </c>
      <c r="S478" t="s">
        <v>3302</v>
      </c>
      <c r="T478">
        <v>46</v>
      </c>
      <c r="U478" t="s">
        <v>4796</v>
      </c>
      <c r="V478">
        <v>41666.67</v>
      </c>
      <c r="W478">
        <v>25003.279999999999</v>
      </c>
      <c r="X478">
        <v>0.6</v>
      </c>
      <c r="Y478" t="s">
        <v>4792</v>
      </c>
      <c r="Z478">
        <v>2024</v>
      </c>
      <c r="AA478">
        <v>1</v>
      </c>
    </row>
    <row r="479" spans="1:27">
      <c r="A479" t="s">
        <v>4947</v>
      </c>
      <c r="B479" t="s">
        <v>4948</v>
      </c>
      <c r="C479" t="s">
        <v>497</v>
      </c>
      <c r="D479" t="s">
        <v>105</v>
      </c>
      <c r="E479" t="s">
        <v>4949</v>
      </c>
      <c r="F479">
        <v>9858972921</v>
      </c>
      <c r="G479" t="s">
        <v>46</v>
      </c>
      <c r="H479" t="s">
        <v>4779</v>
      </c>
      <c r="I479" t="s">
        <v>4819</v>
      </c>
      <c r="J479" t="s">
        <v>4809</v>
      </c>
      <c r="K479" s="1">
        <v>43752</v>
      </c>
      <c r="L479">
        <v>50153</v>
      </c>
      <c r="M479" s="1">
        <v>45504</v>
      </c>
      <c r="N479" t="s">
        <v>4782</v>
      </c>
      <c r="O479">
        <v>83200</v>
      </c>
      <c r="P479">
        <v>6.2E-2</v>
      </c>
      <c r="Q479">
        <v>5158.3999999999996</v>
      </c>
      <c r="R479" t="s">
        <v>4791</v>
      </c>
      <c r="S479" t="s">
        <v>3317</v>
      </c>
      <c r="T479">
        <v>24</v>
      </c>
      <c r="U479" t="s">
        <v>26</v>
      </c>
      <c r="V479">
        <v>41666.67</v>
      </c>
      <c r="W479">
        <v>68147.38</v>
      </c>
      <c r="X479">
        <v>1.6359999999999999</v>
      </c>
      <c r="Y479" t="s">
        <v>4784</v>
      </c>
      <c r="Z479">
        <v>2024</v>
      </c>
      <c r="AA479">
        <v>1</v>
      </c>
    </row>
    <row r="480" spans="1:27">
      <c r="A480" t="s">
        <v>4947</v>
      </c>
      <c r="B480" t="s">
        <v>4948</v>
      </c>
      <c r="C480" t="s">
        <v>497</v>
      </c>
      <c r="D480" t="s">
        <v>105</v>
      </c>
      <c r="E480" t="s">
        <v>4949</v>
      </c>
      <c r="F480">
        <v>9858972921</v>
      </c>
      <c r="G480" t="s">
        <v>46</v>
      </c>
      <c r="H480" t="s">
        <v>4779</v>
      </c>
      <c r="I480" t="s">
        <v>4819</v>
      </c>
      <c r="J480" t="s">
        <v>4809</v>
      </c>
      <c r="K480" s="1">
        <v>43752</v>
      </c>
      <c r="L480">
        <v>50153</v>
      </c>
      <c r="M480" s="1">
        <v>45543</v>
      </c>
      <c r="N480" t="s">
        <v>4797</v>
      </c>
      <c r="O480">
        <v>74700</v>
      </c>
      <c r="P480">
        <v>4.1000000000000002E-2</v>
      </c>
      <c r="Q480">
        <v>0</v>
      </c>
      <c r="R480" t="s">
        <v>4790</v>
      </c>
      <c r="S480" t="s">
        <v>3416</v>
      </c>
      <c r="T480">
        <v>64</v>
      </c>
      <c r="U480" t="s">
        <v>4796</v>
      </c>
      <c r="V480">
        <v>41666.67</v>
      </c>
      <c r="W480">
        <v>59192.2</v>
      </c>
      <c r="X480">
        <v>1.421</v>
      </c>
      <c r="Y480" t="s">
        <v>4784</v>
      </c>
      <c r="Z480">
        <v>2024</v>
      </c>
      <c r="AA480">
        <v>0</v>
      </c>
    </row>
    <row r="481" spans="1:27">
      <c r="A481" t="s">
        <v>4947</v>
      </c>
      <c r="B481" t="s">
        <v>4948</v>
      </c>
      <c r="C481" t="s">
        <v>497</v>
      </c>
      <c r="D481" t="s">
        <v>105</v>
      </c>
      <c r="E481" t="s">
        <v>4949</v>
      </c>
      <c r="F481">
        <v>9858972921</v>
      </c>
      <c r="G481" t="s">
        <v>46</v>
      </c>
      <c r="H481" t="s">
        <v>4779</v>
      </c>
      <c r="I481" t="s">
        <v>4819</v>
      </c>
      <c r="J481" t="s">
        <v>4809</v>
      </c>
      <c r="K481" s="1">
        <v>43752</v>
      </c>
      <c r="L481">
        <v>50153</v>
      </c>
      <c r="M481" s="1">
        <v>45560</v>
      </c>
      <c r="N481" t="s">
        <v>4782</v>
      </c>
      <c r="O481">
        <v>45800</v>
      </c>
      <c r="P481">
        <v>9.9000000000000005E-2</v>
      </c>
      <c r="Q481">
        <v>4534.2</v>
      </c>
      <c r="R481" t="s">
        <v>4788</v>
      </c>
      <c r="S481" t="s">
        <v>3310</v>
      </c>
      <c r="T481">
        <v>61</v>
      </c>
      <c r="U481" t="s">
        <v>26</v>
      </c>
      <c r="V481">
        <v>41666.67</v>
      </c>
      <c r="W481">
        <v>38329.040000000001</v>
      </c>
      <c r="X481">
        <v>0.92</v>
      </c>
      <c r="Y481" t="s">
        <v>4793</v>
      </c>
      <c r="Z481">
        <v>2024</v>
      </c>
      <c r="AA481">
        <v>1</v>
      </c>
    </row>
    <row r="482" spans="1:27">
      <c r="A482" t="s">
        <v>4950</v>
      </c>
      <c r="B482" t="s">
        <v>2090</v>
      </c>
      <c r="C482" t="s">
        <v>337</v>
      </c>
      <c r="D482" t="s">
        <v>238</v>
      </c>
      <c r="E482" t="s">
        <v>4951</v>
      </c>
      <c r="F482">
        <v>9892340643</v>
      </c>
      <c r="G482" t="s">
        <v>76</v>
      </c>
      <c r="H482" t="s">
        <v>4807</v>
      </c>
      <c r="I482" t="s">
        <v>4808</v>
      </c>
      <c r="J482" t="s">
        <v>4825</v>
      </c>
      <c r="K482" s="1">
        <v>44502</v>
      </c>
      <c r="L482">
        <v>70490</v>
      </c>
      <c r="M482" s="1">
        <v>44748</v>
      </c>
      <c r="N482" t="s">
        <v>4782</v>
      </c>
      <c r="O482">
        <v>104700</v>
      </c>
      <c r="P482">
        <v>6.7000000000000004E-2</v>
      </c>
      <c r="Q482">
        <v>7014.9</v>
      </c>
      <c r="R482" t="s">
        <v>4788</v>
      </c>
      <c r="S482" t="s">
        <v>3348</v>
      </c>
      <c r="T482">
        <v>82</v>
      </c>
      <c r="U482" t="s">
        <v>4796</v>
      </c>
      <c r="V482">
        <v>33333.33</v>
      </c>
      <c r="W482">
        <v>73247.88</v>
      </c>
      <c r="X482">
        <v>2.1970000000000001</v>
      </c>
      <c r="Y482" t="s">
        <v>4784</v>
      </c>
      <c r="Z482">
        <v>2022</v>
      </c>
      <c r="AA482">
        <v>1</v>
      </c>
    </row>
    <row r="483" spans="1:27">
      <c r="A483" t="s">
        <v>4950</v>
      </c>
      <c r="B483" t="s">
        <v>2090</v>
      </c>
      <c r="C483" t="s">
        <v>337</v>
      </c>
      <c r="D483" t="s">
        <v>238</v>
      </c>
      <c r="E483" t="s">
        <v>4951</v>
      </c>
      <c r="F483">
        <v>9892340643</v>
      </c>
      <c r="G483" t="s">
        <v>76</v>
      </c>
      <c r="H483" t="s">
        <v>4807</v>
      </c>
      <c r="I483" t="s">
        <v>4808</v>
      </c>
      <c r="J483" t="s">
        <v>4825</v>
      </c>
      <c r="K483" s="1">
        <v>44502</v>
      </c>
      <c r="L483">
        <v>70490</v>
      </c>
      <c r="M483" s="1">
        <v>44832</v>
      </c>
      <c r="N483" t="s">
        <v>4789</v>
      </c>
      <c r="O483">
        <v>15100</v>
      </c>
      <c r="P483">
        <v>5.5E-2</v>
      </c>
      <c r="Q483">
        <v>0</v>
      </c>
      <c r="R483" t="s">
        <v>4786</v>
      </c>
      <c r="S483" t="s">
        <v>3310</v>
      </c>
      <c r="T483">
        <v>55</v>
      </c>
      <c r="U483" t="s">
        <v>4787</v>
      </c>
      <c r="V483">
        <v>33333.33</v>
      </c>
      <c r="W483">
        <v>15927.79</v>
      </c>
      <c r="X483">
        <v>0.47799999999999998</v>
      </c>
      <c r="Y483" t="s">
        <v>4792</v>
      </c>
      <c r="Z483">
        <v>2022</v>
      </c>
      <c r="AA483">
        <v>0</v>
      </c>
    </row>
    <row r="484" spans="1:27">
      <c r="A484" t="s">
        <v>4950</v>
      </c>
      <c r="B484" t="s">
        <v>2090</v>
      </c>
      <c r="C484" t="s">
        <v>337</v>
      </c>
      <c r="D484" t="s">
        <v>238</v>
      </c>
      <c r="E484" t="s">
        <v>4951</v>
      </c>
      <c r="F484">
        <v>9892340643</v>
      </c>
      <c r="G484" t="s">
        <v>76</v>
      </c>
      <c r="H484" t="s">
        <v>4807</v>
      </c>
      <c r="I484" t="s">
        <v>4808</v>
      </c>
      <c r="J484" t="s">
        <v>4825</v>
      </c>
      <c r="K484" s="1">
        <v>44502</v>
      </c>
      <c r="L484">
        <v>70490</v>
      </c>
      <c r="M484" s="1">
        <v>45101</v>
      </c>
      <c r="N484" t="s">
        <v>4797</v>
      </c>
      <c r="O484">
        <v>69800</v>
      </c>
      <c r="P484">
        <v>0.09</v>
      </c>
      <c r="Q484">
        <v>0</v>
      </c>
      <c r="R484" t="s">
        <v>4790</v>
      </c>
      <c r="S484" t="s">
        <v>3310</v>
      </c>
      <c r="T484">
        <v>61</v>
      </c>
      <c r="U484" t="s">
        <v>4787</v>
      </c>
      <c r="V484">
        <v>33333.33</v>
      </c>
      <c r="W484">
        <v>78945.929999999993</v>
      </c>
      <c r="X484">
        <v>2.3679999999999999</v>
      </c>
      <c r="Y484" t="s">
        <v>4784</v>
      </c>
      <c r="Z484">
        <v>2023</v>
      </c>
      <c r="AA484">
        <v>0</v>
      </c>
    </row>
    <row r="485" spans="1:27">
      <c r="A485" t="s">
        <v>4950</v>
      </c>
      <c r="B485" t="s">
        <v>2090</v>
      </c>
      <c r="C485" t="s">
        <v>337</v>
      </c>
      <c r="D485" t="s">
        <v>238</v>
      </c>
      <c r="E485" t="s">
        <v>4951</v>
      </c>
      <c r="F485">
        <v>9892340643</v>
      </c>
      <c r="G485" t="s">
        <v>76</v>
      </c>
      <c r="H485" t="s">
        <v>4807</v>
      </c>
      <c r="I485" t="s">
        <v>4808</v>
      </c>
      <c r="J485" t="s">
        <v>4825</v>
      </c>
      <c r="K485" s="1">
        <v>44502</v>
      </c>
      <c r="L485">
        <v>70490</v>
      </c>
      <c r="M485" s="1">
        <v>45136</v>
      </c>
      <c r="N485" t="s">
        <v>4782</v>
      </c>
      <c r="O485">
        <v>191500</v>
      </c>
      <c r="P485">
        <v>6.8000000000000005E-2</v>
      </c>
      <c r="Q485">
        <v>13022</v>
      </c>
      <c r="R485" t="s">
        <v>4788</v>
      </c>
      <c r="S485" t="s">
        <v>3302</v>
      </c>
      <c r="T485">
        <v>24</v>
      </c>
      <c r="U485" t="s">
        <v>4787</v>
      </c>
      <c r="V485">
        <v>33333.33</v>
      </c>
      <c r="W485">
        <v>95842.37</v>
      </c>
      <c r="X485">
        <v>2.875</v>
      </c>
      <c r="Y485" t="s">
        <v>4784</v>
      </c>
      <c r="Z485">
        <v>2023</v>
      </c>
      <c r="AA485">
        <v>1</v>
      </c>
    </row>
    <row r="486" spans="1:27">
      <c r="A486" t="s">
        <v>4950</v>
      </c>
      <c r="B486" t="s">
        <v>2090</v>
      </c>
      <c r="C486" t="s">
        <v>337</v>
      </c>
      <c r="D486" t="s">
        <v>238</v>
      </c>
      <c r="E486" t="s">
        <v>4951</v>
      </c>
      <c r="F486">
        <v>9892340643</v>
      </c>
      <c r="G486" t="s">
        <v>76</v>
      </c>
      <c r="H486" t="s">
        <v>4807</v>
      </c>
      <c r="I486" t="s">
        <v>4808</v>
      </c>
      <c r="J486" t="s">
        <v>4825</v>
      </c>
      <c r="K486" s="1">
        <v>44502</v>
      </c>
      <c r="L486">
        <v>70490</v>
      </c>
      <c r="M486" s="1">
        <v>45220</v>
      </c>
      <c r="N486" t="s">
        <v>4782</v>
      </c>
      <c r="O486">
        <v>79800</v>
      </c>
      <c r="P486">
        <v>7.1999999999999995E-2</v>
      </c>
      <c r="Q486">
        <v>5745.6</v>
      </c>
      <c r="R486" t="s">
        <v>4783</v>
      </c>
      <c r="S486" t="s">
        <v>3302</v>
      </c>
      <c r="T486">
        <v>56</v>
      </c>
      <c r="U486" t="s">
        <v>4796</v>
      </c>
      <c r="V486">
        <v>33333.33</v>
      </c>
      <c r="W486">
        <v>58017.53</v>
      </c>
      <c r="X486">
        <v>1.7410000000000001</v>
      </c>
      <c r="Y486" t="s">
        <v>4784</v>
      </c>
      <c r="Z486">
        <v>2023</v>
      </c>
      <c r="AA486">
        <v>1</v>
      </c>
    </row>
    <row r="487" spans="1:27">
      <c r="A487" t="s">
        <v>4950</v>
      </c>
      <c r="B487" t="s">
        <v>2090</v>
      </c>
      <c r="C487" t="s">
        <v>337</v>
      </c>
      <c r="D487" t="s">
        <v>238</v>
      </c>
      <c r="E487" t="s">
        <v>4951</v>
      </c>
      <c r="F487">
        <v>9892340643</v>
      </c>
      <c r="G487" t="s">
        <v>76</v>
      </c>
      <c r="H487" t="s">
        <v>4807</v>
      </c>
      <c r="I487" t="s">
        <v>4808</v>
      </c>
      <c r="J487" t="s">
        <v>4825</v>
      </c>
      <c r="K487" s="1">
        <v>44502</v>
      </c>
      <c r="L487">
        <v>70490</v>
      </c>
      <c r="M487" s="1">
        <v>45302</v>
      </c>
      <c r="N487" t="s">
        <v>4797</v>
      </c>
      <c r="O487">
        <v>209200</v>
      </c>
      <c r="P487">
        <v>8.3000000000000004E-2</v>
      </c>
      <c r="Q487">
        <v>0</v>
      </c>
      <c r="R487" t="s">
        <v>4783</v>
      </c>
      <c r="S487" t="s">
        <v>3317</v>
      </c>
      <c r="T487">
        <v>31</v>
      </c>
      <c r="U487" t="s">
        <v>4795</v>
      </c>
      <c r="V487">
        <v>33333.33</v>
      </c>
      <c r="W487">
        <v>144145.07</v>
      </c>
      <c r="X487">
        <v>4.3239999999999998</v>
      </c>
      <c r="Y487" t="s">
        <v>4784</v>
      </c>
      <c r="Z487">
        <v>2024</v>
      </c>
      <c r="AA487">
        <v>0</v>
      </c>
    </row>
    <row r="488" spans="1:27">
      <c r="A488" t="s">
        <v>4950</v>
      </c>
      <c r="B488" t="s">
        <v>2090</v>
      </c>
      <c r="C488" t="s">
        <v>337</v>
      </c>
      <c r="D488" t="s">
        <v>238</v>
      </c>
      <c r="E488" t="s">
        <v>4951</v>
      </c>
      <c r="F488">
        <v>9892340643</v>
      </c>
      <c r="G488" t="s">
        <v>76</v>
      </c>
      <c r="H488" t="s">
        <v>4807</v>
      </c>
      <c r="I488" t="s">
        <v>4808</v>
      </c>
      <c r="J488" t="s">
        <v>4825</v>
      </c>
      <c r="K488" s="1">
        <v>44502</v>
      </c>
      <c r="L488">
        <v>70490</v>
      </c>
      <c r="M488" s="1">
        <v>45434</v>
      </c>
      <c r="N488" t="s">
        <v>4789</v>
      </c>
      <c r="O488">
        <v>21100</v>
      </c>
      <c r="P488">
        <v>7.5999999999999998E-2</v>
      </c>
      <c r="Q488">
        <v>0</v>
      </c>
      <c r="R488" t="s">
        <v>4794</v>
      </c>
      <c r="S488" t="s">
        <v>3302</v>
      </c>
      <c r="T488">
        <v>39</v>
      </c>
      <c r="U488" t="s">
        <v>4787</v>
      </c>
      <c r="V488">
        <v>33333.33</v>
      </c>
      <c r="W488">
        <v>15662.98</v>
      </c>
      <c r="X488">
        <v>0.47</v>
      </c>
      <c r="Y488" t="s">
        <v>4792</v>
      </c>
      <c r="Z488">
        <v>2024</v>
      </c>
      <c r="AA488">
        <v>0</v>
      </c>
    </row>
    <row r="489" spans="1:27">
      <c r="A489" t="s">
        <v>4950</v>
      </c>
      <c r="B489" t="s">
        <v>2090</v>
      </c>
      <c r="C489" t="s">
        <v>337</v>
      </c>
      <c r="D489" t="s">
        <v>238</v>
      </c>
      <c r="E489" t="s">
        <v>4951</v>
      </c>
      <c r="F489">
        <v>9892340643</v>
      </c>
      <c r="G489" t="s">
        <v>76</v>
      </c>
      <c r="H489" t="s">
        <v>4807</v>
      </c>
      <c r="I489" t="s">
        <v>4808</v>
      </c>
      <c r="J489" t="s">
        <v>4825</v>
      </c>
      <c r="K489" s="1">
        <v>44502</v>
      </c>
      <c r="L489">
        <v>70490</v>
      </c>
      <c r="M489" s="1">
        <v>45440</v>
      </c>
      <c r="N489" t="s">
        <v>4782</v>
      </c>
      <c r="O489">
        <v>166900</v>
      </c>
      <c r="P489">
        <v>4.3999999999999997E-2</v>
      </c>
      <c r="Q489">
        <v>7343.6</v>
      </c>
      <c r="R489" t="s">
        <v>4783</v>
      </c>
      <c r="S489" t="s">
        <v>3310</v>
      </c>
      <c r="T489">
        <v>32</v>
      </c>
      <c r="U489" t="s">
        <v>4795</v>
      </c>
      <c r="V489">
        <v>33333.33</v>
      </c>
      <c r="W489">
        <v>198620.15</v>
      </c>
      <c r="X489">
        <v>5.9589999999999996</v>
      </c>
      <c r="Y489" t="s">
        <v>4784</v>
      </c>
      <c r="Z489">
        <v>2024</v>
      </c>
      <c r="AA489">
        <v>1</v>
      </c>
    </row>
    <row r="490" spans="1:27">
      <c r="A490" t="s">
        <v>4950</v>
      </c>
      <c r="B490" t="s">
        <v>2090</v>
      </c>
      <c r="C490" t="s">
        <v>337</v>
      </c>
      <c r="D490" t="s">
        <v>238</v>
      </c>
      <c r="E490" t="s">
        <v>4951</v>
      </c>
      <c r="F490">
        <v>9892340643</v>
      </c>
      <c r="G490" t="s">
        <v>76</v>
      </c>
      <c r="H490" t="s">
        <v>4807</v>
      </c>
      <c r="I490" t="s">
        <v>4808</v>
      </c>
      <c r="J490" t="s">
        <v>4825</v>
      </c>
      <c r="K490" s="1">
        <v>44502</v>
      </c>
      <c r="L490">
        <v>70490</v>
      </c>
      <c r="M490" s="1">
        <v>45568</v>
      </c>
      <c r="N490" t="s">
        <v>4782</v>
      </c>
      <c r="O490">
        <v>92600</v>
      </c>
      <c r="P490">
        <v>5.7000000000000002E-2</v>
      </c>
      <c r="Q490">
        <v>5278.2</v>
      </c>
      <c r="R490" t="s">
        <v>4791</v>
      </c>
      <c r="S490" t="s">
        <v>3348</v>
      </c>
      <c r="T490">
        <v>2</v>
      </c>
      <c r="U490" t="s">
        <v>4796</v>
      </c>
      <c r="V490">
        <v>33333.33</v>
      </c>
      <c r="W490">
        <v>73903.19</v>
      </c>
      <c r="X490">
        <v>2.2170000000000001</v>
      </c>
      <c r="Y490" t="s">
        <v>4784</v>
      </c>
      <c r="Z490">
        <v>2024</v>
      </c>
      <c r="AA490">
        <v>1</v>
      </c>
    </row>
    <row r="491" spans="1:27">
      <c r="A491" t="s">
        <v>4950</v>
      </c>
      <c r="B491" t="s">
        <v>2090</v>
      </c>
      <c r="C491" t="s">
        <v>337</v>
      </c>
      <c r="D491" t="s">
        <v>238</v>
      </c>
      <c r="E491" t="s">
        <v>4951</v>
      </c>
      <c r="F491">
        <v>9892340643</v>
      </c>
      <c r="G491" t="s">
        <v>76</v>
      </c>
      <c r="H491" t="s">
        <v>4807</v>
      </c>
      <c r="I491" t="s">
        <v>4808</v>
      </c>
      <c r="J491" t="s">
        <v>4825</v>
      </c>
      <c r="K491" s="1">
        <v>44502</v>
      </c>
      <c r="L491">
        <v>70490</v>
      </c>
      <c r="M491" s="1">
        <v>45590</v>
      </c>
      <c r="N491" t="s">
        <v>4785</v>
      </c>
      <c r="O491">
        <v>52500</v>
      </c>
      <c r="P491">
        <v>4.7E-2</v>
      </c>
      <c r="Q491">
        <v>0</v>
      </c>
      <c r="R491" t="s">
        <v>4798</v>
      </c>
      <c r="S491" t="s">
        <v>3416</v>
      </c>
      <c r="T491">
        <v>81</v>
      </c>
      <c r="U491" t="s">
        <v>4796</v>
      </c>
      <c r="V491">
        <v>33333.33</v>
      </c>
      <c r="W491">
        <v>37088.400000000001</v>
      </c>
      <c r="X491">
        <v>1.113</v>
      </c>
      <c r="Y491" t="s">
        <v>4784</v>
      </c>
      <c r="Z491">
        <v>2024</v>
      </c>
      <c r="AA491">
        <v>0</v>
      </c>
    </row>
    <row r="492" spans="1:27">
      <c r="A492" t="s">
        <v>4952</v>
      </c>
      <c r="B492" t="s">
        <v>2460</v>
      </c>
      <c r="C492" t="s">
        <v>1246</v>
      </c>
      <c r="D492" t="s">
        <v>352</v>
      </c>
      <c r="E492" t="s">
        <v>4953</v>
      </c>
      <c r="F492">
        <v>9774686032</v>
      </c>
      <c r="G492" t="s">
        <v>24</v>
      </c>
      <c r="H492" t="s">
        <v>4833</v>
      </c>
      <c r="I492" t="s">
        <v>4808</v>
      </c>
      <c r="J492" t="s">
        <v>4845</v>
      </c>
      <c r="K492" s="1">
        <v>44997</v>
      </c>
      <c r="L492">
        <v>61378</v>
      </c>
      <c r="M492" s="1">
        <v>45129</v>
      </c>
      <c r="N492" t="s">
        <v>4782</v>
      </c>
      <c r="O492">
        <v>16900</v>
      </c>
      <c r="P492">
        <v>0.11600000000000001</v>
      </c>
      <c r="Q492">
        <v>1960.4</v>
      </c>
      <c r="R492" t="s">
        <v>4791</v>
      </c>
      <c r="S492" t="s">
        <v>3411</v>
      </c>
      <c r="T492">
        <v>89</v>
      </c>
      <c r="U492" t="s">
        <v>4796</v>
      </c>
      <c r="V492">
        <v>37500</v>
      </c>
      <c r="W492">
        <v>19716.28</v>
      </c>
      <c r="X492">
        <v>0.52600000000000002</v>
      </c>
      <c r="Y492" t="s">
        <v>4792</v>
      </c>
      <c r="Z492">
        <v>2023</v>
      </c>
      <c r="AA492">
        <v>1</v>
      </c>
    </row>
    <row r="493" spans="1:27">
      <c r="A493" t="s">
        <v>4952</v>
      </c>
      <c r="B493" t="s">
        <v>2460</v>
      </c>
      <c r="C493" t="s">
        <v>1246</v>
      </c>
      <c r="D493" t="s">
        <v>352</v>
      </c>
      <c r="E493" t="s">
        <v>4953</v>
      </c>
      <c r="F493">
        <v>9774686032</v>
      </c>
      <c r="G493" t="s">
        <v>24</v>
      </c>
      <c r="H493" t="s">
        <v>4833</v>
      </c>
      <c r="I493" t="s">
        <v>4808</v>
      </c>
      <c r="J493" t="s">
        <v>4845</v>
      </c>
      <c r="K493" s="1">
        <v>44997</v>
      </c>
      <c r="L493">
        <v>61378</v>
      </c>
      <c r="M493" s="1">
        <v>45192</v>
      </c>
      <c r="N493" t="s">
        <v>4782</v>
      </c>
      <c r="O493">
        <v>189700</v>
      </c>
      <c r="P493">
        <v>7.0000000000000007E-2</v>
      </c>
      <c r="Q493">
        <v>13279</v>
      </c>
      <c r="R493" t="s">
        <v>4791</v>
      </c>
      <c r="S493" t="s">
        <v>3302</v>
      </c>
      <c r="T493">
        <v>70</v>
      </c>
      <c r="U493" t="s">
        <v>4795</v>
      </c>
      <c r="V493">
        <v>37500</v>
      </c>
      <c r="W493">
        <v>146321.07</v>
      </c>
      <c r="X493">
        <v>3.9020000000000001</v>
      </c>
      <c r="Y493" t="s">
        <v>4784</v>
      </c>
      <c r="Z493">
        <v>2023</v>
      </c>
      <c r="AA493">
        <v>1</v>
      </c>
    </row>
    <row r="494" spans="1:27">
      <c r="A494" t="s">
        <v>4952</v>
      </c>
      <c r="B494" t="s">
        <v>2460</v>
      </c>
      <c r="C494" t="s">
        <v>1246</v>
      </c>
      <c r="D494" t="s">
        <v>352</v>
      </c>
      <c r="E494" t="s">
        <v>4953</v>
      </c>
      <c r="F494">
        <v>9774686032</v>
      </c>
      <c r="G494" t="s">
        <v>24</v>
      </c>
      <c r="H494" t="s">
        <v>4833</v>
      </c>
      <c r="I494" t="s">
        <v>4808</v>
      </c>
      <c r="J494" t="s">
        <v>4845</v>
      </c>
      <c r="K494" s="1">
        <v>44997</v>
      </c>
      <c r="L494">
        <v>61378</v>
      </c>
      <c r="M494" s="1">
        <v>45222</v>
      </c>
      <c r="N494" t="s">
        <v>4782</v>
      </c>
      <c r="O494">
        <v>190700</v>
      </c>
      <c r="P494">
        <v>5.3999999999999999E-2</v>
      </c>
      <c r="Q494">
        <v>10297.799999999999</v>
      </c>
      <c r="R494" t="s">
        <v>4791</v>
      </c>
      <c r="S494" t="s">
        <v>3310</v>
      </c>
      <c r="T494">
        <v>29</v>
      </c>
      <c r="U494" t="s">
        <v>4787</v>
      </c>
      <c r="V494">
        <v>37500</v>
      </c>
      <c r="W494">
        <v>186925.9</v>
      </c>
      <c r="X494">
        <v>4.9850000000000003</v>
      </c>
      <c r="Y494" t="s">
        <v>4784</v>
      </c>
      <c r="Z494">
        <v>2023</v>
      </c>
      <c r="AA494">
        <v>1</v>
      </c>
    </row>
    <row r="495" spans="1:27">
      <c r="A495" t="s">
        <v>4952</v>
      </c>
      <c r="B495" t="s">
        <v>2460</v>
      </c>
      <c r="C495" t="s">
        <v>1246</v>
      </c>
      <c r="D495" t="s">
        <v>352</v>
      </c>
      <c r="E495" t="s">
        <v>4953</v>
      </c>
      <c r="F495">
        <v>9774686032</v>
      </c>
      <c r="G495" t="s">
        <v>24</v>
      </c>
      <c r="H495" t="s">
        <v>4833</v>
      </c>
      <c r="I495" t="s">
        <v>4808</v>
      </c>
      <c r="J495" t="s">
        <v>4845</v>
      </c>
      <c r="K495" s="1">
        <v>44997</v>
      </c>
      <c r="L495">
        <v>61378</v>
      </c>
      <c r="M495" s="1">
        <v>45255</v>
      </c>
      <c r="N495" t="s">
        <v>4785</v>
      </c>
      <c r="O495">
        <v>96100</v>
      </c>
      <c r="P495">
        <v>0.111</v>
      </c>
      <c r="Q495">
        <v>0</v>
      </c>
      <c r="R495" t="s">
        <v>4790</v>
      </c>
      <c r="S495" t="s">
        <v>3348</v>
      </c>
      <c r="T495">
        <v>16</v>
      </c>
      <c r="U495" t="s">
        <v>26</v>
      </c>
      <c r="V495">
        <v>37500</v>
      </c>
      <c r="W495">
        <v>53906.11</v>
      </c>
      <c r="X495">
        <v>1.4370000000000001</v>
      </c>
      <c r="Y495" t="s">
        <v>4784</v>
      </c>
      <c r="Z495">
        <v>2023</v>
      </c>
      <c r="AA495">
        <v>0</v>
      </c>
    </row>
    <row r="496" spans="1:27">
      <c r="A496" t="s">
        <v>4952</v>
      </c>
      <c r="B496" t="s">
        <v>2460</v>
      </c>
      <c r="C496" t="s">
        <v>1246</v>
      </c>
      <c r="D496" t="s">
        <v>352</v>
      </c>
      <c r="E496" t="s">
        <v>4953</v>
      </c>
      <c r="F496">
        <v>9774686032</v>
      </c>
      <c r="G496" t="s">
        <v>24</v>
      </c>
      <c r="H496" t="s">
        <v>4833</v>
      </c>
      <c r="I496" t="s">
        <v>4808</v>
      </c>
      <c r="J496" t="s">
        <v>4845</v>
      </c>
      <c r="K496" s="1">
        <v>44997</v>
      </c>
      <c r="L496">
        <v>61378</v>
      </c>
      <c r="M496" s="1">
        <v>45390</v>
      </c>
      <c r="N496" t="s">
        <v>4782</v>
      </c>
      <c r="O496">
        <v>237600</v>
      </c>
      <c r="P496">
        <v>0.04</v>
      </c>
      <c r="Q496">
        <v>9504</v>
      </c>
      <c r="R496" t="s">
        <v>4794</v>
      </c>
      <c r="S496" t="s">
        <v>3348</v>
      </c>
      <c r="T496">
        <v>78</v>
      </c>
      <c r="U496" t="s">
        <v>4787</v>
      </c>
      <c r="V496">
        <v>37500</v>
      </c>
      <c r="W496">
        <v>127575.77</v>
      </c>
      <c r="X496">
        <v>3.4020000000000001</v>
      </c>
      <c r="Y496" t="s">
        <v>4784</v>
      </c>
      <c r="Z496">
        <v>2024</v>
      </c>
      <c r="AA496">
        <v>1</v>
      </c>
    </row>
    <row r="497" spans="1:27">
      <c r="A497" t="s">
        <v>4952</v>
      </c>
      <c r="B497" t="s">
        <v>2460</v>
      </c>
      <c r="C497" t="s">
        <v>1246</v>
      </c>
      <c r="D497" t="s">
        <v>352</v>
      </c>
      <c r="E497" t="s">
        <v>4953</v>
      </c>
      <c r="F497">
        <v>9774686032</v>
      </c>
      <c r="G497" t="s">
        <v>24</v>
      </c>
      <c r="H497" t="s">
        <v>4833</v>
      </c>
      <c r="I497" t="s">
        <v>4808</v>
      </c>
      <c r="J497" t="s">
        <v>4845</v>
      </c>
      <c r="K497" s="1">
        <v>44997</v>
      </c>
      <c r="L497">
        <v>61378</v>
      </c>
      <c r="M497" s="1">
        <v>45390</v>
      </c>
      <c r="N497" t="s">
        <v>4785</v>
      </c>
      <c r="O497">
        <v>209300</v>
      </c>
      <c r="P497">
        <v>6.5000000000000002E-2</v>
      </c>
      <c r="Q497">
        <v>0</v>
      </c>
      <c r="R497" t="s">
        <v>4783</v>
      </c>
      <c r="S497" t="s">
        <v>3317</v>
      </c>
      <c r="T497">
        <v>27</v>
      </c>
      <c r="U497" t="s">
        <v>4796</v>
      </c>
      <c r="V497">
        <v>37500</v>
      </c>
      <c r="W497">
        <v>105328.23</v>
      </c>
      <c r="X497">
        <v>2.8090000000000002</v>
      </c>
      <c r="Y497" t="s">
        <v>4784</v>
      </c>
      <c r="Z497">
        <v>2024</v>
      </c>
      <c r="AA497">
        <v>0</v>
      </c>
    </row>
    <row r="498" spans="1:27">
      <c r="A498" t="s">
        <v>4952</v>
      </c>
      <c r="B498" t="s">
        <v>2460</v>
      </c>
      <c r="C498" t="s">
        <v>1246</v>
      </c>
      <c r="D498" t="s">
        <v>352</v>
      </c>
      <c r="E498" t="s">
        <v>4953</v>
      </c>
      <c r="F498">
        <v>9774686032</v>
      </c>
      <c r="G498" t="s">
        <v>24</v>
      </c>
      <c r="H498" t="s">
        <v>4833</v>
      </c>
      <c r="I498" t="s">
        <v>4808</v>
      </c>
      <c r="J498" t="s">
        <v>4845</v>
      </c>
      <c r="K498" s="1">
        <v>44997</v>
      </c>
      <c r="L498">
        <v>61378</v>
      </c>
      <c r="M498" s="1">
        <v>45404</v>
      </c>
      <c r="N498" t="s">
        <v>4789</v>
      </c>
      <c r="O498">
        <v>184500</v>
      </c>
      <c r="P498">
        <v>7.8E-2</v>
      </c>
      <c r="Q498">
        <v>0</v>
      </c>
      <c r="R498" t="s">
        <v>4783</v>
      </c>
      <c r="S498" t="s">
        <v>3302</v>
      </c>
      <c r="T498">
        <v>22</v>
      </c>
      <c r="U498" t="s">
        <v>26</v>
      </c>
      <c r="V498">
        <v>37500</v>
      </c>
      <c r="W498">
        <v>216908.35</v>
      </c>
      <c r="X498">
        <v>5.7839999999999998</v>
      </c>
      <c r="Y498" t="s">
        <v>4784</v>
      </c>
      <c r="Z498">
        <v>2024</v>
      </c>
      <c r="AA498">
        <v>0</v>
      </c>
    </row>
    <row r="499" spans="1:27">
      <c r="A499" t="s">
        <v>4952</v>
      </c>
      <c r="B499" t="s">
        <v>2460</v>
      </c>
      <c r="C499" t="s">
        <v>1246</v>
      </c>
      <c r="D499" t="s">
        <v>352</v>
      </c>
      <c r="E499" t="s">
        <v>4953</v>
      </c>
      <c r="F499">
        <v>9774686032</v>
      </c>
      <c r="G499" t="s">
        <v>24</v>
      </c>
      <c r="H499" t="s">
        <v>4833</v>
      </c>
      <c r="I499" t="s">
        <v>4808</v>
      </c>
      <c r="J499" t="s">
        <v>4845</v>
      </c>
      <c r="K499" s="1">
        <v>44997</v>
      </c>
      <c r="L499">
        <v>61378</v>
      </c>
      <c r="M499" s="1">
        <v>45426</v>
      </c>
      <c r="N499" t="s">
        <v>4785</v>
      </c>
      <c r="O499">
        <v>249100</v>
      </c>
      <c r="P499">
        <v>0.11600000000000001</v>
      </c>
      <c r="Q499">
        <v>0</v>
      </c>
      <c r="R499" t="s">
        <v>4798</v>
      </c>
      <c r="S499" t="s">
        <v>3302</v>
      </c>
      <c r="T499">
        <v>22</v>
      </c>
      <c r="U499" t="s">
        <v>4795</v>
      </c>
      <c r="V499">
        <v>37500</v>
      </c>
      <c r="W499">
        <v>280744.57</v>
      </c>
      <c r="X499">
        <v>7.4870000000000001</v>
      </c>
      <c r="Y499" t="s">
        <v>4784</v>
      </c>
      <c r="Z499">
        <v>2024</v>
      </c>
      <c r="AA499">
        <v>0</v>
      </c>
    </row>
    <row r="500" spans="1:27">
      <c r="A500" t="s">
        <v>4952</v>
      </c>
      <c r="B500" t="s">
        <v>2460</v>
      </c>
      <c r="C500" t="s">
        <v>1246</v>
      </c>
      <c r="D500" t="s">
        <v>352</v>
      </c>
      <c r="E500" t="s">
        <v>4953</v>
      </c>
      <c r="F500">
        <v>9774686032</v>
      </c>
      <c r="G500" t="s">
        <v>24</v>
      </c>
      <c r="H500" t="s">
        <v>4833</v>
      </c>
      <c r="I500" t="s">
        <v>4808</v>
      </c>
      <c r="J500" t="s">
        <v>4845</v>
      </c>
      <c r="K500" s="1">
        <v>44997</v>
      </c>
      <c r="L500">
        <v>61378</v>
      </c>
      <c r="M500" s="1">
        <v>45482</v>
      </c>
      <c r="N500" t="s">
        <v>4782</v>
      </c>
      <c r="O500">
        <v>144900</v>
      </c>
      <c r="P500">
        <v>9.5000000000000001E-2</v>
      </c>
      <c r="Q500">
        <v>13765.5</v>
      </c>
      <c r="R500" t="s">
        <v>4791</v>
      </c>
      <c r="S500" t="s">
        <v>3310</v>
      </c>
      <c r="T500">
        <v>25</v>
      </c>
      <c r="U500" t="s">
        <v>26</v>
      </c>
      <c r="V500">
        <v>37500</v>
      </c>
      <c r="W500">
        <v>144240.14000000001</v>
      </c>
      <c r="X500">
        <v>3.8460000000000001</v>
      </c>
      <c r="Y500" t="s">
        <v>4784</v>
      </c>
      <c r="Z500">
        <v>2024</v>
      </c>
      <c r="AA500">
        <v>1</v>
      </c>
    </row>
    <row r="501" spans="1:27">
      <c r="A501" t="s">
        <v>4952</v>
      </c>
      <c r="B501" t="s">
        <v>2460</v>
      </c>
      <c r="C501" t="s">
        <v>1246</v>
      </c>
      <c r="D501" t="s">
        <v>352</v>
      </c>
      <c r="E501" t="s">
        <v>4953</v>
      </c>
      <c r="F501">
        <v>9774686032</v>
      </c>
      <c r="G501" t="s">
        <v>24</v>
      </c>
      <c r="H501" t="s">
        <v>4833</v>
      </c>
      <c r="I501" t="s">
        <v>4808</v>
      </c>
      <c r="J501" t="s">
        <v>4845</v>
      </c>
      <c r="K501" s="1">
        <v>44997</v>
      </c>
      <c r="L501">
        <v>61378</v>
      </c>
      <c r="M501" s="1">
        <v>45582</v>
      </c>
      <c r="N501" t="s">
        <v>4782</v>
      </c>
      <c r="O501">
        <v>160200</v>
      </c>
      <c r="P501">
        <v>9.2999999999999999E-2</v>
      </c>
      <c r="Q501">
        <v>14898.6</v>
      </c>
      <c r="R501" t="s">
        <v>4798</v>
      </c>
      <c r="S501" t="s">
        <v>3416</v>
      </c>
      <c r="T501">
        <v>59</v>
      </c>
      <c r="U501" t="s">
        <v>4795</v>
      </c>
      <c r="V501">
        <v>37500</v>
      </c>
      <c r="W501">
        <v>123845.68</v>
      </c>
      <c r="X501">
        <v>3.3029999999999999</v>
      </c>
      <c r="Y501" t="s">
        <v>4784</v>
      </c>
      <c r="Z501">
        <v>2024</v>
      </c>
      <c r="AA501">
        <v>1</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25742-7922-4812-90B9-75862A5C6EBC}">
  <sheetPr>
    <tabColor theme="7"/>
  </sheetPr>
  <dimension ref="A1:H130"/>
  <sheetViews>
    <sheetView showGridLines="0" zoomScale="95" workbookViewId="0">
      <pane ySplit="1" topLeftCell="A62" activePane="bottomLeft" state="frozen"/>
      <selection pane="bottomLeft" activeCell="G129" sqref="G129"/>
    </sheetView>
  </sheetViews>
  <sheetFormatPr defaultRowHeight="14.5"/>
  <cols>
    <col min="1" max="1" width="18.6328125" customWidth="1"/>
    <col min="2" max="2" width="18.1796875" customWidth="1"/>
    <col min="3" max="3" width="13.6328125" customWidth="1"/>
    <col min="4" max="4" width="19.6328125" customWidth="1"/>
    <col min="5" max="5" width="15.6328125" customWidth="1"/>
    <col min="6" max="6" width="15.81640625" customWidth="1"/>
    <col min="7" max="7" width="16.54296875" customWidth="1"/>
    <col min="8" max="8" width="16.36328125" customWidth="1"/>
    <col min="9" max="9" width="11.54296875" bestFit="1" customWidth="1"/>
    <col min="10" max="10" width="14.36328125" bestFit="1" customWidth="1"/>
    <col min="11" max="11" width="16.08984375" bestFit="1" customWidth="1"/>
    <col min="12" max="12" width="18.90625" bestFit="1" customWidth="1"/>
  </cols>
  <sheetData>
    <row r="1" spans="1:5" ht="16">
      <c r="A1" s="11" t="s">
        <v>5095</v>
      </c>
    </row>
    <row r="3" spans="1:5">
      <c r="A3" s="12" t="s">
        <v>10</v>
      </c>
      <c r="B3" s="14" t="s">
        <v>5102</v>
      </c>
      <c r="C3" t="s">
        <v>4997</v>
      </c>
      <c r="D3" s="14" t="s">
        <v>5101</v>
      </c>
      <c r="E3" s="15" t="s">
        <v>5103</v>
      </c>
    </row>
    <row r="4" spans="1:5">
      <c r="A4" s="13" t="s">
        <v>24</v>
      </c>
      <c r="B4" s="14">
        <v>14560479.500000002</v>
      </c>
      <c r="C4" s="32">
        <v>163</v>
      </c>
      <c r="D4" s="14">
        <v>3826279.4999999991</v>
      </c>
      <c r="E4" s="15">
        <v>0.26278526747693981</v>
      </c>
    </row>
    <row r="5" spans="1:5">
      <c r="A5" s="13" t="s">
        <v>46</v>
      </c>
      <c r="B5" s="14">
        <v>9632318.7999999989</v>
      </c>
      <c r="C5" s="32">
        <v>125</v>
      </c>
      <c r="D5" s="14">
        <v>2497218.8000000007</v>
      </c>
      <c r="E5" s="15">
        <v>0.25925416837324788</v>
      </c>
    </row>
    <row r="6" spans="1:5">
      <c r="A6" s="13" t="s">
        <v>188</v>
      </c>
      <c r="B6" s="14">
        <v>9347593.2500000019</v>
      </c>
      <c r="C6" s="32">
        <v>111</v>
      </c>
      <c r="D6" s="14">
        <v>2362393.2499999991</v>
      </c>
      <c r="E6" s="15">
        <v>0.25272743334226688</v>
      </c>
    </row>
    <row r="7" spans="1:5">
      <c r="A7" s="13" t="s">
        <v>35</v>
      </c>
      <c r="B7" s="14">
        <v>6060414.200000002</v>
      </c>
      <c r="C7" s="32">
        <v>67</v>
      </c>
      <c r="D7" s="14">
        <v>1617914.1999999995</v>
      </c>
      <c r="E7" s="15">
        <v>0.26696429428866414</v>
      </c>
    </row>
    <row r="8" spans="1:5">
      <c r="A8" s="13" t="s">
        <v>76</v>
      </c>
      <c r="B8" s="14">
        <v>2642332</v>
      </c>
      <c r="C8" s="32">
        <v>34</v>
      </c>
      <c r="D8" s="14">
        <v>677332</v>
      </c>
      <c r="E8" s="15">
        <v>0.25633871898005245</v>
      </c>
    </row>
    <row r="9" spans="1:5">
      <c r="A9" s="13" t="s">
        <v>5100</v>
      </c>
      <c r="B9" s="14">
        <v>42243137.750000015</v>
      </c>
      <c r="C9" s="32">
        <v>500</v>
      </c>
      <c r="D9" s="14">
        <v>10981137.749999996</v>
      </c>
      <c r="E9" s="15">
        <v>0.25995080703965917</v>
      </c>
    </row>
    <row r="20" spans="1:3" ht="16.5" thickBot="1">
      <c r="A20" s="24" t="s">
        <v>5096</v>
      </c>
      <c r="B20" s="25"/>
    </row>
    <row r="22" spans="1:3">
      <c r="A22" s="12" t="s">
        <v>5117</v>
      </c>
      <c r="B22" t="s">
        <v>5107</v>
      </c>
      <c r="C22" t="s">
        <v>5108</v>
      </c>
    </row>
    <row r="23" spans="1:3">
      <c r="A23" s="13" t="s">
        <v>5104</v>
      </c>
      <c r="B23" s="32">
        <v>3031025.4499999997</v>
      </c>
      <c r="C23" t="str">
        <f>IFERROR(ROUND((B23-B22)/B22*100,1)&amp;"%","—")</f>
        <v>—</v>
      </c>
    </row>
    <row r="24" spans="1:3">
      <c r="A24" s="13" t="s">
        <v>5105</v>
      </c>
      <c r="B24" s="32">
        <v>2578909.5</v>
      </c>
      <c r="C24" t="str">
        <f t="shared" ref="C24:C35" si="0">IFERROR(ROUND((B24-B23)/B23*100,1)&amp;"%","—")</f>
        <v>-14.9%</v>
      </c>
    </row>
    <row r="25" spans="1:3">
      <c r="A25" s="13" t="s">
        <v>5106</v>
      </c>
      <c r="B25" s="32">
        <v>1625477.1500000001</v>
      </c>
      <c r="C25" t="str">
        <f t="shared" si="0"/>
        <v>-37%</v>
      </c>
    </row>
    <row r="26" spans="1:3">
      <c r="A26" s="13" t="s">
        <v>5109</v>
      </c>
      <c r="B26" s="32">
        <v>1633442.9500000002</v>
      </c>
      <c r="C26" t="str">
        <f t="shared" si="0"/>
        <v>0.5%</v>
      </c>
    </row>
    <row r="27" spans="1:3">
      <c r="A27" s="13" t="s">
        <v>2766</v>
      </c>
      <c r="B27" s="32">
        <v>3761123.1500000004</v>
      </c>
      <c r="C27" t="str">
        <f t="shared" si="0"/>
        <v>130.3%</v>
      </c>
    </row>
    <row r="28" spans="1:3">
      <c r="A28" s="13" t="s">
        <v>5110</v>
      </c>
      <c r="B28" s="32">
        <v>2157559.4500000002</v>
      </c>
      <c r="C28" t="str">
        <f t="shared" si="0"/>
        <v>-42.6%</v>
      </c>
    </row>
    <row r="29" spans="1:3">
      <c r="A29" s="13" t="s">
        <v>5111</v>
      </c>
      <c r="B29" s="32">
        <v>2529790.0000000005</v>
      </c>
      <c r="C29" t="str">
        <f t="shared" si="0"/>
        <v>17.3%</v>
      </c>
    </row>
    <row r="30" spans="1:3">
      <c r="A30" s="13" t="s">
        <v>5112</v>
      </c>
      <c r="B30" s="32">
        <v>2129247.85</v>
      </c>
      <c r="C30" t="str">
        <f t="shared" si="0"/>
        <v>-15.8%</v>
      </c>
    </row>
    <row r="31" spans="1:3">
      <c r="A31" s="13" t="s">
        <v>5113</v>
      </c>
      <c r="B31" s="32">
        <v>2667367.4</v>
      </c>
      <c r="C31" t="str">
        <f t="shared" si="0"/>
        <v>25.3%</v>
      </c>
    </row>
    <row r="32" spans="1:3">
      <c r="A32" s="13" t="s">
        <v>5114</v>
      </c>
      <c r="B32" s="32">
        <v>3232039.8</v>
      </c>
      <c r="C32" t="str">
        <f t="shared" si="0"/>
        <v>21.2%</v>
      </c>
    </row>
    <row r="33" spans="1:4">
      <c r="A33" s="13" t="s">
        <v>5115</v>
      </c>
      <c r="B33" s="32">
        <v>992572.85</v>
      </c>
      <c r="C33" t="str">
        <f t="shared" si="0"/>
        <v>-69.3%</v>
      </c>
    </row>
    <row r="34" spans="1:4">
      <c r="A34" s="13" t="s">
        <v>5116</v>
      </c>
      <c r="B34" s="32">
        <v>1758226.6</v>
      </c>
      <c r="C34" t="str">
        <f t="shared" si="0"/>
        <v>77.1%</v>
      </c>
    </row>
    <row r="35" spans="1:4">
      <c r="A35" s="13" t="s">
        <v>5100</v>
      </c>
      <c r="B35" s="32">
        <v>28096782.150000006</v>
      </c>
      <c r="C35" t="str">
        <f t="shared" si="0"/>
        <v>1498%</v>
      </c>
    </row>
    <row r="40" spans="1:4" ht="16.5" thickBot="1">
      <c r="A40" s="24" t="s">
        <v>5097</v>
      </c>
      <c r="B40" s="25"/>
    </row>
    <row r="42" spans="1:4">
      <c r="A42" s="20" t="s">
        <v>5119</v>
      </c>
      <c r="B42" s="12" t="s">
        <v>5118</v>
      </c>
      <c r="C42" t="s">
        <v>5102</v>
      </c>
      <c r="D42" t="s">
        <v>5101</v>
      </c>
    </row>
    <row r="43" spans="1:4">
      <c r="A43" s="19"/>
      <c r="B43" s="13" t="s">
        <v>2749</v>
      </c>
      <c r="C43" s="32">
        <v>21454895.5</v>
      </c>
      <c r="D43" s="32">
        <v>5515895.5</v>
      </c>
    </row>
    <row r="44" spans="1:4">
      <c r="A44" s="17" t="str">
        <f xml:space="preserve"> _xlfn.XLOOKUP(B44, products[ProductID], products[ProductName], "Not found",0,1)</f>
        <v>Samsung S30256GB</v>
      </c>
      <c r="B44" s="16" t="s">
        <v>3307</v>
      </c>
      <c r="C44" s="32">
        <v>3909444.15</v>
      </c>
      <c r="D44" s="32">
        <v>1077444.1499999999</v>
      </c>
    </row>
    <row r="45" spans="1:4">
      <c r="A45" s="17" t="str">
        <f xml:space="preserve"> _xlfn.XLOOKUP(B45, products[ProductID], products[ProductName], "Not found",0,1)</f>
        <v>Apple Plus44</v>
      </c>
      <c r="B45" s="16" t="s">
        <v>3314</v>
      </c>
      <c r="C45" s="32">
        <v>3648075</v>
      </c>
      <c r="D45" s="32">
        <v>758075</v>
      </c>
    </row>
    <row r="46" spans="1:4">
      <c r="A46" s="17" t="str">
        <f xml:space="preserve"> _xlfn.XLOOKUP(B46, products[ProductID], products[ProductName], "Not found",0,1)</f>
        <v>SanDisk A95512GB</v>
      </c>
      <c r="B46" s="16" t="s">
        <v>3298</v>
      </c>
      <c r="C46" s="32">
        <v>3291958.85</v>
      </c>
      <c r="D46" s="32">
        <v>871958.85</v>
      </c>
    </row>
    <row r="47" spans="1:4">
      <c r="A47" s="17" t="str">
        <f xml:space="preserve"> _xlfn.XLOOKUP(B47, products[ProductID], products[ProductName], "Not found",0,1)</f>
        <v>TCL M17Green</v>
      </c>
      <c r="B47" s="16" t="s">
        <v>3374</v>
      </c>
      <c r="C47" s="32">
        <v>2544710.8500000006</v>
      </c>
      <c r="D47" s="32">
        <v>699710.84999999986</v>
      </c>
    </row>
    <row r="48" spans="1:4">
      <c r="A48" s="17" t="str">
        <f xml:space="preserve"> _xlfn.XLOOKUP(B48, products[ProductID], products[ProductName], "Not found",0,1)</f>
        <v>Fitbit Max31256GB</v>
      </c>
      <c r="B48" s="16" t="s">
        <v>3390</v>
      </c>
      <c r="C48" s="32">
        <v>2087212.0499999998</v>
      </c>
      <c r="D48" s="32">
        <v>529212.05000000005</v>
      </c>
    </row>
    <row r="49" spans="1:8">
      <c r="A49" s="17" t="str">
        <f xml:space="preserve"> _xlfn.XLOOKUP(B49, products[ProductID], products[ProductName], "Not found",0,1)</f>
        <v>SanDisk M48Black</v>
      </c>
      <c r="B49" s="16" t="s">
        <v>3331</v>
      </c>
      <c r="C49" s="32">
        <v>1341565.6000000001</v>
      </c>
      <c r="D49" s="32">
        <v>342565.6</v>
      </c>
    </row>
    <row r="50" spans="1:8">
      <c r="A50" s="17" t="str">
        <f xml:space="preserve"> _xlfn.XLOOKUP(B50, products[ProductID], products[ProductName], "Not found",0,1)</f>
        <v>WD Max34Green</v>
      </c>
      <c r="B50" s="16" t="s">
        <v>3345</v>
      </c>
      <c r="C50" s="32">
        <v>1341015</v>
      </c>
      <c r="D50" s="32">
        <v>381015</v>
      </c>
    </row>
    <row r="51" spans="1:8">
      <c r="A51" s="17" t="str">
        <f xml:space="preserve"> _xlfn.XLOOKUP(B51, products[ProductID], products[ProductName], "Not found",0,1)</f>
        <v>Fitbit Neo7164GB</v>
      </c>
      <c r="B51" s="16" t="s">
        <v>3384</v>
      </c>
      <c r="C51" s="32">
        <v>1245920</v>
      </c>
      <c r="D51" s="32">
        <v>321920</v>
      </c>
    </row>
    <row r="52" spans="1:8">
      <c r="A52" s="17" t="str">
        <f xml:space="preserve"> _xlfn.XLOOKUP(B52, products[ProductID], products[ProductName], "Not found",0,1)</f>
        <v>Bose Plus35Gold</v>
      </c>
      <c r="B52" s="16" t="s">
        <v>3336</v>
      </c>
      <c r="C52" s="32">
        <v>1155172</v>
      </c>
      <c r="D52" s="32">
        <v>309172</v>
      </c>
    </row>
    <row r="53" spans="1:8">
      <c r="A53" s="18" t="str">
        <f xml:space="preserve"> _xlfn.XLOOKUP(B53, products[ProductID], products[ProductName], "Not found",0,1)</f>
        <v>Gigabyte X64GB</v>
      </c>
      <c r="B53" s="16" t="s">
        <v>3325</v>
      </c>
      <c r="C53" s="32">
        <v>889822</v>
      </c>
      <c r="D53" s="32">
        <v>224822</v>
      </c>
    </row>
    <row r="54" spans="1:8">
      <c r="B54" s="13" t="s">
        <v>5100</v>
      </c>
      <c r="C54" s="32">
        <v>21454895.5</v>
      </c>
      <c r="D54" s="32">
        <v>5515895.5</v>
      </c>
    </row>
    <row r="61" spans="1:8" ht="16.5" thickBot="1">
      <c r="A61" s="24" t="s">
        <v>5098</v>
      </c>
      <c r="B61" s="25"/>
    </row>
    <row r="62" spans="1:8">
      <c r="A62" s="12" t="s">
        <v>5122</v>
      </c>
      <c r="B62" s="12" t="s">
        <v>5121</v>
      </c>
    </row>
    <row r="63" spans="1:8">
      <c r="A63" s="22" t="s">
        <v>5120</v>
      </c>
      <c r="B63" t="s">
        <v>2761</v>
      </c>
      <c r="C63" t="s">
        <v>2757</v>
      </c>
      <c r="D63" t="s">
        <v>2782</v>
      </c>
      <c r="E63" t="s">
        <v>2778</v>
      </c>
      <c r="F63" t="s">
        <v>2770</v>
      </c>
      <c r="G63" t="s">
        <v>2750</v>
      </c>
      <c r="H63" t="s">
        <v>5100</v>
      </c>
    </row>
    <row r="64" spans="1:8">
      <c r="A64" s="13" t="s">
        <v>2749</v>
      </c>
      <c r="B64" s="23">
        <v>4336365.3499999996</v>
      </c>
      <c r="C64" s="23">
        <v>6269334.7000000002</v>
      </c>
      <c r="D64" s="23">
        <v>3655890.5</v>
      </c>
      <c r="E64" s="23">
        <v>3786127.75</v>
      </c>
      <c r="F64" s="23">
        <v>5956180.5</v>
      </c>
      <c r="G64" s="23">
        <v>4092883.35</v>
      </c>
      <c r="H64" s="23">
        <v>28096782.149999999</v>
      </c>
    </row>
    <row r="65" spans="1:8">
      <c r="A65" s="16" t="s">
        <v>2751</v>
      </c>
      <c r="B65" s="23">
        <v>1088522.8</v>
      </c>
      <c r="C65" s="23">
        <v>1191259.1000000001</v>
      </c>
      <c r="D65" s="23">
        <v>329829.25</v>
      </c>
      <c r="E65" s="23">
        <v>778083.65</v>
      </c>
      <c r="F65" s="23">
        <v>1619863.4500000002</v>
      </c>
      <c r="G65" s="23">
        <v>1107422.7</v>
      </c>
      <c r="H65" s="23">
        <v>6114980.9500000002</v>
      </c>
    </row>
    <row r="66" spans="1:8">
      <c r="A66" s="16" t="s">
        <v>2779</v>
      </c>
      <c r="B66" s="23">
        <v>634836.75</v>
      </c>
      <c r="C66" s="23">
        <v>896999</v>
      </c>
      <c r="D66" s="23">
        <v>1460727.4500000002</v>
      </c>
      <c r="E66" s="23">
        <v>735197.7</v>
      </c>
      <c r="F66" s="23">
        <v>331360.05000000005</v>
      </c>
      <c r="G66" s="23">
        <v>274468.05</v>
      </c>
      <c r="H66" s="23">
        <v>4333589</v>
      </c>
    </row>
    <row r="67" spans="1:8">
      <c r="A67" s="16" t="s">
        <v>2794</v>
      </c>
      <c r="B67" s="23">
        <v>513479.25</v>
      </c>
      <c r="C67" s="23">
        <v>1284347.1500000001</v>
      </c>
      <c r="D67" s="23">
        <v>286073.34999999998</v>
      </c>
      <c r="E67" s="23">
        <v>634458.89999999991</v>
      </c>
      <c r="F67" s="23">
        <v>2281006.9500000002</v>
      </c>
      <c r="G67" s="23">
        <v>200129.25</v>
      </c>
      <c r="H67" s="23">
        <v>5199494.8499999996</v>
      </c>
    </row>
    <row r="68" spans="1:8">
      <c r="A68" s="16" t="s">
        <v>2758</v>
      </c>
      <c r="B68" s="23">
        <v>663195.65</v>
      </c>
      <c r="C68" s="23">
        <v>1463948.4000000001</v>
      </c>
      <c r="D68" s="23">
        <v>727931.9</v>
      </c>
      <c r="E68" s="23">
        <v>889195.55</v>
      </c>
      <c r="F68" s="23">
        <v>1192642.8</v>
      </c>
      <c r="G68" s="23">
        <v>1586791.35</v>
      </c>
      <c r="H68" s="23">
        <v>6523705.6500000004</v>
      </c>
    </row>
    <row r="69" spans="1:8">
      <c r="A69" s="16" t="s">
        <v>2762</v>
      </c>
      <c r="B69" s="23">
        <v>1436330.9</v>
      </c>
      <c r="C69" s="23">
        <v>1432781.05</v>
      </c>
      <c r="D69" s="23">
        <v>851328.55</v>
      </c>
      <c r="E69" s="23">
        <v>749191.95000000007</v>
      </c>
      <c r="F69" s="23">
        <v>531307.25</v>
      </c>
      <c r="G69" s="23">
        <v>924072</v>
      </c>
      <c r="H69" s="23">
        <v>5925011.7000000002</v>
      </c>
    </row>
    <row r="70" spans="1:8">
      <c r="A70" s="13" t="s">
        <v>5100</v>
      </c>
      <c r="B70" s="23">
        <v>4336365.3499999996</v>
      </c>
      <c r="C70" s="23">
        <v>6269334.7000000002</v>
      </c>
      <c r="D70" s="23">
        <v>3655890.5</v>
      </c>
      <c r="E70" s="23">
        <v>3786127.75</v>
      </c>
      <c r="F70" s="23">
        <v>5956180.5</v>
      </c>
      <c r="G70" s="23">
        <v>4092883.35</v>
      </c>
      <c r="H70" s="23">
        <v>28096782.149999999</v>
      </c>
    </row>
    <row r="72" spans="1:8">
      <c r="A72" s="12" t="s">
        <v>5120</v>
      </c>
      <c r="B72" t="s">
        <v>5016</v>
      </c>
      <c r="C72" t="s">
        <v>5123</v>
      </c>
    </row>
    <row r="73" spans="1:8">
      <c r="A73" s="13" t="s">
        <v>2758</v>
      </c>
      <c r="B73" s="32">
        <v>96972.338613861386</v>
      </c>
      <c r="C73" s="32">
        <v>101</v>
      </c>
    </row>
    <row r="74" spans="1:8">
      <c r="A74" s="13" t="s">
        <v>2794</v>
      </c>
      <c r="B74" s="32">
        <v>86764.457065217386</v>
      </c>
      <c r="C74" s="32">
        <v>92</v>
      </c>
    </row>
    <row r="75" spans="1:8">
      <c r="A75" s="13" t="s">
        <v>2779</v>
      </c>
      <c r="B75" s="32">
        <v>85063.856250000012</v>
      </c>
      <c r="C75" s="32">
        <v>88</v>
      </c>
    </row>
    <row r="76" spans="1:8">
      <c r="A76" s="13" t="s">
        <v>2751</v>
      </c>
      <c r="B76" s="32">
        <v>77582.824137931064</v>
      </c>
      <c r="C76" s="32">
        <v>116</v>
      </c>
    </row>
    <row r="77" spans="1:8">
      <c r="A77" s="13" t="s">
        <v>2762</v>
      </c>
      <c r="B77" s="32">
        <v>77489.073300970878</v>
      </c>
      <c r="C77" s="32">
        <v>103</v>
      </c>
    </row>
    <row r="78" spans="1:8">
      <c r="A78" s="13" t="s">
        <v>5100</v>
      </c>
      <c r="B78" s="32">
        <v>84486.275499999989</v>
      </c>
      <c r="C78" s="32">
        <v>500</v>
      </c>
    </row>
    <row r="80" spans="1:8" ht="16.5" thickBot="1">
      <c r="A80" s="24" t="s">
        <v>5099</v>
      </c>
      <c r="B80" s="25"/>
    </row>
    <row r="82" spans="1:6">
      <c r="A82" s="12" t="s">
        <v>5129</v>
      </c>
      <c r="B82" t="s">
        <v>5124</v>
      </c>
      <c r="C82" t="s">
        <v>5125</v>
      </c>
      <c r="D82" t="s">
        <v>5126</v>
      </c>
      <c r="E82" t="s">
        <v>5127</v>
      </c>
      <c r="F82" s="21" t="s">
        <v>5128</v>
      </c>
    </row>
    <row r="83" spans="1:6">
      <c r="A83" s="13" t="s">
        <v>4814</v>
      </c>
      <c r="B83">
        <v>3422200</v>
      </c>
      <c r="C83">
        <v>10</v>
      </c>
      <c r="D83">
        <v>131043.09999999999</v>
      </c>
      <c r="E83">
        <v>37.6</v>
      </c>
      <c r="F83" t="str">
        <f>IF(C83&gt;=PERCENTILE($C$83:$C$129,0.8),"🥇 Top 20%",
 IF(C83&gt;=PERCENTILE($C$83:$C$129,0.5),"🥈 Top 50%",
 "🥉 Bottom 50%"))</f>
        <v>🥇 Top 20%</v>
      </c>
    </row>
    <row r="84" spans="1:6">
      <c r="A84" s="13" t="s">
        <v>4879</v>
      </c>
      <c r="B84">
        <v>2536300</v>
      </c>
      <c r="C84">
        <v>9</v>
      </c>
      <c r="D84">
        <v>101598.7</v>
      </c>
      <c r="E84">
        <v>43.85</v>
      </c>
      <c r="F84" t="str">
        <f t="shared" ref="F84:F129" si="1">IF(C84&gt;=PERCENTILE($C$83:$C$129,0.8),"🥇 Top 20%",
 IF(C84&gt;=PERCENTILE($C$83:$C$129,0.5),"🥈 Top 50%",
 "🥉 Bottom 50%"))</f>
        <v>🥇 Top 20%</v>
      </c>
    </row>
    <row r="85" spans="1:6">
      <c r="A85" s="13" t="s">
        <v>4839</v>
      </c>
      <c r="B85">
        <v>2176800</v>
      </c>
      <c r="C85">
        <v>12</v>
      </c>
      <c r="D85">
        <v>92553.8</v>
      </c>
      <c r="E85">
        <v>41.6</v>
      </c>
      <c r="F85" t="str">
        <f t="shared" si="1"/>
        <v>🥇 Top 20%</v>
      </c>
    </row>
    <row r="86" spans="1:6">
      <c r="A86" s="13" t="s">
        <v>4882</v>
      </c>
      <c r="B86">
        <v>1851500</v>
      </c>
      <c r="C86">
        <v>3</v>
      </c>
      <c r="D86">
        <v>45725.100000000006</v>
      </c>
      <c r="E86">
        <v>42.7</v>
      </c>
      <c r="F86" t="str">
        <f t="shared" si="1"/>
        <v>🥉 Bottom 50%</v>
      </c>
    </row>
    <row r="87" spans="1:6">
      <c r="A87" s="13" t="s">
        <v>2460</v>
      </c>
      <c r="B87">
        <v>1679000</v>
      </c>
      <c r="C87">
        <v>6</v>
      </c>
      <c r="D87">
        <v>63705.299999999996</v>
      </c>
      <c r="E87">
        <v>43.7</v>
      </c>
      <c r="F87" t="str">
        <f t="shared" si="1"/>
        <v>🥇 Top 20%</v>
      </c>
    </row>
    <row r="88" spans="1:6">
      <c r="A88" s="13" t="s">
        <v>4929</v>
      </c>
      <c r="B88">
        <v>1660800</v>
      </c>
      <c r="C88">
        <v>6</v>
      </c>
      <c r="D88">
        <v>71870.799999999988</v>
      </c>
      <c r="E88">
        <v>52.8</v>
      </c>
      <c r="F88" t="str">
        <f t="shared" si="1"/>
        <v>🥇 Top 20%</v>
      </c>
    </row>
    <row r="89" spans="1:6">
      <c r="A89" s="13" t="s">
        <v>4932</v>
      </c>
      <c r="B89">
        <v>1620300</v>
      </c>
      <c r="C89">
        <v>5</v>
      </c>
      <c r="D89">
        <v>80990.600000000006</v>
      </c>
      <c r="E89">
        <v>43.5</v>
      </c>
      <c r="F89" t="str">
        <f t="shared" si="1"/>
        <v>🥈 Top 50%</v>
      </c>
    </row>
    <row r="90" spans="1:6">
      <c r="A90" s="13" t="s">
        <v>4870</v>
      </c>
      <c r="B90">
        <v>1552300</v>
      </c>
      <c r="C90">
        <v>4</v>
      </c>
      <c r="D90">
        <v>43939.9</v>
      </c>
      <c r="E90">
        <v>46.5</v>
      </c>
      <c r="F90" t="str">
        <f t="shared" si="1"/>
        <v>🥉 Bottom 50%</v>
      </c>
    </row>
    <row r="91" spans="1:6">
      <c r="A91" s="13" t="s">
        <v>4836</v>
      </c>
      <c r="B91">
        <v>1523400</v>
      </c>
      <c r="C91">
        <v>4</v>
      </c>
      <c r="D91">
        <v>42101.8</v>
      </c>
      <c r="E91">
        <v>37.299999999999997</v>
      </c>
      <c r="F91" t="str">
        <f t="shared" si="1"/>
        <v>🥉 Bottom 50%</v>
      </c>
    </row>
    <row r="92" spans="1:6">
      <c r="A92" s="13" t="s">
        <v>4909</v>
      </c>
      <c r="B92">
        <v>1521800</v>
      </c>
      <c r="C92">
        <v>7</v>
      </c>
      <c r="D92">
        <v>74284.600000000006</v>
      </c>
      <c r="E92">
        <v>42.5</v>
      </c>
      <c r="F92" t="str">
        <f t="shared" si="1"/>
        <v>🥇 Top 20%</v>
      </c>
    </row>
    <row r="93" spans="1:6">
      <c r="A93" s="13" t="s">
        <v>4923</v>
      </c>
      <c r="B93">
        <v>1508400</v>
      </c>
      <c r="C93">
        <v>4</v>
      </c>
      <c r="D93">
        <v>37696.9</v>
      </c>
      <c r="E93">
        <v>46.2</v>
      </c>
      <c r="F93" t="str">
        <f t="shared" si="1"/>
        <v>🥉 Bottom 50%</v>
      </c>
    </row>
    <row r="94" spans="1:6">
      <c r="A94" s="13" t="s">
        <v>4903</v>
      </c>
      <c r="B94">
        <v>1461500</v>
      </c>
      <c r="C94">
        <v>2</v>
      </c>
      <c r="D94">
        <v>19163.3</v>
      </c>
      <c r="E94">
        <v>45</v>
      </c>
      <c r="F94" t="str">
        <f t="shared" si="1"/>
        <v>🥉 Bottom 50%</v>
      </c>
    </row>
    <row r="95" spans="1:6">
      <c r="A95" s="13" t="s">
        <v>4842</v>
      </c>
      <c r="B95">
        <v>1410800</v>
      </c>
      <c r="C95">
        <v>4</v>
      </c>
      <c r="D95">
        <v>56323.6</v>
      </c>
      <c r="E95">
        <v>43.9</v>
      </c>
      <c r="F95" t="str">
        <f t="shared" si="1"/>
        <v>🥉 Bottom 50%</v>
      </c>
    </row>
    <row r="96" spans="1:6">
      <c r="A96" s="13" t="s">
        <v>4862</v>
      </c>
      <c r="B96">
        <v>1408300</v>
      </c>
      <c r="C96">
        <v>4</v>
      </c>
      <c r="D96">
        <v>48264.800000000003</v>
      </c>
      <c r="E96">
        <v>54.3</v>
      </c>
      <c r="F96" t="str">
        <f t="shared" si="1"/>
        <v>🥉 Bottom 50%</v>
      </c>
    </row>
    <row r="97" spans="1:6">
      <c r="A97" s="13" t="s">
        <v>4912</v>
      </c>
      <c r="B97">
        <v>1406100</v>
      </c>
      <c r="C97">
        <v>3</v>
      </c>
      <c r="D97">
        <v>13084.599999999999</v>
      </c>
      <c r="E97">
        <v>44.5</v>
      </c>
      <c r="F97" t="str">
        <f t="shared" si="1"/>
        <v>🥉 Bottom 50%</v>
      </c>
    </row>
    <row r="98" spans="1:6">
      <c r="A98" s="13" t="s">
        <v>4831</v>
      </c>
      <c r="B98">
        <v>1392700</v>
      </c>
      <c r="C98">
        <v>2</v>
      </c>
      <c r="D98">
        <v>13058.8</v>
      </c>
      <c r="E98">
        <v>53.8</v>
      </c>
      <c r="F98" t="str">
        <f t="shared" si="1"/>
        <v>🥉 Bottom 50%</v>
      </c>
    </row>
    <row r="99" spans="1:6">
      <c r="A99" s="13" t="s">
        <v>4856</v>
      </c>
      <c r="B99">
        <v>1372400</v>
      </c>
      <c r="C99">
        <v>5</v>
      </c>
      <c r="D99">
        <v>58466.6</v>
      </c>
      <c r="E99">
        <v>48.4</v>
      </c>
      <c r="F99" t="str">
        <f t="shared" si="1"/>
        <v>🥈 Top 50%</v>
      </c>
    </row>
    <row r="100" spans="1:6">
      <c r="A100" s="13" t="s">
        <v>4888</v>
      </c>
      <c r="B100">
        <v>1366800</v>
      </c>
      <c r="C100">
        <v>5</v>
      </c>
      <c r="D100">
        <v>42829.5</v>
      </c>
      <c r="E100">
        <v>52</v>
      </c>
      <c r="F100" t="str">
        <f t="shared" si="1"/>
        <v>🥈 Top 50%</v>
      </c>
    </row>
    <row r="101" spans="1:6">
      <c r="A101" s="13" t="s">
        <v>4827</v>
      </c>
      <c r="B101">
        <v>1361200</v>
      </c>
      <c r="C101">
        <v>4</v>
      </c>
      <c r="D101">
        <v>58459.600000000006</v>
      </c>
      <c r="E101">
        <v>59</v>
      </c>
      <c r="F101" t="str">
        <f t="shared" si="1"/>
        <v>🥉 Bottom 50%</v>
      </c>
    </row>
    <row r="102" spans="1:6">
      <c r="A102" s="13" t="s">
        <v>4891</v>
      </c>
      <c r="B102">
        <v>1356800</v>
      </c>
      <c r="C102">
        <v>7</v>
      </c>
      <c r="D102">
        <v>47251.9</v>
      </c>
      <c r="E102">
        <v>40.299999999999997</v>
      </c>
      <c r="F102" t="str">
        <f t="shared" si="1"/>
        <v>🥇 Top 20%</v>
      </c>
    </row>
    <row r="103" spans="1:6">
      <c r="A103" s="13" t="s">
        <v>4805</v>
      </c>
      <c r="B103">
        <v>1350400</v>
      </c>
      <c r="C103">
        <v>3</v>
      </c>
      <c r="D103">
        <v>33194.300000000003</v>
      </c>
      <c r="E103">
        <v>45.1</v>
      </c>
      <c r="F103" t="str">
        <f t="shared" si="1"/>
        <v>🥉 Bottom 50%</v>
      </c>
    </row>
    <row r="104" spans="1:6">
      <c r="A104" s="13" t="s">
        <v>4906</v>
      </c>
      <c r="B104">
        <v>1349000</v>
      </c>
      <c r="C104">
        <v>7</v>
      </c>
      <c r="D104">
        <v>40850.299999999996</v>
      </c>
      <c r="E104">
        <v>39</v>
      </c>
      <c r="F104" t="str">
        <f t="shared" si="1"/>
        <v>🥇 Top 20%</v>
      </c>
    </row>
    <row r="105" spans="1:6">
      <c r="A105" s="13" t="s">
        <v>4873</v>
      </c>
      <c r="B105">
        <v>1324300</v>
      </c>
      <c r="C105">
        <v>4</v>
      </c>
      <c r="D105">
        <v>58206.2</v>
      </c>
      <c r="E105">
        <v>47.9</v>
      </c>
      <c r="F105" t="str">
        <f t="shared" si="1"/>
        <v>🥉 Bottom 50%</v>
      </c>
    </row>
    <row r="106" spans="1:6">
      <c r="A106" s="13" t="s">
        <v>4821</v>
      </c>
      <c r="B106">
        <v>1322900</v>
      </c>
      <c r="C106">
        <v>5</v>
      </c>
      <c r="D106">
        <v>29142.300000000003</v>
      </c>
      <c r="E106">
        <v>36.200000000000003</v>
      </c>
      <c r="F106" t="str">
        <f t="shared" si="1"/>
        <v>🥈 Top 50%</v>
      </c>
    </row>
    <row r="107" spans="1:6">
      <c r="A107" s="13" t="s">
        <v>4847</v>
      </c>
      <c r="B107">
        <v>1300100</v>
      </c>
      <c r="C107">
        <v>3</v>
      </c>
      <c r="D107">
        <v>21820.399999999998</v>
      </c>
      <c r="E107">
        <v>54.2</v>
      </c>
      <c r="F107" t="str">
        <f t="shared" si="1"/>
        <v>🥉 Bottom 50%</v>
      </c>
    </row>
    <row r="108" spans="1:6">
      <c r="A108" s="13" t="s">
        <v>4876</v>
      </c>
      <c r="B108">
        <v>1293100</v>
      </c>
      <c r="C108">
        <v>5</v>
      </c>
      <c r="D108">
        <v>55984.3</v>
      </c>
      <c r="E108">
        <v>48.7</v>
      </c>
      <c r="F108" t="str">
        <f t="shared" si="1"/>
        <v>🥈 Top 50%</v>
      </c>
    </row>
    <row r="109" spans="1:6">
      <c r="A109" s="13" t="s">
        <v>4850</v>
      </c>
      <c r="B109">
        <v>1272700</v>
      </c>
      <c r="C109">
        <v>5</v>
      </c>
      <c r="D109">
        <v>49923.9</v>
      </c>
      <c r="E109">
        <v>43.2</v>
      </c>
      <c r="F109" t="str">
        <f t="shared" si="1"/>
        <v>🥈 Top 50%</v>
      </c>
    </row>
    <row r="110" spans="1:6">
      <c r="A110" s="13" t="s">
        <v>4920</v>
      </c>
      <c r="B110">
        <v>1269500</v>
      </c>
      <c r="C110">
        <v>3</v>
      </c>
      <c r="D110">
        <v>17727.900000000001</v>
      </c>
      <c r="E110">
        <v>58.4</v>
      </c>
      <c r="F110" t="str">
        <f t="shared" si="1"/>
        <v>🥉 Bottom 50%</v>
      </c>
    </row>
    <row r="111" spans="1:6">
      <c r="A111" s="13" t="s">
        <v>4937</v>
      </c>
      <c r="B111">
        <v>1247500</v>
      </c>
      <c r="C111">
        <v>5</v>
      </c>
      <c r="D111">
        <v>34121.1</v>
      </c>
      <c r="E111">
        <v>65.8</v>
      </c>
      <c r="F111" t="str">
        <f t="shared" si="1"/>
        <v>🥈 Top 50%</v>
      </c>
    </row>
    <row r="112" spans="1:6">
      <c r="A112" s="13" t="s">
        <v>4894</v>
      </c>
      <c r="B112">
        <v>1233400</v>
      </c>
      <c r="C112">
        <v>6</v>
      </c>
      <c r="D112">
        <v>91767.4</v>
      </c>
      <c r="E112">
        <v>55.6</v>
      </c>
      <c r="F112" t="str">
        <f t="shared" si="1"/>
        <v>🥇 Top 20%</v>
      </c>
    </row>
    <row r="113" spans="1:6">
      <c r="A113" s="13" t="s">
        <v>2125</v>
      </c>
      <c r="B113">
        <v>1212900</v>
      </c>
      <c r="C113">
        <v>4</v>
      </c>
      <c r="D113">
        <v>47450.8</v>
      </c>
      <c r="E113">
        <v>58.5</v>
      </c>
      <c r="F113" t="str">
        <f t="shared" si="1"/>
        <v>🥉 Bottom 50%</v>
      </c>
    </row>
    <row r="114" spans="1:6">
      <c r="A114" s="13" t="s">
        <v>4943</v>
      </c>
      <c r="B114">
        <v>1210700</v>
      </c>
      <c r="C114">
        <v>3</v>
      </c>
      <c r="D114">
        <v>27506.400000000001</v>
      </c>
      <c r="E114">
        <v>47.4</v>
      </c>
      <c r="F114" t="str">
        <f t="shared" si="1"/>
        <v>🥉 Bottom 50%</v>
      </c>
    </row>
    <row r="115" spans="1:6">
      <c r="A115" s="13" t="s">
        <v>4900</v>
      </c>
      <c r="B115">
        <v>1200300</v>
      </c>
      <c r="C115">
        <v>7</v>
      </c>
      <c r="D115">
        <v>69172.899999999994</v>
      </c>
      <c r="E115">
        <v>36.9</v>
      </c>
      <c r="F115" t="str">
        <f t="shared" si="1"/>
        <v>🥇 Top 20%</v>
      </c>
    </row>
    <row r="116" spans="1:6">
      <c r="A116" s="13" t="s">
        <v>4817</v>
      </c>
      <c r="B116">
        <v>1167900</v>
      </c>
      <c r="C116">
        <v>4</v>
      </c>
      <c r="D116">
        <v>31584</v>
      </c>
      <c r="E116">
        <v>43.2</v>
      </c>
      <c r="F116" t="str">
        <f t="shared" si="1"/>
        <v>🥉 Bottom 50%</v>
      </c>
    </row>
    <row r="117" spans="1:6">
      <c r="A117" s="13" t="s">
        <v>4926</v>
      </c>
      <c r="B117">
        <v>1119000</v>
      </c>
      <c r="C117">
        <v>5</v>
      </c>
      <c r="D117">
        <v>37820.000000000007</v>
      </c>
      <c r="E117">
        <v>55.4</v>
      </c>
      <c r="F117" t="str">
        <f t="shared" si="1"/>
        <v>🥈 Top 50%</v>
      </c>
    </row>
    <row r="118" spans="1:6">
      <c r="A118" s="13" t="s">
        <v>4800</v>
      </c>
      <c r="B118">
        <v>1110700</v>
      </c>
      <c r="C118">
        <v>1</v>
      </c>
      <c r="D118">
        <v>3374.5</v>
      </c>
      <c r="E118">
        <v>44.5</v>
      </c>
      <c r="F118" t="str">
        <f t="shared" si="1"/>
        <v>🥉 Bottom 50%</v>
      </c>
    </row>
    <row r="119" spans="1:6">
      <c r="A119" s="13" t="s">
        <v>4811</v>
      </c>
      <c r="B119">
        <v>1078800</v>
      </c>
      <c r="C119">
        <v>5</v>
      </c>
      <c r="D119">
        <v>28679.8</v>
      </c>
      <c r="E119">
        <v>46</v>
      </c>
      <c r="F119" t="str">
        <f t="shared" si="1"/>
        <v>🥈 Top 50%</v>
      </c>
    </row>
    <row r="120" spans="1:6">
      <c r="A120" s="13" t="s">
        <v>4885</v>
      </c>
      <c r="B120">
        <v>1063000</v>
      </c>
      <c r="C120">
        <v>3</v>
      </c>
      <c r="D120">
        <v>9536.4</v>
      </c>
      <c r="E120">
        <v>47.7</v>
      </c>
      <c r="F120" t="str">
        <f t="shared" si="1"/>
        <v>🥉 Bottom 50%</v>
      </c>
    </row>
    <row r="121" spans="1:6">
      <c r="A121" s="13" t="s">
        <v>4859</v>
      </c>
      <c r="B121">
        <v>1059700</v>
      </c>
      <c r="C121">
        <v>3</v>
      </c>
      <c r="D121">
        <v>18702.399999999998</v>
      </c>
      <c r="E121">
        <v>46.9</v>
      </c>
      <c r="F121" t="str">
        <f t="shared" si="1"/>
        <v>🥉 Bottom 50%</v>
      </c>
    </row>
    <row r="122" spans="1:6">
      <c r="A122" s="13" t="s">
        <v>4948</v>
      </c>
      <c r="B122">
        <v>1053200</v>
      </c>
      <c r="C122">
        <v>5</v>
      </c>
      <c r="D122">
        <v>16594.399999999998</v>
      </c>
      <c r="E122">
        <v>41</v>
      </c>
      <c r="F122" t="str">
        <f t="shared" si="1"/>
        <v>🥈 Top 50%</v>
      </c>
    </row>
    <row r="123" spans="1:6">
      <c r="A123" s="13" t="s">
        <v>4853</v>
      </c>
      <c r="B123">
        <v>1045200</v>
      </c>
      <c r="C123">
        <v>5</v>
      </c>
      <c r="D123">
        <v>50756.800000000003</v>
      </c>
      <c r="E123">
        <v>48.6</v>
      </c>
      <c r="F123" t="str">
        <f t="shared" si="1"/>
        <v>🥈 Top 50%</v>
      </c>
    </row>
    <row r="124" spans="1:6">
      <c r="A124" s="13" t="s">
        <v>4777</v>
      </c>
      <c r="B124">
        <v>1038400</v>
      </c>
      <c r="C124">
        <v>7</v>
      </c>
      <c r="D124">
        <v>58503.899999999994</v>
      </c>
      <c r="E124">
        <v>51.8</v>
      </c>
      <c r="F124" t="str">
        <f t="shared" si="1"/>
        <v>🥇 Top 20%</v>
      </c>
    </row>
    <row r="125" spans="1:6">
      <c r="A125" s="13" t="s">
        <v>2090</v>
      </c>
      <c r="B125">
        <v>1003200</v>
      </c>
      <c r="C125">
        <v>5</v>
      </c>
      <c r="D125">
        <v>38404.299999999996</v>
      </c>
      <c r="E125">
        <v>46.3</v>
      </c>
      <c r="F125" t="str">
        <f t="shared" si="1"/>
        <v>🥈 Top 50%</v>
      </c>
    </row>
    <row r="126" spans="1:6">
      <c r="A126" s="13" t="s">
        <v>4917</v>
      </c>
      <c r="B126">
        <v>926200</v>
      </c>
      <c r="C126">
        <v>6</v>
      </c>
      <c r="D126">
        <v>19844</v>
      </c>
      <c r="E126">
        <v>39.9</v>
      </c>
      <c r="F126" t="str">
        <f t="shared" si="1"/>
        <v>🥇 Top 20%</v>
      </c>
    </row>
    <row r="127" spans="1:6">
      <c r="A127" s="13" t="s">
        <v>4897</v>
      </c>
      <c r="B127">
        <v>925500</v>
      </c>
      <c r="C127">
        <v>4</v>
      </c>
      <c r="D127">
        <v>20867.2</v>
      </c>
      <c r="E127">
        <v>48.1</v>
      </c>
      <c r="F127" t="str">
        <f t="shared" si="1"/>
        <v>🥉 Bottom 50%</v>
      </c>
    </row>
    <row r="128" spans="1:6">
      <c r="A128" s="13" t="s">
        <v>4940</v>
      </c>
      <c r="B128">
        <v>911100</v>
      </c>
      <c r="C128">
        <v>5</v>
      </c>
      <c r="D128">
        <v>27726.799999999999</v>
      </c>
      <c r="E128">
        <v>55.9</v>
      </c>
      <c r="F128" t="str">
        <f t="shared" si="1"/>
        <v>🥈 Top 50%</v>
      </c>
    </row>
    <row r="129" spans="1:6">
      <c r="A129" s="13" t="s">
        <v>4865</v>
      </c>
      <c r="B129">
        <v>864900</v>
      </c>
      <c r="C129">
        <v>5</v>
      </c>
      <c r="D129">
        <v>23176.399999999998</v>
      </c>
      <c r="E129">
        <v>40.5</v>
      </c>
      <c r="F129" t="str">
        <f t="shared" si="1"/>
        <v>🥈 Top 50%</v>
      </c>
    </row>
    <row r="130" spans="1:6">
      <c r="A130" s="13" t="s">
        <v>5100</v>
      </c>
      <c r="B130">
        <v>64543000</v>
      </c>
      <c r="C130">
        <v>229</v>
      </c>
      <c r="D130">
        <v>2104852.4000000004</v>
      </c>
      <c r="E130">
        <v>46.704000000000001</v>
      </c>
    </row>
  </sheetData>
  <conditionalFormatting pivot="1" sqref="B65:H69">
    <cfRule type="colorScale" priority="2">
      <colorScale>
        <cfvo type="min"/>
        <cfvo type="percentile" val="50"/>
        <cfvo type="max"/>
        <color rgb="FFF8696B"/>
        <color rgb="FFFCFCFF"/>
        <color rgb="FF63BE7B"/>
      </colorScale>
    </cfRule>
  </conditionalFormatting>
  <conditionalFormatting pivot="1" sqref="B83:B129">
    <cfRule type="iconSet" priority="1">
      <iconSet iconSet="3Arrows">
        <cfvo type="percent" val="0"/>
        <cfvo type="percent" val="33"/>
        <cfvo type="percent" val="67"/>
      </iconSet>
    </cfRule>
  </conditionalFormatting>
  <pageMargins left="0.7" right="0.7" top="0.75" bottom="0.75" header="0.3" footer="0.3"/>
  <pageSetup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ECC89-F332-4CB7-B9AB-2AB2892F0A4A}">
  <sheetPr>
    <tabColor theme="9"/>
  </sheetPr>
  <dimension ref="A1:T49"/>
  <sheetViews>
    <sheetView showGridLines="0" tabSelected="1" zoomScale="105" workbookViewId="0">
      <selection activeCell="I4" sqref="I4"/>
    </sheetView>
  </sheetViews>
  <sheetFormatPr defaultRowHeight="14.5"/>
  <cols>
    <col min="1" max="15" width="10.6328125" style="26" customWidth="1"/>
    <col min="16" max="16" width="8.7265625" style="26" customWidth="1"/>
    <col min="17" max="17" width="10.6328125" style="26" customWidth="1"/>
    <col min="18" max="18" width="12.453125" style="26" bestFit="1" customWidth="1"/>
    <col min="19" max="19" width="14.36328125" style="26" bestFit="1" customWidth="1"/>
    <col min="20" max="26" width="10.6328125" style="26" customWidth="1"/>
    <col min="27" max="16384" width="8.7265625" style="26"/>
  </cols>
  <sheetData>
    <row r="1" spans="1:20" ht="45" customHeight="1">
      <c r="A1" s="27" t="s">
        <v>5130</v>
      </c>
      <c r="B1" s="27"/>
      <c r="C1" s="27"/>
      <c r="D1" s="27"/>
      <c r="E1" s="27"/>
      <c r="F1" s="27"/>
      <c r="G1" s="27"/>
      <c r="H1" s="27"/>
      <c r="I1" s="27"/>
      <c r="J1" s="27"/>
      <c r="K1" s="27"/>
      <c r="L1" s="27"/>
      <c r="M1" s="27"/>
      <c r="N1" s="27"/>
      <c r="O1" s="27"/>
      <c r="P1" s="27"/>
      <c r="R1" s="12" t="s">
        <v>5131</v>
      </c>
      <c r="S1" t="s">
        <v>5132</v>
      </c>
      <c r="T1"/>
    </row>
    <row r="2" spans="1:20" ht="40.5" customHeight="1">
      <c r="R2" s="13" t="s">
        <v>76</v>
      </c>
      <c r="S2" s="32">
        <v>2642332</v>
      </c>
      <c r="T2"/>
    </row>
    <row r="3" spans="1:20" ht="40" customHeight="1">
      <c r="A3" s="28"/>
      <c r="B3" s="28"/>
      <c r="C3" s="28"/>
      <c r="D3" s="28"/>
      <c r="E3" s="29"/>
      <c r="F3" s="29"/>
      <c r="G3" s="29"/>
      <c r="H3" s="29"/>
      <c r="I3" s="29"/>
      <c r="J3" s="29"/>
      <c r="K3" s="29"/>
      <c r="L3" s="29"/>
      <c r="M3" s="29"/>
      <c r="N3" s="29"/>
      <c r="O3" s="29"/>
      <c r="P3" s="29"/>
      <c r="R3" s="13" t="s">
        <v>35</v>
      </c>
      <c r="S3" s="32">
        <v>6060414.200000002</v>
      </c>
      <c r="T3"/>
    </row>
    <row r="4" spans="1:20" ht="40" customHeight="1">
      <c r="R4" s="13" t="s">
        <v>24</v>
      </c>
      <c r="S4" s="32">
        <v>14560479.500000002</v>
      </c>
      <c r="T4"/>
    </row>
    <row r="5" spans="1:20" ht="40" customHeight="1">
      <c r="R5" s="13" t="s">
        <v>188</v>
      </c>
      <c r="S5" s="32">
        <v>9347593.2500000019</v>
      </c>
      <c r="T5"/>
    </row>
    <row r="6" spans="1:20" ht="40" customHeight="1">
      <c r="R6" s="13" t="s">
        <v>46</v>
      </c>
      <c r="S6" s="32">
        <v>9632318.7999999989</v>
      </c>
      <c r="T6"/>
    </row>
    <row r="7" spans="1:20" ht="40" customHeight="1">
      <c r="R7" s="13" t="s">
        <v>5100</v>
      </c>
      <c r="S7" s="32">
        <v>42243137.75</v>
      </c>
      <c r="T7"/>
    </row>
    <row r="8" spans="1:20" ht="18" customHeight="1">
      <c r="R8"/>
      <c r="S8"/>
      <c r="T8"/>
    </row>
    <row r="9" spans="1:20" ht="18" customHeight="1">
      <c r="R9"/>
      <c r="S9"/>
      <c r="T9"/>
    </row>
    <row r="10" spans="1:20" ht="18" customHeight="1">
      <c r="R10"/>
      <c r="S10"/>
      <c r="T10"/>
    </row>
    <row r="11" spans="1:20" ht="18" customHeight="1">
      <c r="R11"/>
      <c r="S11"/>
      <c r="T11"/>
    </row>
    <row r="12" spans="1:20" ht="18" customHeight="1">
      <c r="R12"/>
      <c r="S12"/>
      <c r="T12"/>
    </row>
    <row r="13" spans="1:20" ht="18" customHeight="1">
      <c r="R13"/>
      <c r="S13"/>
      <c r="T13"/>
    </row>
    <row r="14" spans="1:20" ht="18" customHeight="1">
      <c r="R14"/>
      <c r="S14"/>
      <c r="T14"/>
    </row>
    <row r="15" spans="1:20" ht="18" customHeight="1">
      <c r="R15"/>
      <c r="S15"/>
      <c r="T15"/>
    </row>
    <row r="16" spans="1:20" ht="18" customHeight="1">
      <c r="R16"/>
      <c r="S16"/>
      <c r="T16"/>
    </row>
    <row r="17" spans="18:20" ht="18" customHeight="1">
      <c r="R17"/>
      <c r="S17"/>
      <c r="T17"/>
    </row>
    <row r="18" spans="18:20" ht="18" customHeight="1">
      <c r="R18"/>
      <c r="S18"/>
      <c r="T18"/>
    </row>
    <row r="19" spans="18:20" ht="18" customHeight="1"/>
    <row r="20" spans="18:20" ht="18" customHeight="1"/>
    <row r="21" spans="18:20" ht="18" customHeight="1"/>
    <row r="22" spans="18:20" ht="18" customHeight="1"/>
    <row r="23" spans="18:20" ht="18" customHeight="1"/>
    <row r="24" spans="18:20" ht="18" customHeight="1"/>
    <row r="25" spans="18:20" ht="18" customHeight="1"/>
    <row r="26" spans="18:20" ht="18" customHeight="1"/>
    <row r="27" spans="18:20" ht="18" customHeight="1"/>
    <row r="28" spans="18:20" ht="18" customHeight="1"/>
    <row r="29" spans="18:20" ht="18" customHeight="1"/>
    <row r="30" spans="18:20" ht="18" customHeight="1"/>
    <row r="31" spans="18:20" ht="18" customHeight="1"/>
    <row r="32" spans="18:20"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30" customHeight="1"/>
    <row r="47" ht="30" customHeight="1"/>
    <row r="48" ht="30" customHeight="1"/>
    <row r="49" ht="30" customHeight="1"/>
  </sheetData>
  <mergeCells count="9">
    <mergeCell ref="A1:P1"/>
    <mergeCell ref="A3:B3"/>
    <mergeCell ref="C3:D3"/>
    <mergeCell ref="E3:F3"/>
    <mergeCell ref="G3:H3"/>
    <mergeCell ref="I3:J3"/>
    <mergeCell ref="K3:L3"/>
    <mergeCell ref="M3:N3"/>
    <mergeCell ref="O3:P3"/>
  </mergeCells>
  <pageMargins left="0" right="0" top="0" bottom="0" header="0" footer="0"/>
  <pageSetup paperSize="12" orientation="landscape"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E1EC-2DBB-46C9-93C8-ED3615C83812}">
  <sheetPr>
    <tabColor rgb="FF002060"/>
  </sheetPr>
  <dimension ref="A1:C93"/>
  <sheetViews>
    <sheetView workbookViewId="0">
      <pane ySplit="1" topLeftCell="A22" activePane="bottomLeft" state="frozen"/>
      <selection pane="bottomLeft" activeCell="B32" sqref="B32"/>
    </sheetView>
  </sheetViews>
  <sheetFormatPr defaultRowHeight="14.5"/>
  <cols>
    <col min="1" max="1" width="40" bestFit="1" customWidth="1"/>
    <col min="2" max="2" width="22.6328125" customWidth="1"/>
    <col min="3" max="4" width="18.6328125" customWidth="1"/>
  </cols>
  <sheetData>
    <row r="1" spans="1:2" ht="21">
      <c r="A1" s="30" t="s">
        <v>5008</v>
      </c>
      <c r="B1" s="30"/>
    </row>
    <row r="2" spans="1:2">
      <c r="A2" t="str">
        <f ca="1">TEXT(TODAY(), "DD-MM-YYYY")</f>
        <v>30-04-2026</v>
      </c>
    </row>
    <row r="4" spans="1:2">
      <c r="A4" s="31" t="s">
        <v>5009</v>
      </c>
      <c r="B4" s="31"/>
    </row>
    <row r="5" spans="1:2">
      <c r="A5" s="7" t="s">
        <v>5010</v>
      </c>
      <c r="B5" s="8">
        <f>SUMIF(orders[Status], "Completed", orders[Revenue])</f>
        <v>28096782.150000002</v>
      </c>
    </row>
    <row r="6" spans="1:2">
      <c r="A6" s="7" t="s">
        <v>5011</v>
      </c>
      <c r="B6" s="8">
        <f>SUMIFS(orders[Revenue], orders[OrderYear], 2022, orders[Status], "Completed")</f>
        <v>10767536.800000001</v>
      </c>
    </row>
    <row r="7" spans="1:2">
      <c r="A7" s="7" t="s">
        <v>5012</v>
      </c>
      <c r="B7" s="8">
        <f>SUMIFS(orders[Revenue], orders[OrderYear], 2023, orders[Status], "Completed")</f>
        <v>8881123.4000000004</v>
      </c>
    </row>
    <row r="8" spans="1:2">
      <c r="A8" s="7" t="s">
        <v>5013</v>
      </c>
      <c r="B8" s="8">
        <f>SUMIFS(orders[Revenue], orders[OrderYear], 2024, orders[Status], "Completed")</f>
        <v>8448121.9499999993</v>
      </c>
    </row>
    <row r="9" spans="1:2">
      <c r="A9" s="9" t="s">
        <v>5014</v>
      </c>
      <c r="B9" s="8" t="str">
        <f>IFERROR(ROUND((B7-B6)/B6*100,1)&amp;"%","N/A")</f>
        <v>-17.5%</v>
      </c>
    </row>
    <row r="10" spans="1:2">
      <c r="A10" s="7" t="s">
        <v>5015</v>
      </c>
      <c r="B10" s="8" t="str">
        <f>IFERROR(ROUND((B8-B7)/B7*100,1)&amp;"%","N/A")</f>
        <v>-4.9%</v>
      </c>
    </row>
    <row r="11" spans="1:2">
      <c r="A11" s="7" t="s">
        <v>5016</v>
      </c>
      <c r="B11" s="8">
        <f>ROUND(AVERAGEIF(orders[Status], "Completed", orders[Revenue]),1)</f>
        <v>85400.6</v>
      </c>
    </row>
    <row r="12" spans="1:2">
      <c r="A12" s="7" t="s">
        <v>5017</v>
      </c>
      <c r="B12" s="8">
        <f>_xlfn.MAXIFS(orders[Revenue], orders[Status], "Completed")</f>
        <v>459600</v>
      </c>
    </row>
    <row r="13" spans="1:2">
      <c r="A13" s="7" t="s">
        <v>5018</v>
      </c>
      <c r="B13" s="8">
        <f>_xlfn.MINIFS(orders[Revenue], orders[Status], "Completed")</f>
        <v>1279.2</v>
      </c>
    </row>
    <row r="14" spans="1:2">
      <c r="A14" s="7" t="s">
        <v>5019</v>
      </c>
      <c r="B14" s="8">
        <f>SUMIFS(orders[Revenue], orders[Status], "Completed", orders[Region], "North")</f>
        <v>9997655.7499999981</v>
      </c>
    </row>
    <row r="15" spans="1:2">
      <c r="A15" s="9" t="s">
        <v>5020</v>
      </c>
      <c r="B15" s="8">
        <f>SUMIFS(orders[Revenue], orders[Status], "Completed", orders[Region], "South")</f>
        <v>4472669.3499999987</v>
      </c>
    </row>
    <row r="16" spans="1:2">
      <c r="A16" s="7" t="s">
        <v>5021</v>
      </c>
      <c r="B16" s="8">
        <f>SUMIFS(orders[Revenue], orders[Status], "Completed", orders[Region], "East")</f>
        <v>4835357.7500000009</v>
      </c>
    </row>
    <row r="17" spans="1:2">
      <c r="A17" s="7" t="s">
        <v>5022</v>
      </c>
      <c r="B17" s="8">
        <f>SUMIFS(orders[Revenue], orders[Status], "Completed", orders[Region], "West")</f>
        <v>7364213.1499999994</v>
      </c>
    </row>
    <row r="18" spans="1:2">
      <c r="A18" s="9" t="s">
        <v>5023</v>
      </c>
      <c r="B18" s="8">
        <f>SUMIFS(orders[Revenue], orders[Status], "Completed", orders[Region], "Central")</f>
        <v>1426886.15</v>
      </c>
    </row>
    <row r="19" spans="1:2">
      <c r="A19" s="7" t="s">
        <v>5024</v>
      </c>
      <c r="B19" s="8" t="str" cm="1">
        <f t="array" ref="B19">INDEX({"North","South","East","West","Central"}, MATCH(MAX(B14:B18),B14:B18,0))</f>
        <v>North</v>
      </c>
    </row>
    <row r="20" spans="1:2">
      <c r="A20" s="31" t="s">
        <v>5025</v>
      </c>
      <c r="B20" s="31"/>
    </row>
    <row r="21" spans="1:2">
      <c r="A21" s="7" t="s">
        <v>5026</v>
      </c>
      <c r="B21" s="8">
        <f>SUMIF(orders[Status], "Completed", orders[Profit])</f>
        <v>7571982.1500000013</v>
      </c>
    </row>
    <row r="22" spans="1:2">
      <c r="A22" s="7" t="s">
        <v>5027</v>
      </c>
      <c r="B22" s="8" t="str">
        <f>ROUND(B21/B5*100,1)&amp;"%"</f>
        <v>26.9%</v>
      </c>
    </row>
    <row r="23" spans="1:2">
      <c r="A23" s="7" t="s">
        <v>5028</v>
      </c>
      <c r="B23" s="8" t="str">
        <f>IFERROR(ROUND(SUMIFS(orders[Profit], orders[OrderYear], "2022", orders[Status], "Completed")/B6*100, 1)&amp;"%", "N/A")</f>
        <v>26.8%</v>
      </c>
    </row>
    <row r="24" spans="1:2">
      <c r="A24" s="7" t="s">
        <v>5029</v>
      </c>
      <c r="B24" s="8" t="str">
        <f>IFERROR(ROUND(SUMIFS(orders[Profit], orders[OrderYear], "2023", orders[Status], "Completed")/B7*100, 1)&amp;"%", "N/A")</f>
        <v>27%</v>
      </c>
    </row>
    <row r="25" spans="1:2">
      <c r="A25" s="7" t="s">
        <v>5030</v>
      </c>
      <c r="B25" s="8" t="str">
        <f>IFERROR(ROUND(SUMIFS(orders[Profit], orders[OrderYear], "2024", orders[Status], "Completed")/B8*100, 1)&amp;"%", "N/A")</f>
        <v>27.1%</v>
      </c>
    </row>
    <row r="26" spans="1:2">
      <c r="A26" s="7" t="s">
        <v>5031</v>
      </c>
      <c r="B26" s="8">
        <f>ROUND(AVERAGEIF(orders[Status], "Completed", orders[Profit]), 1)</f>
        <v>23015.1</v>
      </c>
    </row>
    <row r="27" spans="1:2">
      <c r="A27" s="7" t="s">
        <v>5032</v>
      </c>
      <c r="B27" s="8">
        <f>SUMIF(orders[Status], "Completed", orders[DiscountAmount])</f>
        <v>1854626.8500000003</v>
      </c>
    </row>
    <row r="28" spans="1:2">
      <c r="A28" s="7" t="s">
        <v>5033</v>
      </c>
      <c r="B28" s="8" t="str">
        <f>ROUND(AVERAGEIF(orders[Status], "Completed", orders[Discount]), 1)&amp;"%"</f>
        <v>6.4%</v>
      </c>
    </row>
    <row r="29" spans="1:2">
      <c r="A29" s="7" t="s">
        <v>5034</v>
      </c>
      <c r="B29" s="8">
        <f>B27</f>
        <v>1854626.8500000003</v>
      </c>
    </row>
    <row r="30" spans="1:2">
      <c r="A30" s="7" t="s">
        <v>5035</v>
      </c>
      <c r="B30" s="8" t="str" cm="1">
        <f t="array" ref="B30">INDEX(_xlfn.UNIQUE(orders[Region]), MATCH(MAX(SUMIFS(orders[Profit], orders[Region], _xlfn.UNIQUE(orders[Region]), orders[Status], "Completed")), SUMIFS(orders[Profit], orders[Region], _xlfn.UNIQUE(orders[Region]), orders[Status], "Completed"),0))</f>
        <v>North</v>
      </c>
    </row>
    <row r="31" spans="1:2">
      <c r="A31" s="31" t="s">
        <v>5036</v>
      </c>
      <c r="B31" s="31"/>
    </row>
    <row r="32" spans="1:2">
      <c r="A32" s="7" t="s">
        <v>5037</v>
      </c>
      <c r="B32" s="10">
        <f>ROWS(orders[OrderID])</f>
        <v>500</v>
      </c>
    </row>
    <row r="33" spans="1:2">
      <c r="A33" s="7" t="s">
        <v>5001</v>
      </c>
      <c r="B33" s="10">
        <f>COUNTIF(orders[Status], "Completed")</f>
        <v>329</v>
      </c>
    </row>
    <row r="34" spans="1:2">
      <c r="A34" s="7" t="s">
        <v>5002</v>
      </c>
      <c r="B34" s="10">
        <f>COUNTIF(orders[Status], "Pending")</f>
        <v>71</v>
      </c>
    </row>
    <row r="35" spans="1:2">
      <c r="A35" s="7" t="s">
        <v>5003</v>
      </c>
      <c r="B35" s="10">
        <f>COUNTIF(orders[Status], "Cancelled")</f>
        <v>100</v>
      </c>
    </row>
    <row r="36" spans="1:2">
      <c r="A36" s="7" t="s">
        <v>5038</v>
      </c>
      <c r="B36" s="10" t="str">
        <f>ROUND(B33/B32*100, 1)&amp;"%"</f>
        <v>65.8%</v>
      </c>
    </row>
    <row r="37" spans="1:2">
      <c r="A37" s="7" t="s">
        <v>5039</v>
      </c>
      <c r="B37" s="10" t="str">
        <f>ROUND(B35/B32*100, 1)&amp;"%"</f>
        <v>20%</v>
      </c>
    </row>
    <row r="38" spans="1:2">
      <c r="A38" s="7" t="s">
        <v>5040</v>
      </c>
      <c r="B38" s="10">
        <f>ROUND(AVERAGEIF(orders[DaysToShip], "&gt;=0", orders[DaysToShip]),1)</f>
        <v>4.0999999999999996</v>
      </c>
    </row>
    <row r="39" spans="1:2">
      <c r="A39" s="7" t="s">
        <v>5041</v>
      </c>
      <c r="B39" s="10">
        <f>COUNTIF(orders[Channel], "Website")</f>
        <v>103</v>
      </c>
    </row>
    <row r="40" spans="1:2">
      <c r="A40" s="7" t="s">
        <v>5042</v>
      </c>
      <c r="B40" s="10">
        <f>COUNTIF(orders[Channel], "Mobile App")</f>
        <v>88</v>
      </c>
    </row>
    <row r="41" spans="1:2">
      <c r="A41" s="7" t="s">
        <v>5043</v>
      </c>
      <c r="B41" s="10">
        <f>COUNTIF(orders[Channel], "Retail Store")</f>
        <v>92</v>
      </c>
    </row>
    <row r="42" spans="1:2">
      <c r="A42" s="7" t="s">
        <v>5044</v>
      </c>
      <c r="B42" s="10" t="str" cm="1">
        <f t="array" ref="B42">INDEX(
    _xlfn.UNIQUE(orders[Channel]),
    MATCH(
        MAX(COUNTIF(orders[Channel], _xlfn.UNIQUE(orders[Channel]))),
        COUNTIF(orders[Channel], _xlfn.UNIQUE(orders[Channel])),
        0
    )
)</f>
        <v>Affiliate</v>
      </c>
    </row>
    <row r="43" spans="1:2">
      <c r="A43" s="7" t="s">
        <v>5045</v>
      </c>
      <c r="B43" s="10" t="str" cm="1">
        <f t="array" ref="B43" xml:space="preserve"> INDEX(
    _xlfn.UNIQUE(orders[PaymentMethod]),
    MATCH(
        MAX(COUNTIF(orders[PaymentMethod], _xlfn.UNIQUE(orders[PaymentMethod]))),
        COUNTIF(orders[PaymentMethod], _xlfn.UNIQUE(orders[PaymentMethod])),
    0
    )
)</f>
        <v>Net Banking</v>
      </c>
    </row>
    <row r="44" spans="1:2">
      <c r="A44" s="7" t="s">
        <v>5046</v>
      </c>
      <c r="B44" s="10">
        <f>ROUND(AVERAGEIF(orders[Status], "Completed", orders[Rating]),1)</f>
        <v>3</v>
      </c>
    </row>
    <row r="45" spans="1:2">
      <c r="A45" s="5"/>
      <c r="B45" s="5"/>
    </row>
    <row r="46" spans="1:2">
      <c r="A46" s="31" t="s">
        <v>5047</v>
      </c>
      <c r="B46" s="31"/>
    </row>
    <row r="47" spans="1:2">
      <c r="A47" s="7" t="s">
        <v>5048</v>
      </c>
      <c r="B47" s="10">
        <f>ROWS(customers[CustomerID])</f>
        <v>500</v>
      </c>
    </row>
    <row r="48" spans="1:2">
      <c r="A48" s="7" t="s">
        <v>5049</v>
      </c>
      <c r="B48" s="10">
        <f>ROWS(_xlfn.UNIQUE(orders[CustomerID]))</f>
        <v>323</v>
      </c>
    </row>
    <row r="49" spans="1:2">
      <c r="A49" s="7" t="s">
        <v>5050</v>
      </c>
      <c r="B49" s="10" t="str">
        <f>ROUND(B48/B47*100, 1)&amp;"%"</f>
        <v>64.6%</v>
      </c>
    </row>
    <row r="50" spans="1:2">
      <c r="A50" s="7" t="s">
        <v>5051</v>
      </c>
      <c r="B50" s="10">
        <f>COUNTIF(customers[CustomerSegment],"Retail")</f>
        <v>280</v>
      </c>
    </row>
    <row r="51" spans="1:2">
      <c r="A51" s="7" t="s">
        <v>5052</v>
      </c>
      <c r="B51" s="10">
        <f>COUNTIF(customers[CustomerSegment],"SMB")</f>
        <v>110</v>
      </c>
    </row>
    <row r="52" spans="1:2">
      <c r="A52" s="7" t="s">
        <v>5053</v>
      </c>
      <c r="B52" s="10">
        <f>COUNTIF(customers[CustomerSegment],"Enterprise")</f>
        <v>110</v>
      </c>
    </row>
    <row r="53" spans="1:2">
      <c r="A53" s="7" t="s">
        <v>5054</v>
      </c>
      <c r="B53" s="10">
        <f xml:space="preserve"> ROUND(AVERAGE(customers[Age]),0)</f>
        <v>39</v>
      </c>
    </row>
    <row r="54" spans="1:2">
      <c r="A54" s="7" t="s">
        <v>5055</v>
      </c>
      <c r="B54" s="10">
        <f>ROUND(AVERAGE(customers[TenureYears]),1)</f>
        <v>3.9</v>
      </c>
    </row>
    <row r="55" spans="1:2">
      <c r="A55" s="7" t="s">
        <v>5056</v>
      </c>
      <c r="B55" s="10" t="str" cm="1">
        <f t="array" ref="B55" xml:space="preserve"> INDEX(
    customers[City],
    MATCH(
        MAX(COUNTIF(customers[City], customers[City])),
        COUNTIF(customers[City], customers[City]),0)
)</f>
        <v>Bareilly</v>
      </c>
    </row>
    <row r="56" spans="1:2">
      <c r="A56" s="7" t="s">
        <v>5057</v>
      </c>
      <c r="B56" s="10" cm="1">
        <f t="array" ref="B56" xml:space="preserve"> SUMPRODUCT((COUNTIF(customers[CustomerID], customers[CustomerID])&gt;1)*1)</f>
        <v>0</v>
      </c>
    </row>
    <row r="57" spans="1:2">
      <c r="A57" s="7" t="s">
        <v>5058</v>
      </c>
      <c r="B57" s="10" t="str">
        <f xml:space="preserve"> ROUND(B56/B47*100, 1)&amp;"%"</f>
        <v>0%</v>
      </c>
    </row>
    <row r="58" spans="1:2">
      <c r="A58" s="31" t="s">
        <v>5059</v>
      </c>
      <c r="B58" s="31"/>
    </row>
    <row r="59" spans="1:2">
      <c r="A59" s="7" t="s">
        <v>5060</v>
      </c>
      <c r="B59" s="10">
        <f xml:space="preserve"> ROWS(products[ProductID])</f>
        <v>500</v>
      </c>
    </row>
    <row r="60" spans="1:2">
      <c r="A60" s="7" t="s">
        <v>5061</v>
      </c>
      <c r="B60" s="10">
        <f>COUNTIF(products[IsActive], "Yes")</f>
        <v>447</v>
      </c>
    </row>
    <row r="61" spans="1:2">
      <c r="A61" s="7" t="s">
        <v>5006</v>
      </c>
      <c r="B61" s="10">
        <f xml:space="preserve"> ROWS(_xlfn.UNIQUE(orders[OrderID]))</f>
        <v>500</v>
      </c>
    </row>
    <row r="62" spans="1:2">
      <c r="A62" s="7" t="s">
        <v>5062</v>
      </c>
      <c r="B62" s="10" t="str" cm="1">
        <f t="array" ref="B62">INDEX(
    products[ProductName],
    MATCH(
        MAX(COUNTIF(orders[ProductID], products[ProductID])),
        COUNTIF(orders[ProductID], products[ProductID]),
        0
    )
)</f>
        <v>Dell Lite14White</v>
      </c>
    </row>
    <row r="63" spans="1:2">
      <c r="A63" s="7" t="s">
        <v>5063</v>
      </c>
      <c r="B63" s="10">
        <f xml:space="preserve"> ROUND(AVERAGE(products[Rating]),1)</f>
        <v>3.9</v>
      </c>
    </row>
    <row r="64" spans="1:2">
      <c r="A64" s="7" t="s">
        <v>5064</v>
      </c>
      <c r="B64" s="10">
        <f xml:space="preserve"> COUNTIF(products[PriceTier], "Premium")</f>
        <v>65</v>
      </c>
    </row>
    <row r="65" spans="1:2">
      <c r="A65" s="7" t="s">
        <v>5065</v>
      </c>
      <c r="B65" s="10">
        <f xml:space="preserve"> COUNTIF(products[PriceTier], "Mid-Range")</f>
        <v>77</v>
      </c>
    </row>
    <row r="66" spans="1:2">
      <c r="A66" s="7" t="s">
        <v>5066</v>
      </c>
      <c r="B66" s="10">
        <f xml:space="preserve"> COUNTIF(products[PriceTier], "Budget")</f>
        <v>164</v>
      </c>
    </row>
    <row r="67" spans="1:2">
      <c r="A67" s="7" t="s">
        <v>5067</v>
      </c>
      <c r="B67" s="10">
        <f xml:space="preserve"> COUNTIF(products[PriceTier], "Entry")</f>
        <v>194</v>
      </c>
    </row>
    <row r="68" spans="1:2">
      <c r="A68" s="7" t="s">
        <v>5068</v>
      </c>
      <c r="B68" s="8">
        <f>ROUND( AVERAGE(products[UnitPrice]),0)</f>
        <v>19406</v>
      </c>
    </row>
    <row r="69" spans="1:2">
      <c r="A69" s="7" t="s">
        <v>5069</v>
      </c>
      <c r="B69" s="8">
        <f xml:space="preserve"> ROUND(AVERAGE(products[ProfitPerUnit]),0)</f>
        <v>10173</v>
      </c>
    </row>
    <row r="70" spans="1:2">
      <c r="A70" s="31" t="s">
        <v>5070</v>
      </c>
      <c r="B70" s="31"/>
    </row>
    <row r="71" spans="1:2">
      <c r="A71" s="7" t="s">
        <v>5071</v>
      </c>
      <c r="B71" s="10">
        <f>ROWS(sales_reps[SalesRepID])</f>
        <v>500</v>
      </c>
    </row>
    <row r="72" spans="1:2">
      <c r="A72" s="7" t="s">
        <v>5072</v>
      </c>
      <c r="B72" s="10">
        <f>COUNTIF(sales_reps[DealStage], "Closed Won")</f>
        <v>229</v>
      </c>
    </row>
    <row r="73" spans="1:2">
      <c r="A73" s="7" t="s">
        <v>5073</v>
      </c>
      <c r="B73" s="10">
        <f>COUNTIF(sales_reps[DealStage], "Closed Lost")</f>
        <v>99</v>
      </c>
    </row>
    <row r="74" spans="1:2">
      <c r="A74" s="7" t="s">
        <v>5074</v>
      </c>
      <c r="B74" s="10" t="str">
        <f xml:space="preserve"> ROUND(B72/B71*100,1)&amp;"%"</f>
        <v>45.8%</v>
      </c>
    </row>
    <row r="75" spans="1:2">
      <c r="A75" s="7" t="s">
        <v>5075</v>
      </c>
      <c r="B75" s="8">
        <f>SUMIF(sales_reps[DealStage], "Closed Won", sales_reps[DealValue])</f>
        <v>29095400</v>
      </c>
    </row>
    <row r="76" spans="1:2">
      <c r="A76" s="7" t="s">
        <v>5076</v>
      </c>
      <c r="B76" s="8">
        <f xml:space="preserve"> ROUND(SUM(sales_reps[CommissionEarned]),1)</f>
        <v>2104852.4</v>
      </c>
    </row>
    <row r="77" spans="1:2">
      <c r="A77" s="7" t="s">
        <v>5077</v>
      </c>
      <c r="B77" s="8">
        <f>ROUND(AVERAGEIF(sales_reps[DealStage], "Closed Won", sales_reps[DealValue]),0)</f>
        <v>127054</v>
      </c>
    </row>
    <row r="78" spans="1:2">
      <c r="A78" s="7" t="s">
        <v>5078</v>
      </c>
      <c r="B78" s="10">
        <f>ROUND(AVERAGE(sales_reps[DayToClose]),0)</f>
        <v>47</v>
      </c>
    </row>
    <row r="79" spans="1:2">
      <c r="A79" s="7" t="s">
        <v>5079</v>
      </c>
      <c r="B79" s="10">
        <f xml:space="preserve"> COUNTIF(sales_reps[PerformanceRating], "Exceeded")</f>
        <v>416</v>
      </c>
    </row>
    <row r="80" spans="1:2">
      <c r="A80" s="7" t="s">
        <v>5080</v>
      </c>
      <c r="B80" s="10">
        <f xml:space="preserve"> COUNTIF(sales_reps[PerformanceRating], "Below Target")</f>
        <v>60</v>
      </c>
    </row>
    <row r="81" spans="1:3">
      <c r="A81" s="7" t="s">
        <v>5081</v>
      </c>
      <c r="B81" s="10" t="str" cm="1">
        <f t="array" ref="B81" xml:space="preserve"> INDEX(
    sales_reps[LeadSource],
    MATCH(
        MAX(COUNTIF(sales_reps[LeadSource], sales_reps[LeadSource])),
        COUNTIF(sales_reps[LeadSource], sales_reps[LeadSource]),0
    )
)</f>
        <v>Trade Show</v>
      </c>
    </row>
    <row r="82" spans="1:3">
      <c r="A82" s="31" t="s">
        <v>5082</v>
      </c>
      <c r="B82" s="31"/>
    </row>
    <row r="83" spans="1:3">
      <c r="A83" s="7" t="s">
        <v>5084</v>
      </c>
      <c r="B83" s="8" t="str">
        <f>TEXT( _xlfn.MAXIFS(orders[OrderDate], orders[Status], "Completed"), "YYYY-MM")</f>
        <v>2024-12</v>
      </c>
    </row>
    <row r="84" spans="1:3">
      <c r="A84" s="7" t="s">
        <v>5085</v>
      </c>
      <c r="B84" s="8">
        <f xml:space="preserve"> SUMIFS(orders[Revenue], orders[Status], "Completed", orders[YearMonth], B83)</f>
        <v>712531.55</v>
      </c>
    </row>
    <row r="85" spans="1:3">
      <c r="A85" s="7" t="s">
        <v>5086</v>
      </c>
      <c r="B85" s="8">
        <f>SUMIFS(orders[Revenue], orders[Status], "Completed", orders[YearMonth], TEXT(DATE(VALUE(LEFT(B83,4)), VALUE(RIGHT(B83, 2)) -1, 1), "YYYY-MM"))</f>
        <v>50641.9</v>
      </c>
    </row>
    <row r="86" spans="1:3">
      <c r="A86" s="7" t="s">
        <v>5087</v>
      </c>
      <c r="B86" s="8">
        <f>ROUND(B84-B85,0)</f>
        <v>661890</v>
      </c>
      <c r="C86" s="6"/>
    </row>
    <row r="87" spans="1:3">
      <c r="A87" s="7" t="s">
        <v>5088</v>
      </c>
      <c r="B87" s="8" t="str">
        <f>IFERROR(ROUND((B84-B85)/B85*100,1)&amp;"%","N/A")</f>
        <v>1307%</v>
      </c>
    </row>
    <row r="88" spans="1:3">
      <c r="A88" s="7" t="s">
        <v>5089</v>
      </c>
      <c r="B88" s="8" t="str">
        <f xml:space="preserve"> INDEX(orders[YearMonth], MATCH(_xlfn.MAXIFS(orders[Revenue], orders[Status], "Completed"), orders[Revenue],0))</f>
        <v>2022-10</v>
      </c>
    </row>
    <row r="89" spans="1:3">
      <c r="A89" s="7" t="s">
        <v>5090</v>
      </c>
      <c r="B89" s="8">
        <f xml:space="preserve"> SUMIFS(orders[Revenue], orders[OrderQuarter], "Q1", orders[Status], "Completed")</f>
        <v>7235412.0999999996</v>
      </c>
    </row>
    <row r="90" spans="1:3">
      <c r="A90" s="7" t="s">
        <v>5091</v>
      </c>
      <c r="B90" s="8">
        <f xml:space="preserve"> SUMIFS(orders[Revenue], orders[OrderQuarter], "Q2", orders[Status], "Completed")</f>
        <v>7552125.5500000007</v>
      </c>
    </row>
    <row r="91" spans="1:3">
      <c r="A91" s="7" t="s">
        <v>5092</v>
      </c>
      <c r="B91" s="8">
        <f xml:space="preserve"> SUMIFS(orders[Revenue], orders[OrderQuarter], "Q3", orders[Status], "Completed")</f>
        <v>7326405.2500000019</v>
      </c>
    </row>
    <row r="92" spans="1:3">
      <c r="A92" s="7" t="s">
        <v>5093</v>
      </c>
      <c r="B92" s="8">
        <f xml:space="preserve"> SUMIFS(orders[Revenue], orders[OrderQuarter], "Q4", orders[Status], "Completed")</f>
        <v>5982839.2499999991</v>
      </c>
    </row>
    <row r="93" spans="1:3">
      <c r="A93" s="7" t="s">
        <v>5094</v>
      </c>
      <c r="B93" s="8" t="str" cm="1">
        <f t="array" ref="B93" xml:space="preserve"> INDEX(_xlfn._xlws.SORT(_xlfn.UNIQUE(orders[OrderQuarter]),1,1), MATCH(MAX(B89:B92), B89:B92,0))</f>
        <v>Q2</v>
      </c>
    </row>
  </sheetData>
  <mergeCells count="8">
    <mergeCell ref="A1:B1"/>
    <mergeCell ref="A70:B70"/>
    <mergeCell ref="A82:B82"/>
    <mergeCell ref="A4:B4"/>
    <mergeCell ref="A20:B20"/>
    <mergeCell ref="A31:B31"/>
    <mergeCell ref="A46:B46"/>
    <mergeCell ref="A58:B58"/>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79B64-B225-4B5C-8573-70F2869108D5}">
  <sheetPr>
    <tabColor rgb="FFFF0000"/>
  </sheetPr>
  <dimension ref="A1:H23"/>
  <sheetViews>
    <sheetView workbookViewId="0">
      <pane ySplit="4" topLeftCell="A5" activePane="bottomLeft" state="frozen"/>
      <selection pane="bottomLeft" activeCell="D23" sqref="D23"/>
    </sheetView>
  </sheetViews>
  <sheetFormatPr defaultRowHeight="14.5"/>
  <cols>
    <col min="1" max="1" width="18.6328125" customWidth="1"/>
    <col min="2" max="2" width="12.6328125" customWidth="1"/>
    <col min="3" max="3" width="14.6328125" customWidth="1"/>
    <col min="4" max="4" width="18.6328125" customWidth="1"/>
    <col min="5" max="5" width="13.6328125" customWidth="1"/>
    <col min="6" max="6" width="18.6328125" customWidth="1"/>
    <col min="7" max="7" width="15.6328125" customWidth="1"/>
    <col min="8" max="8" width="12.6328125" customWidth="1"/>
  </cols>
  <sheetData>
    <row r="1" spans="1:8" ht="18.5">
      <c r="A1" s="3" t="s">
        <v>4979</v>
      </c>
    </row>
    <row r="2" spans="1:8">
      <c r="A2" t="str">
        <f ca="1">TEXT(TODAY(), "DD-MM-YYYY")</f>
        <v>30-04-2026</v>
      </c>
    </row>
    <row r="4" spans="1:8">
      <c r="A4" s="4" t="s">
        <v>4980</v>
      </c>
      <c r="B4" s="4" t="s">
        <v>4981</v>
      </c>
      <c r="C4" s="4" t="s">
        <v>4982</v>
      </c>
      <c r="D4" s="4" t="s">
        <v>4983</v>
      </c>
      <c r="E4" s="4" t="s">
        <v>4984</v>
      </c>
      <c r="F4" s="4" t="s">
        <v>4985</v>
      </c>
      <c r="G4" s="4" t="s">
        <v>4986</v>
      </c>
      <c r="H4" s="4" t="s">
        <v>2739</v>
      </c>
    </row>
    <row r="5" spans="1:8">
      <c r="A5" s="5" t="s">
        <v>4987</v>
      </c>
      <c r="B5" s="5">
        <f>ROWS(orders[OrderID])</f>
        <v>500</v>
      </c>
      <c r="C5" s="5">
        <f>COUNTBLANK(orders[Revenue])+COUNTBLANK(orders[CustomerID])+COUNTBLANK(orders[ProductID])</f>
        <v>0</v>
      </c>
      <c r="D5" s="5" cm="1">
        <f t="array" ref="D5">ROWS(orders[OrderID])-SUMPRODUCT(1/COUNTIF(orders[OrderID],orders[OrderID]))</f>
        <v>0</v>
      </c>
      <c r="E5" s="5" cm="1">
        <f t="array" aca="1" ref="E5" ca="1">SUMPRODUCT((orders[OrderDate]&gt;TODAY())*1)</f>
        <v>0</v>
      </c>
      <c r="F5" s="5">
        <f>COUNTIF(orders[Revenue],"&lt;0")+COUNTIF(orders[Profit],"&lt;0")</f>
        <v>0</v>
      </c>
      <c r="G5" s="5" t="str">
        <f ca="1">ROUND((1-(C5+D5+E5+F5)/(B5*4))*100,1)&amp;"%"</f>
        <v>100%</v>
      </c>
      <c r="H5" s="5" t="str">
        <f ca="1">IF(VALUE(LEFT(G5,LEN(G5)-1))&gt;=95,"✅ Clean","⚠️ Review")</f>
        <v>✅ Clean</v>
      </c>
    </row>
    <row r="6" spans="1:8">
      <c r="A6" s="5" t="s">
        <v>4988</v>
      </c>
      <c r="B6" s="5">
        <f>ROWS(customers[CustomerID])</f>
        <v>500</v>
      </c>
      <c r="C6" s="5">
        <f>COUNTBLANK(customers[Email])+COUNTBLANK(customers[City])+COUNTBLANK(customers[Region])</f>
        <v>0</v>
      </c>
      <c r="D6" s="5" cm="1">
        <f t="array" ref="D6">ROWS(customers[CustomerID])-SUMPRODUCT(1/COUNTIF(customers[CustomerID],customers[CustomerID]))</f>
        <v>0</v>
      </c>
      <c r="E6" s="5" cm="1">
        <f t="array" aca="1" ref="E6" ca="1">SUMPRODUCT((customers[JoinDate]&gt;TODAY())*1)</f>
        <v>0</v>
      </c>
      <c r="F6" s="5">
        <f>COUNTIF(customers[Age],"&lt;18")+COUNTIF(customers[Age],"&gt;80")</f>
        <v>0</v>
      </c>
      <c r="G6" s="5" t="str">
        <f ca="1">ROUND((1-(C6+D6+E6+F6)/(B6*4))*100,1)&amp;"%"</f>
        <v>100%</v>
      </c>
      <c r="H6" s="5" t="str">
        <f t="shared" ref="H6:H8" ca="1" si="0">IF(VALUE(LEFT(G6,LEN(G6)-1))&gt;=95,"✅ Clean","⚠️ Review")</f>
        <v>✅ Clean</v>
      </c>
    </row>
    <row r="7" spans="1:8">
      <c r="A7" s="5" t="s">
        <v>4989</v>
      </c>
      <c r="B7" s="5">
        <f>ROWS(products[ProductID])</f>
        <v>500</v>
      </c>
      <c r="C7" s="5">
        <f>COUNTBLANK(products[UnitPrice])+COUNTBLANK(products[Brand])+COUNTBLANK(products[Category])</f>
        <v>0</v>
      </c>
      <c r="D7" s="5" cm="1">
        <f t="array" ref="D7">ROWS(products[ProductID])-SUMPRODUCT(1/COUNTIF(products[ProductID],products[ProductID]))</f>
        <v>0</v>
      </c>
      <c r="E7" s="5" cm="1">
        <f t="array" aca="1" ref="E7" ca="1">SUMPRODUCT((products[LaunchDate]&gt;TODAY())*1)</f>
        <v>0</v>
      </c>
      <c r="F7" s="5">
        <f>COUNTIF(products[UnitPrice],"&lt;0")+COUNTIF(products[CostPrice],"&lt;0")</f>
        <v>0</v>
      </c>
      <c r="G7" s="5" t="str">
        <f ca="1">ROUND((1-(C7+D7+E7+F7)/(B7*4))*100,1)&amp;"%"</f>
        <v>100%</v>
      </c>
      <c r="H7" s="5" t="str">
        <f t="shared" ca="1" si="0"/>
        <v>✅ Clean</v>
      </c>
    </row>
    <row r="8" spans="1:8">
      <c r="A8" s="5" t="s">
        <v>4990</v>
      </c>
      <c r="B8" s="5">
        <f>ROWS(sales_reps[SalesRepID])</f>
        <v>500</v>
      </c>
      <c r="C8" s="5">
        <f>COUNTBLANK(sales_reps[DealValue])+COUNTBLANK(sales_reps[RepName])</f>
        <v>0</v>
      </c>
      <c r="D8" s="5" cm="1">
        <f t="array" ref="D8">SUMPRODUCT((COUNTIFS(sales_reps[SalesRepID],sales_reps[SalesRepID],sales_reps[DealDate],sales_reps[DealDate])&gt;1)*1)</f>
        <v>6</v>
      </c>
      <c r="E8" s="5" cm="1">
        <f t="array" aca="1" ref="E8" ca="1">SUMPRODUCT((sales_reps[DealDate]&gt;TODAY())*1)</f>
        <v>0</v>
      </c>
      <c r="F8" s="5">
        <f>COUNTIF(sales_reps[DealValue],"&lt;0")+COUNTIF(sales_reps[CommissionEarned],"&lt;0")</f>
        <v>0</v>
      </c>
      <c r="G8" s="5" t="str">
        <f ca="1">ROUND((1-(C8+D8+E8+F8)/(B8*4))*100,1)&amp;"%"</f>
        <v>99.7%</v>
      </c>
      <c r="H8" s="5" t="str">
        <f t="shared" ca="1" si="0"/>
        <v>✅ Clean</v>
      </c>
    </row>
    <row r="11" spans="1:8">
      <c r="A11" s="2" t="s">
        <v>4994</v>
      </c>
    </row>
    <row r="12" spans="1:8">
      <c r="A12" s="4" t="s">
        <v>4995</v>
      </c>
      <c r="B12" s="4" t="s">
        <v>4996</v>
      </c>
    </row>
    <row r="13" spans="1:8">
      <c r="A13" s="5" t="s">
        <v>4997</v>
      </c>
      <c r="B13" s="5">
        <f>ROWS(orders[OrderID])</f>
        <v>500</v>
      </c>
    </row>
    <row r="14" spans="1:8">
      <c r="A14" s="5" t="s">
        <v>4998</v>
      </c>
      <c r="B14" s="5">
        <f>COUNTIF(orders[DataFlag], "Valid")</f>
        <v>0</v>
      </c>
    </row>
    <row r="15" spans="1:8">
      <c r="A15" s="5" t="s">
        <v>4999</v>
      </c>
      <c r="B15" s="5">
        <f>COUNTIF(orders[DataFlag], "&lt;&gt;✅ Valid")</f>
        <v>500</v>
      </c>
    </row>
    <row r="16" spans="1:8">
      <c r="A16" s="5" t="s">
        <v>5000</v>
      </c>
      <c r="B16" s="5">
        <f>COUNTIF(orders[IsOutlier], "&lt;&gt;Normal")</f>
        <v>8</v>
      </c>
    </row>
    <row r="17" spans="1:2">
      <c r="A17" s="5" t="s">
        <v>5001</v>
      </c>
      <c r="B17" s="5">
        <f>COUNTIF(orders[Status], "Completed")</f>
        <v>329</v>
      </c>
    </row>
    <row r="18" spans="1:2">
      <c r="A18" s="5" t="s">
        <v>5002</v>
      </c>
      <c r="B18" s="5">
        <f>COUNTIF(orders[Status], "Pending")</f>
        <v>71</v>
      </c>
    </row>
    <row r="19" spans="1:2">
      <c r="A19" s="5" t="s">
        <v>5003</v>
      </c>
      <c r="B19" s="5">
        <f>COUNTIF(orders[Status], "Cancelled")</f>
        <v>100</v>
      </c>
    </row>
    <row r="20" spans="1:2">
      <c r="A20" s="5" t="s">
        <v>5004</v>
      </c>
      <c r="B20" s="5">
        <f>COUNTA(orders[Rating])</f>
        <v>329</v>
      </c>
    </row>
    <row r="21" spans="1:2">
      <c r="A21" s="5" t="s">
        <v>5005</v>
      </c>
      <c r="B21" s="5" cm="1">
        <f t="array" ref="B21">SUMPRODUCT(1/COUNTIF(orders[CustomerID],orders[CustomerID]))</f>
        <v>322.99999999999977</v>
      </c>
    </row>
    <row r="22" spans="1:2">
      <c r="A22" s="5" t="s">
        <v>5006</v>
      </c>
      <c r="B22" s="5" cm="1">
        <f t="array" ref="B22">SUMPRODUCT(1/COUNTIF(products[ProductID],orders[ProductID]))</f>
        <v>500</v>
      </c>
    </row>
    <row r="23" spans="1:2">
      <c r="A23" s="5" t="s">
        <v>5007</v>
      </c>
      <c r="B23" s="5" t="str">
        <f>TEXT(MIN(orders[OrderDate]), "DD-MM-YYYY")&amp;" to "&amp;TEXT(MAX(orders[OrderDate]), "DD-MM-YYYY")</f>
        <v>04-01-2022 to 30-12-2024</v>
      </c>
    </row>
  </sheetData>
  <conditionalFormatting sqref="G5:G8">
    <cfRule type="cellIs" dxfId="79" priority="3" operator="greaterThanOrEqual">
      <formula>0.95</formula>
    </cfRule>
    <cfRule type="cellIs" dxfId="78" priority="4" operator="lessThan">
      <formula>0.95</formula>
    </cfRule>
  </conditionalFormatting>
  <conditionalFormatting sqref="H5:H8">
    <cfRule type="expression" dxfId="77" priority="1">
      <formula>H5="⚠️ Review"</formula>
    </cfRule>
    <cfRule type="expression" dxfId="76" priority="2">
      <formula>H5="✅ Clean"</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FD939-8F91-43DC-91B3-2AB34E6BAD15}">
  <sheetPr>
    <tabColor theme="1" tint="0.499984740745262"/>
  </sheetPr>
  <dimension ref="A1:H29"/>
  <sheetViews>
    <sheetView workbookViewId="0">
      <selection activeCell="H29" sqref="H29"/>
    </sheetView>
  </sheetViews>
  <sheetFormatPr defaultRowHeight="14.5"/>
  <cols>
    <col min="1" max="1" width="54.90625" bestFit="1" customWidth="1"/>
  </cols>
  <sheetData>
    <row r="1" spans="1:1">
      <c r="A1" s="2" t="s">
        <v>4958</v>
      </c>
    </row>
    <row r="2" spans="1:1">
      <c r="A2" s="2" t="s">
        <v>4969</v>
      </c>
    </row>
    <row r="3" spans="1:1">
      <c r="A3" s="2" t="s">
        <v>4968</v>
      </c>
    </row>
    <row r="4" spans="1:1">
      <c r="A4" s="2" t="s">
        <v>4970</v>
      </c>
    </row>
    <row r="5" spans="1:1">
      <c r="A5" s="2" t="s">
        <v>4971</v>
      </c>
    </row>
    <row r="6" spans="1:1">
      <c r="A6" s="2"/>
    </row>
    <row r="7" spans="1:1">
      <c r="A7" s="2" t="s">
        <v>4959</v>
      </c>
    </row>
    <row r="8" spans="1:1">
      <c r="A8" s="2" t="s">
        <v>4960</v>
      </c>
    </row>
    <row r="9" spans="1:1">
      <c r="A9" s="2" t="s">
        <v>4959</v>
      </c>
    </row>
    <row r="11" spans="1:1">
      <c r="A11" s="2" t="s">
        <v>4972</v>
      </c>
    </row>
    <row r="12" spans="1:1">
      <c r="A12" s="2" t="s">
        <v>4974</v>
      </c>
    </row>
    <row r="13" spans="1:1">
      <c r="A13" s="2" t="s">
        <v>4973</v>
      </c>
    </row>
    <row r="14" spans="1:1">
      <c r="A14" s="2" t="s">
        <v>4975</v>
      </c>
    </row>
    <row r="15" spans="1:1">
      <c r="A15" s="2" t="s">
        <v>4961</v>
      </c>
    </row>
    <row r="16" spans="1:1">
      <c r="A16" s="2" t="s">
        <v>4962</v>
      </c>
    </row>
    <row r="17" spans="1:8">
      <c r="A17" s="2"/>
    </row>
    <row r="18" spans="1:8">
      <c r="A18" s="2" t="s">
        <v>4963</v>
      </c>
    </row>
    <row r="19" spans="1:8">
      <c r="A19" s="2" t="s">
        <v>4959</v>
      </c>
    </row>
    <row r="20" spans="1:8">
      <c r="A20" s="2" t="s">
        <v>4976</v>
      </c>
      <c r="H20" s="2"/>
    </row>
    <row r="21" spans="1:8">
      <c r="A21" s="2" t="s">
        <v>4977</v>
      </c>
    </row>
    <row r="22" spans="1:8">
      <c r="A22" s="2" t="s">
        <v>4978</v>
      </c>
    </row>
    <row r="23" spans="1:8">
      <c r="A23" s="2"/>
    </row>
    <row r="24" spans="1:8">
      <c r="A24" s="2" t="s">
        <v>4959</v>
      </c>
    </row>
    <row r="25" spans="1:8">
      <c r="A25" s="2" t="s">
        <v>4964</v>
      </c>
    </row>
    <row r="26" spans="1:8">
      <c r="A26" s="2" t="s">
        <v>4959</v>
      </c>
    </row>
    <row r="27" spans="1:8">
      <c r="A27" s="2" t="s">
        <v>4965</v>
      </c>
    </row>
    <row r="28" spans="1:8">
      <c r="A28" s="2" t="s">
        <v>4966</v>
      </c>
    </row>
    <row r="29" spans="1:8">
      <c r="A29" s="2" t="s">
        <v>4967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12D75E-CB06-4CCE-9DAC-E07083EEA6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customers</vt:lpstr>
      <vt:lpstr>products</vt:lpstr>
      <vt:lpstr>orders</vt:lpstr>
      <vt:lpstr>sales_reps</vt:lpstr>
      <vt:lpstr>Analysis</vt:lpstr>
      <vt:lpstr>Dashboard</vt:lpstr>
      <vt:lpstr>KPI_Engine</vt:lpstr>
      <vt:lpstr>Data_Audit</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Atir</dc:creator>
  <cp:lastModifiedBy>Mohd Atir</cp:lastModifiedBy>
  <cp:lastPrinted>2026-04-30T06:16:00Z</cp:lastPrinted>
  <dcterms:created xsi:type="dcterms:W3CDTF">2026-03-31T17:30:00Z</dcterms:created>
  <dcterms:modified xsi:type="dcterms:W3CDTF">2026-04-30T06:20:49Z</dcterms:modified>
</cp:coreProperties>
</file>